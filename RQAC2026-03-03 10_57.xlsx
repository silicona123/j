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ASUS\Downloads\"/>
    </mc:Choice>
  </mc:AlternateContent>
  <xr:revisionPtr revIDLastSave="0" documentId="13_ncr:1_{A6168740-0607-473E-8DB2-613AA1441630}"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alcChain>
</file>

<file path=xl/sharedStrings.xml><?xml version="1.0" encoding="utf-8"?>
<sst xmlns="http://schemas.openxmlformats.org/spreadsheetml/2006/main" count="42796" uniqueCount="12854">
  <si>
    <t>ID_RQF</t>
  </si>
  <si>
    <t>INPUT</t>
  </si>
  <si>
    <t>PRIORIDAD</t>
  </si>
  <si>
    <t>FECHA_SOLICITUD</t>
  </si>
  <si>
    <t>ESTADO</t>
  </si>
  <si>
    <t>SOLICITADO_POR_CC</t>
  </si>
  <si>
    <t>SOLICITADO_POR</t>
  </si>
  <si>
    <t>REVISADO_POR</t>
  </si>
  <si>
    <t>FECHA_REVISION</t>
  </si>
  <si>
    <t>FECHA_LIMITE</t>
  </si>
  <si>
    <t>MP</t>
  </si>
  <si>
    <t>CENTRO_COSTO</t>
  </si>
  <si>
    <t>RUC</t>
  </si>
  <si>
    <t>PROVEEDOR</t>
  </si>
  <si>
    <t>COLABORADOR</t>
  </si>
  <si>
    <t>BANCO</t>
  </si>
  <si>
    <t>CUENTA</t>
  </si>
  <si>
    <t>COMENTARIO</t>
  </si>
  <si>
    <t>MONTO</t>
  </si>
  <si>
    <t>MONEDA</t>
  </si>
  <si>
    <t>TIPO_FM</t>
  </si>
  <si>
    <t>RQF_REFERENCIA</t>
  </si>
  <si>
    <t>TIPO_PRESUPUESTO</t>
  </si>
  <si>
    <t>ESTADO_EXPEDIENTE</t>
  </si>
  <si>
    <t>ENTREGA_DOCUMENTOS</t>
  </si>
  <si>
    <t>FECHA_PAGO</t>
  </si>
  <si>
    <t>ARCHIVO</t>
  </si>
  <si>
    <t>ARCHIVO_PAGO</t>
  </si>
  <si>
    <t>ARCHIVO_COMPROBANTE</t>
  </si>
  <si>
    <t>TOTAL_PAGADO</t>
  </si>
  <si>
    <t>MODALIDAD_PAGO</t>
  </si>
  <si>
    <t>CUENTA_ORIGEN</t>
  </si>
  <si>
    <t>CONTRACTUAL</t>
  </si>
  <si>
    <t>PY-028</t>
  </si>
  <si>
    <t>LUCIA VANESSA YUCA HUARACALLO</t>
  </si>
  <si>
    <t>FERNANDO ARTURO CUBAS  CORREA</t>
  </si>
  <si>
    <t>PS</t>
  </si>
  <si>
    <t>SERVAL SAC</t>
  </si>
  <si>
    <t>BCP</t>
  </si>
  <si>
    <t>540-2143258-0-14</t>
  </si>
  <si>
    <t>PEN</t>
  </si>
  <si>
    <t>SUBCONTRATOS</t>
  </si>
  <si>
    <t>COMPLETADO</t>
  </si>
  <si>
    <t>NO</t>
  </si>
  <si>
    <t>2026-02-16 13:12:32</t>
  </si>
  <si>
    <t>EN ESPERA</t>
  </si>
  <si>
    <t>2026-03-02 02:12:12</t>
  </si>
  <si>
    <t>2026-03-03 13:12:18</t>
  </si>
  <si>
    <t>MSE DEL PERU E.I.R.L.</t>
  </si>
  <si>
    <t>430-9393263-0-76</t>
  </si>
  <si>
    <t>ALQUILER DE MINIVAN PARA INGRESO AL 26 DE ENERO PAGODE 6 DÍAS</t>
  </si>
  <si>
    <t>PENDIENTE</t>
  </si>
  <si>
    <t>https://storage.googleapis.com/deytha-prod/payments/GsqBuBzWsXhtbnTY7TyYf9PLoGCAHmyghN495tFw.pdf</t>
  </si>
  <si>
    <t>https://storage.googleapis.com/deytha-prod/rqf/45093/3eb63c9b-07f9-44d1-a745-4fb5dd0d00d2_20607796816-01-F001-00000799.pdf</t>
  </si>
  <si>
    <t>2026-02-16 13:32:28</t>
  </si>
  <si>
    <t>2026-03-03 13:30:49</t>
  </si>
  <si>
    <t>ALQUILER DE CUSTER MITSUBISHI FUSO ROSA PLACA CNW-152, PERIODO DEL 05/01/2026 AL 31/01/2026.
ALQUILER DE VEHICULO MINIBUS CUSTER MITSUBISHI PLACA VCN-148, PERIODO DEL 05/01/2026 AL 31/01/2026</t>
  </si>
  <si>
    <t>https://storage.googleapis.com/deytha-prod/payments/r0Oe6b3iuKLm1WEIK2fTlw7TpfPuRBHODiLh3ZTX.pdf</t>
  </si>
  <si>
    <t>https://storage.googleapis.com/deytha-prod/rqf/45094/69a0b029-8986-4b67-9528-9a0a83927f42_20607796816-01-F001-00000800.pdf</t>
  </si>
  <si>
    <t>2026-02-17 10:09:55</t>
  </si>
  <si>
    <t>2026-02-22 10:09:54</t>
  </si>
  <si>
    <t>INVERSIONES Y SERVICIOS D´ CADEL S.A.C.</t>
  </si>
  <si>
    <t>SCOTIABANK</t>
  </si>
  <si>
    <t xml:space="preserve">AL ALQUILER DE CONTEINERS DEL06/01/2026 AL 05/02/2026
(ALM013) - ALMACEN CON REPISAS 
(OFI-013)-ALQUILER DE OFICINA 
(ALM-010) ALQUILER  ALMACEN VACIO 
(OFI-016)  CONTENEDOR TIPO OFICINA 
(OFI-014) CONTENEDOR TIPO ALMACEN CON REPISAS
  </t>
  </si>
  <si>
    <t>https://storage.googleapis.com/deytha-prod/payments/4tgrHZYxnj76rMb7dAm8ceEpsrgUVcOLwqJak8GT.pdf</t>
  </si>
  <si>
    <t>2026-02-17 15:32:52</t>
  </si>
  <si>
    <t>2026-02-22 15:32:22</t>
  </si>
  <si>
    <t>ALQUILER DE CONTENEDOR TIPO ALMACEN COLOR AZUL VACIO EN SU INTERIOR; DESDE EL 17/02/2026 AL 17/02/2026</t>
  </si>
  <si>
    <t>https://storage.googleapis.com/deytha-prod/payments/dRJXTLQe6n9fsyRdiYVxKgbwdMiEFVcpth6APoxH.pdf</t>
  </si>
  <si>
    <t>2026-02-25 09:28:11</t>
  </si>
  <si>
    <t>ATENDIDO</t>
  </si>
  <si>
    <t>RICARDO BRIAN CONCHA CHAVEZ</t>
  </si>
  <si>
    <t>DÍAZ CHUQUIMANGO WILMER</t>
  </si>
  <si>
    <t>2026-02-25 14:03:07</t>
  </si>
  <si>
    <t>2026-02-26 09:28:05</t>
  </si>
  <si>
    <t>CARDOM CORP S.A.C.</t>
  </si>
  <si>
    <t>CONCHA CHAVEZ RICARDO BRIAN</t>
  </si>
  <si>
    <t>BCP DOLARES</t>
  </si>
  <si>
    <t>194-9952948-1-35</t>
  </si>
  <si>
    <t>COT - Cerradura Doble Manija Cortafuego, Modelo 8571,
Grado 2, Modelo llave - Boton, Certificado UL - ANSI
/BHMA.
REQ # 27 - RESIDENCIA</t>
  </si>
  <si>
    <t>USD</t>
  </si>
  <si>
    <t>MATERIALES</t>
  </si>
  <si>
    <t>SI</t>
  </si>
  <si>
    <t>2026-02-26 17:52:00</t>
  </si>
  <si>
    <t>https://storage.googleapis.com/deytha-prod/rqf/16847d73-472d-49c8-9742-f214b77f4637_COT - CERRADURA PARA PUERTAS CONTRA PLACADAS -.pdf</t>
  </si>
  <si>
    <t>https://storage.googleapis.com/deytha-prod/bcp_pdfs/shared/1772146410_BCP_HTML.pdf</t>
  </si>
  <si>
    <t>https://storage.googleapis.com/deytha-prod/rqf/46035/734cac65-47e6-4363-8a4c-dec72d74b86a_46035-FE03-00000173-CARDOM -PY28.pdf</t>
  </si>
  <si>
    <t>TRANSFERENCIA</t>
  </si>
  <si>
    <t>USD BCP DOLARES 245-1843546-1-32</t>
  </si>
  <si>
    <t>2026-02-24 18:05:30</t>
  </si>
  <si>
    <t>PY-SUR</t>
  </si>
  <si>
    <t>RAY LEONARDO AGREDA FLORES</t>
  </si>
  <si>
    <t>2026-02-24 18:14:32</t>
  </si>
  <si>
    <t>2026-02-25 18:04:00</t>
  </si>
  <si>
    <t>ESCEM E.I.R.L.</t>
  </si>
  <si>
    <t>Pago RQF-D:452(1 / 2) | SERVICIO DE TENDIDO DE FIBRA OPTICA DE 830 MTS. LINEALES APROXIMADO EN MINA CUAJONE</t>
  </si>
  <si>
    <t>https://storage.googleapis.com/deytha-prod/payments/6ndERXXYtQbifiRdigxj70xolyQHaASmFCbiuks9.pdf</t>
  </si>
  <si>
    <t>2026-02-23 15:59:46</t>
  </si>
  <si>
    <t>2026-02-24 14:09:48</t>
  </si>
  <si>
    <t>2026-02-26 15:59:39</t>
  </si>
  <si>
    <t>REPRESENTAC.INDUSTRIALES SATELITE S.R.L.</t>
  </si>
  <si>
    <t>BBVA</t>
  </si>
  <si>
    <t>00110239010002646513</t>
  </si>
  <si>
    <t>Alimentación del mes de enero (hotel selin)</t>
  </si>
  <si>
    <t>https://storage.googleapis.com/deytha-prod/payments/hqBqhqMEvJaqJVTRuBJQtxlTk4IdCzKl1bqWe9Ht.pdf</t>
  </si>
  <si>
    <t>2026-02-23 16:16:41</t>
  </si>
  <si>
    <t>2026-02-24 16:16:10</t>
  </si>
  <si>
    <t>DANCOP CONTRATISTAS GENERALES S.A.C.</t>
  </si>
  <si>
    <t xml:space="preserve">ALQUILER DE VOLQUETE SHACMAN DE PLACA BHL-878 DEL 01/12/2025 AL 16/12/2025 POR 80 HORAS A RAZON DE 31 DOLARES LA HORA </t>
  </si>
  <si>
    <t>https://storage.googleapis.com/deytha-prod/payments/IRCqw82Zunjgv2jS4fwyaqbq9nxJsqqgt0CEqoBC.pdf</t>
  </si>
  <si>
    <t>https://storage.googleapis.com/deytha-prod/supplierBills/HyBWh3WbVDsO95WETZUqoRAtfboWaZyBVEkZ8tsc.pdf</t>
  </si>
  <si>
    <t>2026-02-24 09:28:41</t>
  </si>
  <si>
    <t>2026-02-25 09:28:31</t>
  </si>
  <si>
    <t>OFIPAPEL E.I.R.L</t>
  </si>
  <si>
    <t>430-1872016-0-85</t>
  </si>
  <si>
    <t>COT - TINTAS PARA IMPRESORA MODELO 4500   
REQ # 16 - CALIDAD</t>
  </si>
  <si>
    <t>https://storage.googleapis.com/deytha-prod/rqf/4ce6d70e-0a4e-462b-bb34-ff0e5039ff3b_COT - TINTAS PARA IMPRESORA -4500 - REQ CALIDAD.pdf</t>
  </si>
  <si>
    <t>OFIPAPEL E.I.R.L.</t>
  </si>
  <si>
    <t>2026-02-24 10:14:53</t>
  </si>
  <si>
    <t>2026-02-26 10:13:51</t>
  </si>
  <si>
    <t>MONTAJE MANIOBRA Y TRANSPORTE E.I.R.L.</t>
  </si>
  <si>
    <t>0007791020</t>
  </si>
  <si>
    <t>ALQUILER GRÚA Z6P-829 DEL 23/12/2025 AL 22/01/2026.</t>
  </si>
  <si>
    <t>https://storage.googleapis.com/deytha-prod/payments/LZTDfbHNxqeLbKRE1RHkgi912thmBCg78p4NMaFy.pdf</t>
  </si>
  <si>
    <t>https://storage.googleapis.com/deytha-prod/supplierBills/6OLmBFj6AmMWRmEt9FpazcEoNjfFMkXXi9FqOCZk.pdf</t>
  </si>
  <si>
    <t>2026-02-24 10:20:59</t>
  </si>
  <si>
    <t>2026-02-26 10:20:48</t>
  </si>
  <si>
    <t>ALQUILER DE GRÚA Z6P-829 DEL 23/01/2026 AL 31/01/2026</t>
  </si>
  <si>
    <t>https://storage.googleapis.com/deytha-prod/payments/wb48RazAhy9MTwp9tigjN05XsF97b4qt5RldbZyi.pdf</t>
  </si>
  <si>
    <t>2026-02-20 19:17:22</t>
  </si>
  <si>
    <t>AC</t>
  </si>
  <si>
    <t>DEYSI HERRERA CARRASCO</t>
  </si>
  <si>
    <t>EDSON JAIR VASQUEZ LOPEZ</t>
  </si>
  <si>
    <t>2026-02-24 09:13:42</t>
  </si>
  <si>
    <t>2026-01-16 10:17:15</t>
  </si>
  <si>
    <t>EDKA CORPORACION S.A.C.</t>
  </si>
  <si>
    <t>VARIAS ENTIDADES</t>
  </si>
  <si>
    <t>DISTRIBUIDO</t>
  </si>
  <si>
    <t>SEM35Y36-2026-REM NETAS-EDKA-PY28-RCC</t>
  </si>
  <si>
    <t>MANO DE OBRA</t>
  </si>
  <si>
    <t>2026-01-16 19:00:00</t>
  </si>
  <si>
    <t>https://storage.googleapis.com/deytha-prod/rqf/52b2ac3f-6405-40db-a214-7fb1a9b3fcb2_SEM35y36_29-12-2025_11-01-2026_REM NETAS_EDKA_PY28_RCC.pdf</t>
  </si>
  <si>
    <t>https://storage.googleapis.com/deytha-prod/rqf/payments/6bace449-cee0-4cb9-92cc-9aa52ec2c2cc_EDKA_SEM35y36_29-12-2025_11-01-2026_REM NETAS_EDKA_PY28_RCC.pdf</t>
  </si>
  <si>
    <t>PEN VARIAS ENTIDADES PAGO DISTRIBUIDO</t>
  </si>
  <si>
    <t>2026-02-20 19:28:06</t>
  </si>
  <si>
    <t>2026-01-30 10:27:59</t>
  </si>
  <si>
    <t>SEM37Y38-2026-REM NETAS-EDKA-PY28-RCC</t>
  </si>
  <si>
    <t>2026-01-30 21:59:00</t>
  </si>
  <si>
    <t>https://storage.googleapis.com/deytha-prod/rqf/de125c70-2fbb-4bc5-a6a9-0698149c307a_SEM37y38_12-01_ 25-01_REM NETAS_EDKA_PY28_RCC.pdf</t>
  </si>
  <si>
    <t>https://storage.googleapis.com/deytha-prod/rqf/payments/3c3169dc-6b2c-455a-bcb3-bfe7e7d6df86_EDKA_SEM37y38_12-01_ 25-01_REM NETAS_EDKA_PY28_RCC.pdf</t>
  </si>
  <si>
    <t>2026-02-20 19:30:36</t>
  </si>
  <si>
    <t>2026-02-13 10:30:17</t>
  </si>
  <si>
    <t>SEM39Y40-2026-REM NETAS-EDKA-PY28-RCC</t>
  </si>
  <si>
    <t>2026-02-13 19:00:00</t>
  </si>
  <si>
    <t>https://storage.googleapis.com/deytha-prod/rqf/077d8ba8-075d-4b20-bf4e-d2b80f50c998_SEM39y40_26-01_08-02_REM NETAS_EDKA_PY28_RCC.pdf</t>
  </si>
  <si>
    <t>https://storage.googleapis.com/deytha-prod/rqf/payments/3a1e76a9-0c0e-49bb-993f-0b2795b8ab6e_EDKA_SEM39y40_26-01_08-02_REM NETAS_EDKA_PY28_RCC.pdf</t>
  </si>
  <si>
    <t>2026-02-23 16:53:12</t>
  </si>
  <si>
    <t>SST</t>
  </si>
  <si>
    <t>LUIS MARTIN JULCAMORO CARRASCAL</t>
  </si>
  <si>
    <t>ARROYO VALERA ERICA</t>
  </si>
  <si>
    <t>2026-02-23 18:05:27</t>
  </si>
  <si>
    <t>2026-02-23 16:53:02</t>
  </si>
  <si>
    <t>CLINICA GALENO MOQUEGUA S.A.C.</t>
  </si>
  <si>
    <t>430-9907095-0-99</t>
  </si>
  <si>
    <t>PAGO DE EMO PARA ARANDA MELENDEZ
JULIO ANGEL</t>
  </si>
  <si>
    <t>2026-02-24 17:09:00</t>
  </si>
  <si>
    <t>https://storage.googleapis.com/deytha-prod/rqf/70db89d5-fc9a-4911-91f8-e944b5ae871c_VALORIZACION 20-2026 -DEYFOR.xlsx</t>
  </si>
  <si>
    <t>https://storage.googleapis.com/deytha-prod/bcp_pdfs/shared/1771970973_BCP_HTML.pdf</t>
  </si>
  <si>
    <t>https://storage.googleapis.com/deytha-prod/rqf/45870/4cd1df1c-62dc-4436-8760-a2f2447d5d4d_PDF-DOC-E001-87420606572922.pdf</t>
  </si>
  <si>
    <t>PEN BCP 245-2243726-0-44</t>
  </si>
  <si>
    <t>2026-02-23 17:14:26</t>
  </si>
  <si>
    <t>2026-02-23 17:14:15</t>
  </si>
  <si>
    <t>SALUD OCUPACIONAL INTEGRAL SAN GABRIEL</t>
  </si>
  <si>
    <t>215 2011397 0 57</t>
  </si>
  <si>
    <t>PAGO DE EMO PARA OBANDO CORNEJO JOSE LUIS</t>
  </si>
  <si>
    <t>https://storage.googleapis.com/deytha-prod/rqf/7a4f838f-3628-47e9-a0f1-61aa02d0da77_20539477600-01-F002-00020145 (1).pdf</t>
  </si>
  <si>
    <t>https://storage.googleapis.com/deytha-prod/bcp_pdfs/shared/1771970982_BCP_HTML.pdf</t>
  </si>
  <si>
    <t>https://storage.googleapis.com/deytha-prod/rqf/45877/56a33179-c3e7-46d7-945a-1ec1291fdd69_7a4f838f-3628-47e9-a0f1-61aa02d0da77_20539477600-01-F002-00020145 (1).pdf</t>
  </si>
  <si>
    <t>2026-02-21 11:29:01</t>
  </si>
  <si>
    <t>2026-02-23 13:10:40</t>
  </si>
  <si>
    <t>2026-02-22 11:28:32</t>
  </si>
  <si>
    <t>LUQUE ALVAREZ MICHAEN EVELYN</t>
  </si>
  <si>
    <t>215-96525106-0-02</t>
  </si>
  <si>
    <t xml:space="preserve">COT - CINTA AMARILLAO PRUTORADOR 12MM X 8M
REQ # 14 - TELECOMUNICACIONES
</t>
  </si>
  <si>
    <t>2026-02-27 19:37:00</t>
  </si>
  <si>
    <t>https://storage.googleapis.com/deytha-prod/rqf/6e5cf476-7fdd-4dd9-b835-bb2f4f88a32a_COT - CINTAS AMARILLAS - TELECOMUNICACIONES.pdf</t>
  </si>
  <si>
    <t>https://storage.googleapis.com/deytha-prod/bcp_pdfs/shared/1772239109_BCP_HTML.pdf</t>
  </si>
  <si>
    <t>2026-02-23 11:36:49</t>
  </si>
  <si>
    <t>2026-02-05 11:36:49</t>
  </si>
  <si>
    <t>01_2026_ESSALUD_EDKA_PY28_RG</t>
  </si>
  <si>
    <t>CHILD</t>
  </si>
  <si>
    <t>2026-02-23 11:44:15</t>
  </si>
  <si>
    <t>2026-02-23 11:16:19</t>
  </si>
  <si>
    <t>2026-02-05 11:16:19</t>
  </si>
  <si>
    <t>01_2026_REM NETAS_EDKA_PY28_RG</t>
  </si>
  <si>
    <t>2026-02-23 11:27:04</t>
  </si>
  <si>
    <t>2026-02-20 17:52:59</t>
  </si>
  <si>
    <t>2026-02-05 17:52:59</t>
  </si>
  <si>
    <t>01_2026_AFP_DEYFOR_PY28_RG</t>
  </si>
  <si>
    <t>2026-02-23 11:00:24</t>
  </si>
  <si>
    <t>2026-02-19 18:40:33</t>
  </si>
  <si>
    <t>2026-02-05 18:40:33</t>
  </si>
  <si>
    <t>01_2026_IR 5TA_DEYFOR_PY28_RG</t>
  </si>
  <si>
    <t>2026-02-23 10:58:52</t>
  </si>
  <si>
    <t>2026-02-19 17:27:30</t>
  </si>
  <si>
    <t>2026-02-05 17:27:30</t>
  </si>
  <si>
    <t>01_2026_ESSALUD_DEYFOR_PY28_RG</t>
  </si>
  <si>
    <t>2026-02-23 10:57:24</t>
  </si>
  <si>
    <t>2026-02-19 16:32:53</t>
  </si>
  <si>
    <t>2026-02-05 16:32:53</t>
  </si>
  <si>
    <t>01_2026_REM NETAS_DEYFOR_PY28_RG</t>
  </si>
  <si>
    <t>2026-02-23 10:55:50</t>
  </si>
  <si>
    <t>2026-02-16 12:09:06</t>
  </si>
  <si>
    <t>2026-02-18 23:33:56</t>
  </si>
  <si>
    <t>2026-02-22 12:09:01</t>
  </si>
  <si>
    <t>MARON FLORES ALFREDO JHON</t>
  </si>
  <si>
    <t>430-2357689-0-72</t>
  </si>
  <si>
    <t>Piedra chancada y arena entregado el 08/01/2026</t>
  </si>
  <si>
    <t>https://storage.googleapis.com/deytha-prod/payments/kPDCGEtuph6AwYUuFnrOdDDsHPZtA1eK22jbJN0L.pdf</t>
  </si>
  <si>
    <t>https://storage.googleapis.com/deytha-prod/supplierBills/mGOpMnDDxhqRMwFeW7KIO1BApG99sF0yP0ZsNFHb.pdf</t>
  </si>
  <si>
    <t>2026-02-16 19:05:22</t>
  </si>
  <si>
    <t>2026-02-18 23:03:44</t>
  </si>
  <si>
    <t>2026-02-21 10:04:24</t>
  </si>
  <si>
    <t>PALOMINO FLORES YENIFFER ANSSOLAY</t>
  </si>
  <si>
    <t>INTERBANK</t>
  </si>
  <si>
    <t>ALQUILER DE ESTACIÓN TOTAL MES DE ENERO</t>
  </si>
  <si>
    <t>https://storage.googleapis.com/deytha-prod/payments/jQs8pwsNynxuqp3KiJDFubxonQDKGeeIVw8lI9yL.pdf</t>
  </si>
  <si>
    <t>https://storage.googleapis.com/deytha-prod/supplierBills/Grq37n66gKoIxw2aeQf9PXZzZREkCAup5ifYsThz.pdf</t>
  </si>
  <si>
    <t>GUERRA CASTILLO EDWIN YHONATAN CARLOS</t>
  </si>
  <si>
    <t>001105790220752444</t>
  </si>
  <si>
    <t>2026-02-17 07:11:36</t>
  </si>
  <si>
    <t>2026-02-19 07:11:12</t>
  </si>
  <si>
    <t>HUARACCALLO CALLOHUARI EMILIO</t>
  </si>
  <si>
    <t>Alquiler de volquete del 05 al 31 de enero</t>
  </si>
  <si>
    <t>https://storage.googleapis.com/deytha-prod/payments/aT9Yma8zDMwLdRLHyHptJ5td0oWY4RlPodmgtqzC.pdf</t>
  </si>
  <si>
    <t>https://storage.googleapis.com/deytha-prod/supplierBills/xAF5XLQqEu6zBo6SoqhNKGS67xdks8Cv3MvyfEn0.pdf</t>
  </si>
  <si>
    <t>2026-02-17 07:36:18</t>
  </si>
  <si>
    <t>2026-02-22 07:34:31</t>
  </si>
  <si>
    <t>RETROEXCAVADORA DEL 07 DE ENERO AL 31 DE ENERO</t>
  </si>
  <si>
    <t>https://storage.googleapis.com/deytha-prod/payments/qDqIp8r92OlF2YdPJgEXVgapomKuol48KRFOxcxA.pdf</t>
  </si>
  <si>
    <t>2026-02-17 07:45:46</t>
  </si>
  <si>
    <t>2026-02-22 07:45:30</t>
  </si>
  <si>
    <t>RETROEXCAVADORA 2021 DEL 07 DE ENERO AL 31 DE ENERO</t>
  </si>
  <si>
    <t>https://storage.googleapis.com/deytha-prod/payments/IU9Ysf5xwWBGGm5KGOY4ijkARQJyvjPp8yLtfKgo.pdf</t>
  </si>
  <si>
    <t>https://storage.googleapis.com/deytha-prod/supplierBills/EIzSBXWUNfAsvYF6reXlRbfMH6lovW2Vhf4idqo0.pdf</t>
  </si>
  <si>
    <t>2026-02-17 07:59:37</t>
  </si>
  <si>
    <t>2026-02-27 07:59:05</t>
  </si>
  <si>
    <t>ALQUILERES Y SERVICIOS BRAYANCITO E.I.R.L.</t>
  </si>
  <si>
    <t xml:space="preserve">MINIVAN BLANCA VAL N°1 : ENERO </t>
  </si>
  <si>
    <t>https://storage.googleapis.com/deytha-prod/payments/JRN2HdBgduHOOyQXGOLqU02AllHpjYTATSY1Kbzk.pdf</t>
  </si>
  <si>
    <t>2026-02-17 08:06:37</t>
  </si>
  <si>
    <t>2026-02-22 08:06:20</t>
  </si>
  <si>
    <t>ALQUILER DE MINIVAN PLOMA VAL N° 1 MES DE ENERO Z5S236</t>
  </si>
  <si>
    <t>https://storage.googleapis.com/deytha-prod/payments/rzp8IHz1YkhxTmfRWkOPAWiS5MYt1U1iK085Ld5V.pdf</t>
  </si>
  <si>
    <t>2026-02-17 09:12:04</t>
  </si>
  <si>
    <t>2026-02-18 09:11:52</t>
  </si>
  <si>
    <t>GESTION DE SERVICIOS AMBIENTALES S.A.C.</t>
  </si>
  <si>
    <t>191-1431216-0-26</t>
  </si>
  <si>
    <t>30/01/2026 al 28/02/2026 Serv. de Alq. Baño (1UND)</t>
  </si>
  <si>
    <t>2026-02-26 15:00:00</t>
  </si>
  <si>
    <t>https://storage.googleapis.com/deytha-prod/payments/9wfo7gtFGbXl858Jf0bJpNlqhFsuoflEYdzgDfh4.pdf</t>
  </si>
  <si>
    <t>https://storage.googleapis.com/deytha-prod/bcp_pdfs/shared/1772136089_BCP_HTML.pdf</t>
  </si>
  <si>
    <t>2026-02-17 09:15:09</t>
  </si>
  <si>
    <t>2026-02-22 09:14:55</t>
  </si>
  <si>
    <t>23/02/2026 AL 22/03/2026 Serv. de Alq. Baño (1UND)</t>
  </si>
  <si>
    <t>2026-02-26 12:59:00</t>
  </si>
  <si>
    <t>https://storage.googleapis.com/deytha-prod/payments/DmoT4FXYXH4ZLX3Ht8ubau3vGqhoXyLjA4YmjCFv.pdf</t>
  </si>
  <si>
    <t>https://storage.googleapis.com/deytha-prod/bcp_pdfs/shared/1772128830_BCP_HTML.pdf</t>
  </si>
  <si>
    <t>2026-02-17 09:18:15</t>
  </si>
  <si>
    <t>2026-02-17 09:17:55</t>
  </si>
  <si>
    <t>23/02/2026 al 22/03/2026 Serv. Alq. Baño Químico (1UND)// Serv. Alq. de lavamanos (1 und)</t>
  </si>
  <si>
    <t>2026-02-26 12:55:00</t>
  </si>
  <si>
    <t>https://storage.googleapis.com/deytha-prod/payments/W6Ysyqj8bcoeattXGR95jp3YAFvyFsAduQCpM6fA.pdf</t>
  </si>
  <si>
    <t>https://storage.googleapis.com/deytha-prod/bcp_pdfs/shared/1772128591_BCP_HTML.pdf</t>
  </si>
  <si>
    <t>2026-02-16 14:25:03</t>
  </si>
  <si>
    <t>2026-02-18 17:51:56</t>
  </si>
  <si>
    <t>2026-02-17 14:24:40</t>
  </si>
  <si>
    <t>CONEXIONES ELECTRICAS S.A.C. - CONEL S.A.C.</t>
  </si>
  <si>
    <t>191-2615311-0-82</t>
  </si>
  <si>
    <t xml:space="preserve">ROTULOS PARA LA SALA ELECTRICA - 
REQ # 48 - ELECTRICO </t>
  </si>
  <si>
    <t>2026-02-26 18:08:00</t>
  </si>
  <si>
    <t>https://storage.googleapis.com/deytha-prod/rqf/4dffe3e1-a014-4044-a27c-106a04e46303_COT - ROTULOS ELECTRICOS - REQ 48.pdf</t>
  </si>
  <si>
    <t>https://storage.googleapis.com/deytha-prod/bcp_pdfs/shared/1772147309_BCP_HTML.pdf</t>
  </si>
  <si>
    <t>https://storage.googleapis.com/deytha-prod/rqf/45098/ea03612c-8be0-4c8b-a8fc-ead6e03423a0_45098-F001-00002498-CONELSAC-PY28.pdf</t>
  </si>
  <si>
    <t>2026-02-17 10:26:44</t>
  </si>
  <si>
    <t>2026-02-18 10:26:35</t>
  </si>
  <si>
    <t>DEYFOR</t>
  </si>
  <si>
    <t>SILVA CERDAN JHAN CARLOS</t>
  </si>
  <si>
    <t>PASAJE AEREO PARA JHAN SILVA, DEYFOR SOLO ASUME 150 DOLARES, PERSONAL LO RESTANTE.</t>
  </si>
  <si>
    <t>https://storage.googleapis.com/deytha-prod/rqf/13709ac5-c26a-4b5a-b9dd-a5c85e547cd2_Comprobante-LATAM-LA5448962URPJ.pdf</t>
  </si>
  <si>
    <t>2026-02-17 22:26:58</t>
  </si>
  <si>
    <t>2026-02-19 13:26:50</t>
  </si>
  <si>
    <t>FERRETERIA Y MAQUINARIAS MAVI E.I.R.L.</t>
  </si>
  <si>
    <t>COT - MATERIALES VARIOS 
REQ # 33 MECANICO 
REQ # 13 TELECOMUNICACIONES</t>
  </si>
  <si>
    <t>2026-02-26 10:36:00</t>
  </si>
  <si>
    <t>https://storage.googleapis.com/deytha-prod/rqf/c0f343b2-e602-454d-84f1-09452ba607f1_COT - MATERIALES VARIOS - REQ MECANICO.pdf</t>
  </si>
  <si>
    <t>https://storage.googleapis.com/deytha-prod/bcp_pdfs/shared/1772120250_BCP_HTML.pdf</t>
  </si>
  <si>
    <t>2026-02-17 22:45:16</t>
  </si>
  <si>
    <t>2026-02-19 13:45:10</t>
  </si>
  <si>
    <t>LOPEZ RAMIREZ ROBERTO</t>
  </si>
  <si>
    <t>430-92537022-0-51</t>
  </si>
  <si>
    <t>COT - MATERIALES ELECTRICOS Y TELECOMUNICACION 
REQ MECANICO # 32
REQ TELECOMUNICACIONES # 11</t>
  </si>
  <si>
    <t>https://storage.googleapis.com/deytha-prod/rqf/7d9c1a9d-bd0d-4a49-82dd-14776e11687f_COT - MATERIALES VARIOS - TELECOMU Y ELECTRICO.pdf</t>
  </si>
  <si>
    <t>2026-02-18 15:06:43</t>
  </si>
  <si>
    <t>2026-02-23 15:06:28</t>
  </si>
  <si>
    <t>DHACORP INGENIERIA, NEGOCIOS Y CONSTRUCCIONES S.A.C- DHACORP INC S.A.C.</t>
  </si>
  <si>
    <t>430-2664680-1-02</t>
  </si>
  <si>
    <t>ALQUILER DE BUS BTT-896 DEL 26/12/2025 AL 31/12/2026</t>
  </si>
  <si>
    <t>https://storage.googleapis.com/deytha-prod/payments/wFhnxbVZGpaVIKLXpHreUNpW33kv3ZYptJd9b5rP.pdf</t>
  </si>
  <si>
    <t>https://storage.googleapis.com/deytha-prod/supplierBills/0TLvnp0I3FqFwqRsjdlNFtaAYfVcNRBK0y5ybZIQ.pdf</t>
  </si>
  <si>
    <t>2026-02-18 15:20:56</t>
  </si>
  <si>
    <t>2026-02-19 15:20:40</t>
  </si>
  <si>
    <t>R3 SERVICIOS ELECTRICOS SOCIEDAD ANONIMA CERRADA</t>
  </si>
  <si>
    <t>215-9848533-1-56</t>
  </si>
  <si>
    <t>SERVICIO DE PRUEBAS DE ACEITES Y PRUEBAS ELÉCTRICAS DE 02 TRANSFORMADORES DE DISTRIBUCIÓN MONTADAS EN POSTE.</t>
  </si>
  <si>
    <t>https://storage.googleapis.com/deytha-prod/payments/zdfOFwCsOiKfAC7RmosCgGM7mzI5p4frraqfRTSY.pdf</t>
  </si>
  <si>
    <t>2026-02-18 16:18:55</t>
  </si>
  <si>
    <t>2026-02-19 16:18:44</t>
  </si>
  <si>
    <t>MULTISERVICIOS A Y M MOQUEGUA E.I.R.L.</t>
  </si>
  <si>
    <t>Banca de la Nación</t>
  </si>
  <si>
    <t>01814100014107477628</t>
  </si>
  <si>
    <t>COMPRA DE GRAVA 1¨ 1/2 A 2´ENTREGADO EL 26/01/2026</t>
  </si>
  <si>
    <t>https://storage.googleapis.com/deytha-prod/payments/SmXunjuoTrpdyDqs9hFwf8yF3M7aaT5iKFapAP4d.pdf</t>
  </si>
  <si>
    <t>https://storage.googleapis.com/deytha-prod/supplierBills/8YvbPSZ036JHnuqkXYCZIWgufcFRhFO4rf8q3rKs.pdf</t>
  </si>
  <si>
    <t>2026-02-06 12:33:59</t>
  </si>
  <si>
    <t>2026-02-18 16:58:50</t>
  </si>
  <si>
    <t>2026-02-07 12:33:50</t>
  </si>
  <si>
    <t>INGEMMAQ S.A.C.</t>
  </si>
  <si>
    <t>RODILLO CHUPETERO MASALTA 900KG
MAQUINA SECA SIN OPERAR
ALQUILER * 07 DIAS</t>
  </si>
  <si>
    <t>2026-02-23 18:56:00</t>
  </si>
  <si>
    <t>https://storage.googleapis.com/deytha-prod/payments/KZSH19Jlu7WSjHGf7vF74YwBnKYJN7mAk6oDKXD3.pdf</t>
  </si>
  <si>
    <t>https://storage.googleapis.com/deytha-prod/bcp_pdfs/shared/1771891056_BCP_HTML.pdf</t>
  </si>
  <si>
    <t>https://storage.googleapis.com/deytha-prod/rqf/44077/88d6fb14-048e-4a76-afb0-417ceb33e2ee_44077-E001-38-ALQUILER-INGEMAQ-PY28.pdf</t>
  </si>
  <si>
    <t>2026-02-17 12:10:23</t>
  </si>
  <si>
    <t>2026-02-17 15:35:03</t>
  </si>
  <si>
    <t>2026-02-17 12:09:50</t>
  </si>
  <si>
    <t>ALQUILER DE CONTENEDOR MARITIMO DE 20' PARA USO DE COMEDOR, DE ACUERDO A ORDEN DE SERVICIO, DESDE EL 13/01/2026 AL 12/02/2026</t>
  </si>
  <si>
    <t>https://storage.googleapis.com/deytha-prod/payments/lakNRuyCm1Gcv0RYKI2eEHhqUc3ZqKRw96hHFyxs.pdf</t>
  </si>
  <si>
    <t>2026-02-16 13:42:33</t>
  </si>
  <si>
    <t>2026-02-17 14:22:59</t>
  </si>
  <si>
    <t>2026-02-17 13:42:16</t>
  </si>
  <si>
    <t>ENRIQUE FREYRE S.A.C.</t>
  </si>
  <si>
    <t>193-0720228-1-39</t>
  </si>
  <si>
    <t xml:space="preserve">CARRETE D/PUESTA A TIERRA ESTÁTICA, PINZA
D/COCODRILO, 15 M
</t>
  </si>
  <si>
    <t>2026-02-17 19:26:00</t>
  </si>
  <si>
    <t>https://storage.googleapis.com/deytha-prod/rqf/eaaf8e4f-b03e-4938-8ac9-b4820f7ca726_COT - CARRETE PUESTA A TIERRA ESTÁTICA.pdf</t>
  </si>
  <si>
    <t>https://storage.googleapis.com/deytha-prod/bcp_pdfs/shared/1771374452_BCP_HTML.pdf</t>
  </si>
  <si>
    <t>https://storage.googleapis.com/deytha-prod/rqf/45095/dadfa7bf-a9bc-436c-8662-41f9831199dc_45095-F006-0009646-CARRETE-enrique-py28.pdf</t>
  </si>
  <si>
    <t>2026-02-17 12:14:41</t>
  </si>
  <si>
    <t>2026-02-17 13:18:33</t>
  </si>
  <si>
    <t>2026-02-17 12:14:15</t>
  </si>
  <si>
    <t>PAGO DE EMO PARA COAGUILA MAMANI
GONZALO</t>
  </si>
  <si>
    <t>2026-02-18 11:03:00</t>
  </si>
  <si>
    <t>https://storage.googleapis.com/deytha-prod/rqf/f6dcf42e-db1e-4508-9a1b-4f444bece3f3_VAL 16-2026 -.xlsx</t>
  </si>
  <si>
    <t>https://storage.googleapis.com/deytha-prod/bcp_pdfs/shared/1771430669_BCP_HTML.pdf</t>
  </si>
  <si>
    <t>https://storage.googleapis.com/deytha-prod/rqf/45151/35fd63f1-ff03-44ae-87df-1dda8a08cbc8_PDF-DOC-E001-85520606572922.pdf</t>
  </si>
  <si>
    <t>2026-02-16 10:56:29</t>
  </si>
  <si>
    <t>2026-02-16 11:25:41</t>
  </si>
  <si>
    <t>2026-02-17 10:56:24</t>
  </si>
  <si>
    <t>GRUPO PANA S.A.</t>
  </si>
  <si>
    <t xml:space="preserve">193-0728939-1-28 </t>
  </si>
  <si>
    <t xml:space="preserve">REPARACION DE CAMIONETA CEB-791 // DESCUENTO AL TRABAJADOR JOEL SANCHEZ YA SE VIENE REALIZANDO </t>
  </si>
  <si>
    <t>2026-02-18 10:35:00</t>
  </si>
  <si>
    <t>https://storage.googleapis.com/deytha-prod/bcp_pdfs/shared/1771428929_BCP_HTML.pdf</t>
  </si>
  <si>
    <t>https://storage.googleapis.com/deytha-prod/supplierBills/lmnSVqZWGsi1dVALN9QkpIL9LahqIwvQF2vteCGp.pdf</t>
  </si>
  <si>
    <t>SERVICIOS Y VENTAS GENERALES S.A.C.</t>
  </si>
  <si>
    <t xml:space="preserve">385 - 2052014 - 0 - 01 </t>
  </si>
  <si>
    <t>2026-01-29 09:32:22</t>
  </si>
  <si>
    <t>2026-02-14 15:30:07</t>
  </si>
  <si>
    <t>2026-01-30 09:31:33</t>
  </si>
  <si>
    <t>GRUPO ELECTRÓGENO CABINADO, POTENCIA
72KW (GEP 100), MARCA CATERPILLAR
(ALQUILER DEL 27 DIC AL 17 ENERO)</t>
  </si>
  <si>
    <t>2026-02-27 21:26:00</t>
  </si>
  <si>
    <t>https://storage.googleapis.com/deytha-prod/payments/bvFAMRZB3SzR5dejw2KKZiDr2CztOKRjM4aahgLJ.pdf</t>
  </si>
  <si>
    <t>https://storage.googleapis.com/deytha-prod/bcp_pdfs/shared/1772245708_BCP_HTML.pdf</t>
  </si>
  <si>
    <t>2026-01-29 15:34:32</t>
  </si>
  <si>
    <t>2026-01-30 15:34:03</t>
  </si>
  <si>
    <t>GRIFO SAMEGUA E.I.R.L</t>
  </si>
  <si>
    <t>430-2101436-0-59</t>
  </si>
  <si>
    <t xml:space="preserve">VALORIZACION DE COMBUSTIBLE DE UNIDADES 
DEL 01 AL 15 DE ENERO 2026 
</t>
  </si>
  <si>
    <t>2026-02-27 17:27:00</t>
  </si>
  <si>
    <t>https://storage.googleapis.com/deytha-prod/rqf/f9dfc75c-4475-4c8d-82c6-af6227ea34d8_COT- VAL COMB - DEL 01 AL 15 ENERO - 2026.pdf</t>
  </si>
  <si>
    <t>https://storage.googleapis.com/deytha-prod/bcp_pdfs/shared/1772231369_BCP_HTML.pdf</t>
  </si>
  <si>
    <t>2026-02-03 15:02:11</t>
  </si>
  <si>
    <t>2026-02-10 15:01:40</t>
  </si>
  <si>
    <t>ALQUILER DE CONTENEDOR TIPO ALMACEN COLOR AZUL VACIO EN SU INTERIOR; DESDE EL 17/12/2025 AL 16/01/2026; DE ACUERDO A ORDEN DE SERVICIO FO-LO-21186,ALM-014</t>
  </si>
  <si>
    <t>https://storage.googleapis.com/deytha-prod/payments/M1aFNo8xDj45DdzIxWBFNZZAdT7SXcBJpQcsFUTJ.pdf</t>
  </si>
  <si>
    <t>https://storage.googleapis.com/deytha-prod/rqf/43623/d35300de-e6b2-40f5-af1d-0222f32c6cc9_PDF-DOC-E001-214 DEYFOR - 21186 (2).pdf</t>
  </si>
  <si>
    <t>2026-02-03 15:14:19</t>
  </si>
  <si>
    <t>2026-02-10 15:14:12</t>
  </si>
  <si>
    <t>ALQUILER DE CONTENEDOR TIPO OFICINA DESDE EL 01/12/2025 AL 31/12/2025 DE ACUERDO A ORDEN DE SERVICIO FO-LO-18409
ORDEN DE SERVICIO FO-LO-18409</t>
  </si>
  <si>
    <t>https://storage.googleapis.com/deytha-prod/payments/YgLPlrezqP4k98j68QKH72yawRhkwUiNmPe7eXk0.pdf</t>
  </si>
  <si>
    <t>https://storage.googleapis.com/deytha-prod/rqf/43626/2cdb4302-e6b8-4227-b328-a1813636a86a_PDF-DOC-E001-213 DEYFOR - 18409 (2).pdf</t>
  </si>
  <si>
    <t>2026-02-03 15:23:57</t>
  </si>
  <si>
    <t>2026-02-10 15:23:48</t>
  </si>
  <si>
    <t xml:space="preserve">ALQUILER DE CONTENEDOR MARITIMO DE 20' PARA USO DE COMEDOR, DE ACUERDO A ORDEN DE SERVICIO FO-LO-30550, DESDE EL 13/12/2025 AL 12/01/2026 </t>
  </si>
  <si>
    <t>https://storage.googleapis.com/deytha-prod/payments/AwI4mTpOOkKdYNMGOVSEgImsc9YPx8Pp2cqUcQJN.pdf</t>
  </si>
  <si>
    <t>https://storage.googleapis.com/deytha-prod/rqf/43629/06aa9ff4-468f-413d-a88b-3f580bc2332d_PDF-DOC-E001-212 DEYFOR 30550.pdf</t>
  </si>
  <si>
    <t>2026-02-03 15:40:45</t>
  </si>
  <si>
    <t>2026-02-10 15:39:52</t>
  </si>
  <si>
    <t>ALQUILER DE CONTENEDOR TIPO ALMACEN CON REPISAS (ALM013)
ALQUILER DE CONTENEDOR TIPO OFICINA (OFI-013)
ALQUILER DE CONTENEDOR TIPO ALMACEN VACIO (ALM-010)
ALQUILER DE CONTENEDOR TIPO OFICINA (OFI-016)
ALQUILER DE CONTENEDOR TIPO ALMACEN CON REPISAS; DESDE EL 06/12/2025 AL 05/01/2026; DE
ACUERDO A ORDEN DE SERVICIO FO-LO-21186  (OFI-014)</t>
  </si>
  <si>
    <t>https://storage.googleapis.com/deytha-prod/payments/bKTnnoTEsbqyyQhkYK4cuXXor5lr58ehm5Pyboh9.pdf</t>
  </si>
  <si>
    <t>https://storage.googleapis.com/deytha-prod/rqf/43635/daa69c8a-cc67-4916-bcde-905320fc924a_PDF-DOC-E001-215 DEYFOR 21186 (2).pdf</t>
  </si>
  <si>
    <t>2026-02-12 21:16:08</t>
  </si>
  <si>
    <t>2026-02-14 12:15:57</t>
  </si>
  <si>
    <t>INVERSIONES DEL SUR A &amp; E ASOCIADOS E.I.R.L</t>
  </si>
  <si>
    <t>385-7130515-0-90</t>
  </si>
  <si>
    <t xml:space="preserve">RECARGA DE AGUA PARA PERSONAL EN OBRA </t>
  </si>
  <si>
    <t>2026-02-26 18:11:00</t>
  </si>
  <si>
    <t>https://storage.googleapis.com/deytha-prod/rqf/483d0aeb-0b95-415e-963f-163404abce69_COT - RECARGA DE AGUA FEBRERO.pdf</t>
  </si>
  <si>
    <t>https://storage.googleapis.com/deytha-prod/bcp_pdfs/shared/1772147554_BCP_HTML.pdf</t>
  </si>
  <si>
    <t>2026-02-12 21:32:17</t>
  </si>
  <si>
    <t>2026-02-14 12:31:34</t>
  </si>
  <si>
    <t>INVERSIONES JODIMAC S.R.L.</t>
  </si>
  <si>
    <t>430-198310307-6</t>
  </si>
  <si>
    <t xml:space="preserve">SERVICIO DE MANTENIMIENTO Y/O REPARACION DE GRUPO ELECTROGENO WERKEN
CAMBIO DE PIEZAS 
CAMBIO DE ACEITE 
CAMBIO DE CARBURADOR 
</t>
  </si>
  <si>
    <t>2026-02-17 18:02:00</t>
  </si>
  <si>
    <t>https://storage.googleapis.com/deytha-prod/payments/Drq9BUJzEhw54F1dIOaFw43yae3ERI3h0eTOp5SV.pdf</t>
  </si>
  <si>
    <t>https://storage.googleapis.com/deytha-prod/bcp_pdfs/shared/1771369409_BCP_HTML.pdf</t>
  </si>
  <si>
    <t>https://storage.googleapis.com/deytha-prod/rqf/44894/5a1cdef8-88a0-45d9-bbae-d76eb5818c17_44894-F001-00003115-CARBURADORA-ACEITE-JODIMAC.-RC-PY28.pdf</t>
  </si>
  <si>
    <t>2026-02-12 23:25:59</t>
  </si>
  <si>
    <t>2026-02-14 14:25:00</t>
  </si>
  <si>
    <t>ELECTRORAYO S.R.L.</t>
  </si>
  <si>
    <t xml:space="preserve">430 2413891 0 70 </t>
  </si>
  <si>
    <t>COT - CABLE DE 8 AWG 
REQ # 12 - TELECOMUNICACIONES</t>
  </si>
  <si>
    <t>2026-02-17 18:04:00</t>
  </si>
  <si>
    <t>https://storage.googleapis.com/deytha-prod/rqf/fd3833a7-bb69-43a1-ace0-f118d01f229c_COT -  CABLE 8 AWG Y FOCOS.pdf</t>
  </si>
  <si>
    <t>https://storage.googleapis.com/deytha-prod/bcp_pdfs/shared/1771369528_BCP_HTML.pdf</t>
  </si>
  <si>
    <t>https://storage.googleapis.com/deytha-prod/rqf/44905/f3416501-0d83-4474-aad7-4a71cfd99f39_44905-F001-0023594-cable-panelled-electrorayo-rc.pdf</t>
  </si>
  <si>
    <t>2026-02-13 11:58:16</t>
  </si>
  <si>
    <t>2026-03-02 11:58:11</t>
  </si>
  <si>
    <t>HOTEL CASA HUERTA E.I.R.L.</t>
  </si>
  <si>
    <t>430-2612047-0-46</t>
  </si>
  <si>
    <t>ALOJAMIENTO DEL MES DE NOVIEMBRE HOTEL CASA HUERTA Y SELIN</t>
  </si>
  <si>
    <t>https://storage.googleapis.com/deytha-prod/payments/78hRCxsoGeSdEp3VZv8biVSV5XfMci5I5LPL0q7q.pdf</t>
  </si>
  <si>
    <t>https://storage.googleapis.com/deytha-prod/supplierBills/2Bu7pvMoFKWxlQaxSaop24hMtSbWIEWUtWuouQYX.pdf</t>
  </si>
  <si>
    <t>HUANCA FLORES ELIANA</t>
  </si>
  <si>
    <t>2026-02-09 19:55:10</t>
  </si>
  <si>
    <t>2026-02-13 09:42:11</t>
  </si>
  <si>
    <t>2026-02-11 10:54:00</t>
  </si>
  <si>
    <t>E &amp; M FEMASUR S.R.L.</t>
  </si>
  <si>
    <t xml:space="preserve">COT - EPP 
REQ SSOMA # 41 </t>
  </si>
  <si>
    <t>https://storage.googleapis.com/deytha-prod/rqf/e5ff2b1c-50c8-4d05-b4c0-8c7e21739cd0_COT - EPPS REQ SSOMA 41.pdf</t>
  </si>
  <si>
    <t>https://storage.googleapis.com/deytha-prod/bcp_pdfs/shared/1772239114_BCP_HTML.pdf</t>
  </si>
  <si>
    <t>2026-02-12 21:55:47</t>
  </si>
  <si>
    <t>2026-02-14 12:55:11</t>
  </si>
  <si>
    <t>CATSESA S.A.</t>
  </si>
  <si>
    <t>192-32552507-0-19</t>
  </si>
  <si>
    <t xml:space="preserve">COT - 
ExtintorANSUL Sentry CO2 10 lb, CD10A-1
SE ADJUNTA CUADRO COMPARATIVO EN EL SHAREPOINT </t>
  </si>
  <si>
    <t>2026-02-24 19:34:00</t>
  </si>
  <si>
    <t>https://storage.googleapis.com/deytha-prod/rqf/b0b2c4ef-fb22-4bf9-8245-03c28d1ad720_COT - ExtintorANSUL Sentry CO2 10 lb.pdf</t>
  </si>
  <si>
    <t>https://storage.googleapis.com/deytha-prod/bcp_pdfs/shared/1771979729_BCP_HTML.pdf</t>
  </si>
  <si>
    <t>2026-02-12 23:48:17</t>
  </si>
  <si>
    <t>2026-02-14 14:48:01</t>
  </si>
  <si>
    <t>COT - MATERIALES PARA TELECOMUNICACIONES Y MECANICOS
REQ # TELECOMUNICACION 11 / 12 
REQ # MECANICO 33</t>
  </si>
  <si>
    <t>https://storage.googleapis.com/deytha-prod/rqf/a09253ad-727c-4bf2-b4e5-6c5adb751990_COT - MATERIAL MECANICO Y TELECOMUNICACIONES.pdf</t>
  </si>
  <si>
    <t>https://storage.googleapis.com/deytha-prod/bcp_pdfs/shared/1771891058_BCP_HTML.pdf</t>
  </si>
  <si>
    <t>https://storage.googleapis.com/deytha-prod/rqf/44906/f84a30cb-305e-401c-bf34-0bb862d88158_44906-E001-3245-factura-CODO-UNION-VALVULA-py28.pdf</t>
  </si>
  <si>
    <t>2026-01-30 11:32:35</t>
  </si>
  <si>
    <t>2026-02-13 09:11:29</t>
  </si>
  <si>
    <t>2026-01-31 11:32:32</t>
  </si>
  <si>
    <t>MENDOZA CORI YONI EFRAIN</t>
  </si>
  <si>
    <t>ALQUIER DE RETROEXCAVADORA CAT 420 EN EL MES DE OCTUBRE.</t>
  </si>
  <si>
    <t>https://storage.googleapis.com/deytha-prod/payments/MOxIDwsSrLjfpTFCnxbRT7VAwP8pVflkVrjSGNBb.pdf</t>
  </si>
  <si>
    <t>2026-02-06 12:05:39</t>
  </si>
  <si>
    <t>2026-02-12 18:58:20</t>
  </si>
  <si>
    <t>2026-02-21 12:05:25</t>
  </si>
  <si>
    <t xml:space="preserve">ALOJAMIENTO DICIEMBRE - CASA HUERTA Y SELIN </t>
  </si>
  <si>
    <t>https://storage.googleapis.com/deytha-prod/payments/IfaDCZcU0eb51zao4iFkNm9fkca9c6Thlu4ubcz3.pdf</t>
  </si>
  <si>
    <t>https://storage.googleapis.com/deytha-prod/supplierBills/RdpiO3krAXqEUXBbDdFu3kyTUmBRdQ5aIHoHywIT.pdf</t>
  </si>
  <si>
    <t>MULTISERVIS JERICO EIRL</t>
  </si>
  <si>
    <t>2026-02-10 12:01:49</t>
  </si>
  <si>
    <t>2026-02-11 12:01:40</t>
  </si>
  <si>
    <t>MUNDO STICKERS E.I.R.L.</t>
  </si>
  <si>
    <t>COT - REQ # 01 ALMACEN 
REQ # ELECTRICO 46</t>
  </si>
  <si>
    <t>2026-02-27 12:34:00</t>
  </si>
  <si>
    <t>https://storage.googleapis.com/deytha-prod/rqf/cbe5b39d-9b09-4f40-87f8-68406ddce519_COT - STICKER PARA UNIDADES Y ELECTRICOS.pdf</t>
  </si>
  <si>
    <t>https://storage.googleapis.com/deytha-prod/bcp_pdfs/shared/1772213728_BCP_HTML.pdf</t>
  </si>
  <si>
    <t>2026-02-10 17:02:56</t>
  </si>
  <si>
    <t>2026-02-11 17:02:45</t>
  </si>
  <si>
    <t>COT - DE MATERIALES PARA UNIDADES 
REQ # 01 ALMACEN 
REQ # 31 MECANICO</t>
  </si>
  <si>
    <t>2026-02-18 10:12:00</t>
  </si>
  <si>
    <t>https://storage.googleapis.com/deytha-prod/rqf/9d196e43-44a8-4f56-9678-475e70600fc9_COT - REQ UNIDADES - SSOMA.pdf</t>
  </si>
  <si>
    <t>https://storage.googleapis.com/deytha-prod/bcp_pdfs/shared/1771427609_BCP_HTML.pdf</t>
  </si>
  <si>
    <t>https://storage.googleapis.com/deytha-prod/rqf/44565/7b9c24c7-eaed-4d06-acfc-b701a9ac13dd_44565-F007-009684-FUSIBLES,SILICONA,FRANELA,OTROS-FEMAVI.-RC-PY28.pdf</t>
  </si>
  <si>
    <t>2026-02-12 16:19:02</t>
  </si>
  <si>
    <t>2026-02-12 16:31:22</t>
  </si>
  <si>
    <t>2026-02-12 16:16:00</t>
  </si>
  <si>
    <t>REDES SALAS S.A.C.</t>
  </si>
  <si>
    <t>4302290909136  /  DOLARES</t>
  </si>
  <si>
    <t>Pago RQF-D:442(1 / 2) | “FUSIÓN Y PRUEBAS DE FIBRA ÓPTICA / CERTIFICACIÓN DE ENLACES 
ETHERNET - CUAJONE”</t>
  </si>
  <si>
    <t>2026-02-12 18:00:00</t>
  </si>
  <si>
    <t>https://storage.googleapis.com/deytha-prod/payments/M2mV0jeq43YFI7st04IJw2FH1upAOZ3NfW4CObhn.pdf</t>
  </si>
  <si>
    <t>https://storage.googleapis.com/deytha-prod/bcp_pdfs/shared/1770937290_BCP_HTML.pdf</t>
  </si>
  <si>
    <t>2026-02-07 09:39:43</t>
  </si>
  <si>
    <t>2026-02-11 18:11:01</t>
  </si>
  <si>
    <t>2026-03-09 09:39:14</t>
  </si>
  <si>
    <t xml:space="preserve">ALIMENTACIÓN MES DE NOVIEMBRE -2025 </t>
  </si>
  <si>
    <t>https://storage.googleapis.com/deytha-prod/payments/FCAYvPnQkiX1RFfsOLHaTOItyLgUZaHRkYcZONdQ.pdf</t>
  </si>
  <si>
    <t>2026-02-09 14:36:04</t>
  </si>
  <si>
    <t>2026-02-10 11:49:33</t>
  </si>
  <si>
    <t>2026-02-28 14:35:37</t>
  </si>
  <si>
    <t>GRUPO MORELIA E.I.R.L</t>
  </si>
  <si>
    <t>540 04244124 0 18</t>
  </si>
  <si>
    <t>ALQUILER  DE CAMIONETAS Z8G-937 Y Z8G-743 EN EL MES DE ENERO.</t>
  </si>
  <si>
    <t>https://storage.googleapis.com/deytha-prod/payments/UHC4xTBGj0Yoma6UTnp0ofNPUDlYc6TLVGodRp7n.pdf</t>
  </si>
  <si>
    <t>https://storage.googleapis.com/deytha-prod/supplierBills/f9ZWYQzvbLE2FqWSEq3BerXwxDLH8tiRR9n20Kug.pdf</t>
  </si>
  <si>
    <t>2026-02-10 09:57:54</t>
  </si>
  <si>
    <t>2026-02-10 09:57:53</t>
  </si>
  <si>
    <t>ZELAYA DAMIAN MIGUEL GUILLERMO</t>
  </si>
  <si>
    <t>064-7696616</t>
  </si>
  <si>
    <t xml:space="preserve">Pago de Liquidación. </t>
  </si>
  <si>
    <t>NO APLICA</t>
  </si>
  <si>
    <t>2026-02-17 18:45:00</t>
  </si>
  <si>
    <t>https://storage.googleapis.com/deytha-prod/worker/settle/otnwMkdvUVmlc8eKdYwBTDeIdwzHJUsTLVOMCp3s.pdf</t>
  </si>
  <si>
    <t>https://storage.googleapis.com/deytha-prod/rqf/payments/f248ec1d-8007-4389-bf18-29b0ec2feb0b_Scotiabank_2026-02-17 645PM_44436.pdf</t>
  </si>
  <si>
    <t>PEN SCOTIABANK 000-4830270</t>
  </si>
  <si>
    <t>2026-02-10 09:44:41</t>
  </si>
  <si>
    <t>CALDERON  BENAVIDES DIEGO RODRIGO MARTIN</t>
  </si>
  <si>
    <t>194-39135154057</t>
  </si>
  <si>
    <t>2026-03-02 20:41:00</t>
  </si>
  <si>
    <t>https://storage.googleapis.com/deytha-prod/worker/settle/bksCIGIU0JGDPTC7I8tdIFQujV0EHtOxrGSsjktz.pdf</t>
  </si>
  <si>
    <t>https://storage.googleapis.com/deytha-prod/bcp_pdfs/shared/1772502149_BCP_HTML.pdf</t>
  </si>
  <si>
    <t>2026-01-30 15:02:44</t>
  </si>
  <si>
    <t>2026-02-10 07:29:36</t>
  </si>
  <si>
    <t>2026-01-31 15:02:29</t>
  </si>
  <si>
    <t>INGENIERIA EN MANTENIMIENTO PREDICTIVO Y TECNOLOGIA S.A.C.</t>
  </si>
  <si>
    <t>INTERBANK DOLARES</t>
  </si>
  <si>
    <t>300-3005427244</t>
  </si>
  <si>
    <t xml:space="preserve">Servicio de Inspección UTPA a soldadura de tanque incluye: - Disponibilidad inspector Nivel II UTPA con certificación vigente. - Disponibilidad equipos de Ultrasonido UTPA con certificados vigentes. - Informe de proceso o registro de resultados de inspección. Inspección de juntas a tope por metro (al 75% de dscto.) </t>
  </si>
  <si>
    <t>https://storage.googleapis.com/deytha-prod/payments/y2IZLfgaMFmRFk88YWF48G2MjwQ5Pl5pjLdgwAVk.pdf</t>
  </si>
  <si>
    <t>2026-02-09 17:45:31</t>
  </si>
  <si>
    <t>devolucion caja chia # 17 </t>
  </si>
  <si>
    <t>2026-02-09 17:47:48</t>
  </si>
  <si>
    <t>https://storage.googleapis.com/deytha-prod/payments/F3829BiojDmnY3dzd8XYgt4mLofwbNEpEzZVTvxN.jpg</t>
  </si>
  <si>
    <t>https://storage.googleapis.com/deytha-prod/payments/aQ8ebYvHLRBn8CL6I8pBZRoU9qq6fFuQZwH8OKfb.jpg</t>
  </si>
  <si>
    <t>2026-02-09 10:38:44</t>
  </si>
  <si>
    <t>2026-01-28 10:38:44</t>
  </si>
  <si>
    <t>TODO CARGO E.I.R.L.</t>
  </si>
  <si>
    <t>PAGO POR SERVICIO DE TRANSPORTE DE ENCOMIENDA</t>
  </si>
  <si>
    <t>2026-02-09 17:55:08</t>
  </si>
  <si>
    <t>https://storage.googleapis.com/deytha-prod/payments/o3ba9FxoijHmKz6faHkKE3BSaKZ4myREJDuFJmwP.pdf</t>
  </si>
  <si>
    <t>https://storage.googleapis.com/deytha-prod/payments/nhuXmkhGat7fEKkdTpApLcEt8MjuAGBVGYhli7RL.pdf</t>
  </si>
  <si>
    <t>2026-02-09 10:35:36</t>
  </si>
  <si>
    <t>2026-01-26 10:35:36</t>
  </si>
  <si>
    <t>EMP. TRANS. FLORES HNOS SRL</t>
  </si>
  <si>
    <t>RECOJO DE ENCOMIENDA EN FLORES </t>
  </si>
  <si>
    <t>2026-02-09 17:55:12</t>
  </si>
  <si>
    <t>https://storage.googleapis.com/deytha-prod/payments/XORktNb2QH2ctUAbkErweF8zxH5rGMD8UL76V36N.pdf</t>
  </si>
  <si>
    <t>https://storage.googleapis.com/deytha-prod/payments/2jZvTxA6vck8UotbGYGCXkeGaXP1btsjIhtpFeZC.pdf</t>
  </si>
  <si>
    <t>2026-02-09 10:32:10</t>
  </si>
  <si>
    <t>2026-01-23 10:32:10</t>
  </si>
  <si>
    <t>PAGO DE PEAJES </t>
  </si>
  <si>
    <t>2026-02-09 17:47:50</t>
  </si>
  <si>
    <t>https://storage.googleapis.com/deytha-prod/payments/j3AU6qN4pR2PidEqfHtylQtBTRvSBFa44eV06aCy.pdf</t>
  </si>
  <si>
    <t>https://storage.googleapis.com/deytha-prod/payments/pDYXw7yfPtiE37k64t7T8QBERwzg1QHREJ4ozfny.pdf</t>
  </si>
  <si>
    <t>2026-02-09 10:28:33</t>
  </si>
  <si>
    <t>2026-01-27 10:28:33</t>
  </si>
  <si>
    <t>SHALOM EMPRESARIAL SAC</t>
  </si>
  <si>
    <t>PAGO POR ENVIO DE ENCOMIENDO </t>
  </si>
  <si>
    <t>2026-02-09 17:55:00</t>
  </si>
  <si>
    <t>https://storage.googleapis.com/deytha-prod/payments/SIDyiNIzeigDof2ElKtGrwlgrMn7ap0vQzWIcsCt.pdf</t>
  </si>
  <si>
    <t>https://storage.googleapis.com/deytha-prod/payments/7GEBbpEylc07ZnOw7HxVwaLjoTyyrYMMGyjG35OH.pdf</t>
  </si>
  <si>
    <t>2026-02-09 10:24:02</t>
  </si>
  <si>
    <t>2026-01-27 10:24:02</t>
  </si>
  <si>
    <t>COMPRA DE URGENCIA DE ADHESIVO  (STICKER)</t>
  </si>
  <si>
    <t>2026-02-09 17:54:44</t>
  </si>
  <si>
    <t>https://storage.googleapis.com/deytha-prod/payments/eOV7vCvdojhMM5PfZkQQ7qxuBYt0FRglxpnekO5x.pdf</t>
  </si>
  <si>
    <t>https://storage.googleapis.com/deytha-prod/payments/oBv8yjaASNH8nXMuP6dQeHixcHECIvbbG0fxUvMr.pdf</t>
  </si>
  <si>
    <t>2026-01-16 23:35:05</t>
  </si>
  <si>
    <t>2026-02-09 00:50:47</t>
  </si>
  <si>
    <t>2026-01-20 14:34:40</t>
  </si>
  <si>
    <t>RETROEXCAVADORA: Mes de Diciembre | unidad : L9T00887 | Año 2022</t>
  </si>
  <si>
    <t>https://storage.googleapis.com/deytha-prod/payments/k5My31fA9y7Luv6ok66JvIKCk3IKaYTfVo8nmqEf.pdf</t>
  </si>
  <si>
    <t>https://storage.googleapis.com/deytha-prod/supplierBills/wnZDKw3SXzGILdDG1G9iniAA2cI6AbQwVHlqJzH1.pdf</t>
  </si>
  <si>
    <t>2026-02-06 11:24:31</t>
  </si>
  <si>
    <t>2026-02-07 09:59:32</t>
  </si>
  <si>
    <t>2026-02-07 11:24:25</t>
  </si>
  <si>
    <t>PAMER PERU</t>
  </si>
  <si>
    <t>405-2388591-0-89</t>
  </si>
  <si>
    <t xml:space="preserve">COT - SIKA FLEX SIKA ANTISOL REQ CIVIL # 42 / 45 
COMPLETAR REQ SOLO 1 BALDE / REQ COMPLETO </t>
  </si>
  <si>
    <t>2026-02-09 16:17:00</t>
  </si>
  <si>
    <t>https://storage.googleapis.com/deytha-prod/rqf/47cee7fa-8939-4d00-8895-6ab21512b8e6_COT - SIKA ANTISOL COMPLETAR.pdf</t>
  </si>
  <si>
    <t>https://storage.googleapis.com/deytha-prod/bcp_pdfs/shared/1770671910_BCP_HTML.pdf</t>
  </si>
  <si>
    <t>https://storage.googleapis.com/deytha-prod/rqf/44044/5c5f1645-87ce-44cc-94e1-42fd06193d52_44044-FQQ3-011861-SIKACENTER-SIKAANTISOL-PAMER.pdf</t>
  </si>
  <si>
    <t>2026-02-06 11:57:57</t>
  </si>
  <si>
    <t>2026-02-07 11:57:48</t>
  </si>
  <si>
    <t>COT - ROTULOS Y STICKER PARA CABLES 
REQ # 13 DE TELECOMUNICACIONES</t>
  </si>
  <si>
    <t>2026-02-10 18:14:00</t>
  </si>
  <si>
    <t>https://storage.googleapis.com/deytha-prod/rqf/d9b9b075-5daf-475b-af32-b1b27444df70_COT - REQ TELECOMUNICACIONES - ROTULOS.pdf</t>
  </si>
  <si>
    <t>https://storage.googleapis.com/deytha-prod/bcp_pdfs/shared/1770765328_BCP_HTML.pdf</t>
  </si>
  <si>
    <t>https://storage.googleapis.com/deytha-prod/rqf/44052/6a120a91-258a-409f-b647-7229f0844dd0_44052-F001-00002491-rotulados-conelsac.-rc-py28.pdf</t>
  </si>
  <si>
    <t>2026-02-06 12:26:07</t>
  </si>
  <si>
    <t>2026-02-07 12:25:58</t>
  </si>
  <si>
    <t xml:space="preserve">EPPS 
 PERSONAL NUEVO 
REQ 25 MECANICO 
REQ 35 SSOMA </t>
  </si>
  <si>
    <t>https://storage.googleapis.com/deytha-prod/rqf/a3f22dbe-6ac9-4fe6-ac8f-0ee9ee6902df_COT - EPPS PARA SSOMA ENERO.pdf</t>
  </si>
  <si>
    <t>https://storage.googleapis.com/deytha-prod/bcp_pdfs/shared/1772239054_BCP_HTML.pdf</t>
  </si>
  <si>
    <t>2026-02-06 12:52:04</t>
  </si>
  <si>
    <t>2026-02-07 12:51:57</t>
  </si>
  <si>
    <t>COT - UTILES DE ESCRITORIO 
REQ
MECANICO # 32 
SSOMA # 41 
CALIDAD # 17</t>
  </si>
  <si>
    <t>2026-02-11 13:52:00</t>
  </si>
  <si>
    <t>https://storage.googleapis.com/deytha-prod/rqf/fe005f26-42c5-43b1-9db5-13a0615cbcfa_COT - UTILES DE ESCRITORIO -SSOMA MECAN - CALIDAD.pdf</t>
  </si>
  <si>
    <t>https://storage.googleapis.com/deytha-prod/bcp_pdfs/shared/1770836009_BCP_HTML.pdf</t>
  </si>
  <si>
    <t>https://storage.googleapis.com/deytha-prod/rqf/44079/de6f80fa-520f-433b-9f2c-0ee29800ba87_F001-00007433-papelbond, lapicero-ofipapel.-rc-py28.pdf</t>
  </si>
  <si>
    <t>2026-02-07 09:44:30</t>
  </si>
  <si>
    <t>2026-03-09 09:44:01</t>
  </si>
  <si>
    <t>ALIEMNTACIÓN MES DE DICIEMBRE (SELIN)-2025</t>
  </si>
  <si>
    <t>https://storage.googleapis.com/deytha-prod/payments/NC88em4JKSsmfGQ8Mg0q54l8L6R0W7zuUa7Jjmy1.pdf</t>
  </si>
  <si>
    <t>2026-01-29 16:08:18</t>
  </si>
  <si>
    <t>2026-02-06 11:15:14</t>
  </si>
  <si>
    <t>2026-01-30 16:08:15</t>
  </si>
  <si>
    <t>MIRANDA CCORI PERCY</t>
  </si>
  <si>
    <t xml:space="preserve">430-38376209-0-60 ( 2026) </t>
  </si>
  <si>
    <t xml:space="preserve">ALQUILER DE APISONADOR 
X 6 DIAS 
</t>
  </si>
  <si>
    <t>2026-02-09 16:26:00</t>
  </si>
  <si>
    <t>https://storage.googleapis.com/deytha-prod/payments/A3bfFWXLOBb3zQt0xHcvD3bHPTbWifHcM1lW8kHm.pdf</t>
  </si>
  <si>
    <t>https://storage.googleapis.com/deytha-prod/bcp_pdfs/shared/1770672450_BCP_HTML.pdf</t>
  </si>
  <si>
    <t>https://storage.googleapis.com/deytha-prod/rqf/43247/a19fefd4-91e5-4822-99b8-602686deae72_43247-E001-50-alquiler-miranda.-rc-py28.pdf</t>
  </si>
  <si>
    <t>2026-02-05 16:32:16</t>
  </si>
  <si>
    <t>2026-02-06 09:07:54</t>
  </si>
  <si>
    <t>2026-02-06 16:32:08</t>
  </si>
  <si>
    <t>SALTEC S.A.C.</t>
  </si>
  <si>
    <t>430-12091235-0-82</t>
  </si>
  <si>
    <t>COT - CEMENTO CONDUCTIVO 
REQ # 47 - ELECTRICO</t>
  </si>
  <si>
    <t>2026-02-09 16:38:00</t>
  </si>
  <si>
    <t>https://storage.googleapis.com/deytha-prod/rqf/c67aab60-f4c5-4dfe-b8c3-4165d9632c5f_COT - CEMENTO CONDUCTIVOO - CHEN CHEN.pdf</t>
  </si>
  <si>
    <t>https://storage.googleapis.com/deytha-prod/bcp_pdfs/shared/1770673110_BCP_HTML.pdf</t>
  </si>
  <si>
    <t>https://storage.googleapis.com/deytha-prod/rqf/43945/22b23502-1262-4f9c-866f-792770eddb0a_43945-F001-0000001-cemento-SALTEC.-RC-py28.pdf</t>
  </si>
  <si>
    <t>2026-02-05 16:38:08</t>
  </si>
  <si>
    <t>2026-02-06 16:37:59</t>
  </si>
  <si>
    <t xml:space="preserve">COT - 
MATERIAL MECANICO 31 /32 </t>
  </si>
  <si>
    <t>2026-02-09 16:13:00</t>
  </si>
  <si>
    <t>https://storage.googleapis.com/deytha-prod/rqf/53fef972-81e3-41e5-bd61-4c88c168f51d_COT - MATERIAL MECANCO - 31 Y 32.pdf</t>
  </si>
  <si>
    <t>https://storage.googleapis.com/deytha-prod/bcp_pdfs/shared/1770671609_BCP_HTML.pdf</t>
  </si>
  <si>
    <t>https://storage.googleapis.com/deytha-prod/rqf/43946/26ea5f28-7522-4e44-a4e5-ef9f41f9f42f_43946-E001-3176-CODO-UNIOON.-RC-PY28.pdf</t>
  </si>
  <si>
    <t>2026-02-06 07:21:23</t>
  </si>
  <si>
    <t>2026-02-07 07:20:50</t>
  </si>
  <si>
    <t>YUCA HUARACALLO LUCIA VANESSA</t>
  </si>
  <si>
    <t xml:space="preserve">00346201321194407991 </t>
  </si>
  <si>
    <t>CAJA N° 1 : GASTOS ADMINISTRATIVOS</t>
  </si>
  <si>
    <t>PARENT</t>
  </si>
  <si>
    <t>2026-02-05 16:54:11</t>
  </si>
  <si>
    <t>2026-02-05 18:39:44</t>
  </si>
  <si>
    <t>2026-02-05 16:54:02</t>
  </si>
  <si>
    <t>PAGO DE EMO PARA ROJAS PACHECO JOSE EMILIO</t>
  </si>
  <si>
    <t>2026-02-05 19:11:00</t>
  </si>
  <si>
    <t>https://storage.googleapis.com/deytha-prod/rqf/8f616662-ae68-4ced-9d47-1d5f112572e5_VALORIZACION 14-2026 -DEYFOR.xlsx</t>
  </si>
  <si>
    <t>https://storage.googleapis.com/deytha-prod/bcp_pdfs/shared/1770336750_BCP_HTML.pdf</t>
  </si>
  <si>
    <t>https://storage.googleapis.com/deytha-prod/rqf/43947/dd0fde59-f01c-4c6f-8567-9272702be0f8_PDF-DOC-E00182920606572922.pdf</t>
  </si>
  <si>
    <t>2026-02-05 17:04:54</t>
  </si>
  <si>
    <t>2026-02-05 17:04:46</t>
  </si>
  <si>
    <t>S.O. TU SALUD S.A.C.</t>
  </si>
  <si>
    <t>215-1956656-0-17</t>
  </si>
  <si>
    <t>PAGO DE EMO PARA PINTADO SIANCAS EDWIN ARMANDO/ TORRES MAMANI VICTOR DAVID</t>
  </si>
  <si>
    <t>2026-02-05 19:13:00</t>
  </si>
  <si>
    <t>https://storage.googleapis.com/deytha-prod/rqf/90946704-4195-4084-9ab7-e458797534f9_F002-4315 DEYFOR.pdf</t>
  </si>
  <si>
    <t>https://storage.googleapis.com/deytha-prod/bcp_pdfs/shared/1770336869_BCP_HTML.pdf</t>
  </si>
  <si>
    <t>https://storage.googleapis.com/deytha-prod/rqf/43949/ccd3ee1d-fb4e-4869-980d-a4e2a52d9973_90946704-4195-4084-9ab7-e458797534f9_F002-4315 DEYFOR.pdf</t>
  </si>
  <si>
    <t>2026-02-04 15:38:34</t>
  </si>
  <si>
    <t>2026-02-04 15:55:05</t>
  </si>
  <si>
    <t>2026-02-05 15:38:25</t>
  </si>
  <si>
    <t>EAGLE CONSULTING SAC</t>
  </si>
  <si>
    <t>011-190-000100047106-68</t>
  </si>
  <si>
    <t>HOMOLOGACIÓN DE OPERADOR PARA GRÚA ARTICULADA JOSE ROSADO</t>
  </si>
  <si>
    <t>2026-02-05 10:08:00</t>
  </si>
  <si>
    <t>https://storage.googleapis.com/deytha-prod/payments/RpLGJ8eiCcdlxB8ic5wKOq2nWAkFwlkJVJyanelK.pdf</t>
  </si>
  <si>
    <t>https://storage.googleapis.com/deytha-prod/rqf/payments/9b988377-e09f-417e-916e-0e6a4f7cbb1c_BBVA_2026-02-05 1008AM_43685.pdf</t>
  </si>
  <si>
    <t>PEN BBVA 0011-0279-01-00026587</t>
  </si>
  <si>
    <t>2026-02-04 12:50:25</t>
  </si>
  <si>
    <t>2025-12-02 12:50:25</t>
  </si>
  <si>
    <t>RECOJO DE ENCOMIENDA PAGO -MULTIPLE</t>
  </si>
  <si>
    <t>2026-02-09 17:55:04</t>
  </si>
  <si>
    <t>https://storage.googleapis.com/deytha-prod/payments/Om7u9Ejd9ZCqmBDYxsJb7tDNR469nesQ3Z55RV3W.pdf</t>
  </si>
  <si>
    <t>https://storage.googleapis.com/deytha-prod/payments/bFabrtDAoLyGAk29LbnNYPaUGc4YIiZXREmBksFg.pdf</t>
  </si>
  <si>
    <t>2026-02-04 12:40:42</t>
  </si>
  <si>
    <t>2025-12-30 12:40:42</t>
  </si>
  <si>
    <t>ALMUERZO PARA PERSONAL STAFF NO ALCANZO EN ZELIN</t>
  </si>
  <si>
    <t>2026-02-09 17:54:39</t>
  </si>
  <si>
    <t>https://storage.googleapis.com/deytha-prod/payments/L0FvioIxWE8SNXr0jgIuuYj0UAXO5DheG1QOEIf2.pdf</t>
  </si>
  <si>
    <t>https://storage.googleapis.com/deytha-prod/payments/7MtUMTZeEKGquldH1k1qRSOaifGdFQEYUBxqSeU6.pdf</t>
  </si>
  <si>
    <t>2026-02-04 12:37:48</t>
  </si>
  <si>
    <t>2025-12-14 12:37:48</t>
  </si>
  <si>
    <t>TAXIS DE DIA 12-13 DICIEMBRE RECOJO DE MATERIALES VARIOS PROVEEDOR-MALENA-FEMAVI-ENCOMIENDA FLORES Y SHALOM Y TODO CARGO</t>
  </si>
  <si>
    <t>2026-02-09 17:54:47</t>
  </si>
  <si>
    <t>https://storage.googleapis.com/deytha-prod/payments/pLCPDVrliy8Pemleac3UO66HEdlvAcYk82Tl3zX7.pdf</t>
  </si>
  <si>
    <t>https://storage.googleapis.com/deytha-prod/payments/ApSSw2lavVy9TMrVnKmGfAnJFF3Skh5tO5uRkIoq.pdf</t>
  </si>
  <si>
    <t>2026-02-04 12:27:47</t>
  </si>
  <si>
    <t>2025-12-28 12:27:47</t>
  </si>
  <si>
    <t>TAXI PARA RECOJO Y ENVIO DE UTILES DE  ESCRITORIO Y ENVIOS DE FACTURA DE TACNA</t>
  </si>
  <si>
    <t>2026-02-09 17:54:51</t>
  </si>
  <si>
    <t>https://storage.googleapis.com/deytha-prod/payments/DT3gM6Urmko51L0ii8Yx4SGTAcM7Uz6ZvCIqCa7K.pdf</t>
  </si>
  <si>
    <t>https://storage.googleapis.com/deytha-prod/payments/kdEDMD9gvwsYtktCdzuCWf6FFYJM7W4tYrpouvKr.pdf</t>
  </si>
  <si>
    <t>2026-02-04 12:05:59</t>
  </si>
  <si>
    <t>2025-12-22 12:05:59</t>
  </si>
  <si>
    <t>TRASLADO DE MATERIAL EFECTIVO TUBOS-RAJAS-CAJAS DE ENCOMIENDA HERMANOS FLORES</t>
  </si>
  <si>
    <t>2026-02-09 17:54:55</t>
  </si>
  <si>
    <t>https://storage.googleapis.com/deytha-prod/payments/L38g2aJlQybHAKn8uuhYOUF7AKdTS3IEEXOtMm4j.pdf</t>
  </si>
  <si>
    <t>https://storage.googleapis.com/deytha-prod/payments/qQHIQrRPwY3zScaNjo9Tus9yMabSlkaILfHTY9OV.pdf</t>
  </si>
  <si>
    <t>2026-02-04 12:00:02</t>
  </si>
  <si>
    <t>2025-01-10 12:00:02</t>
  </si>
  <si>
    <t>MOVILIDAD PARA RECOJO DE EPP-CERCADO MOQEUGUA-RECOJO ENCOMIENDA TODO CARGO- REGRESO A SAMEGUA </t>
  </si>
  <si>
    <t>2026-02-09 17:54:25</t>
  </si>
  <si>
    <t>https://storage.googleapis.com/deytha-prod/payments/5nARSk72CdmIHmrU0Nl4naibELkiItPwOgx7voWd.pdf</t>
  </si>
  <si>
    <t>https://storage.googleapis.com/deytha-prod/payments/ty58jTDy8Ke4cLZZUTlPUvFVkPvcYxHnmL6NvfGT.pdf</t>
  </si>
  <si>
    <t>2026-02-04 11:44:51</t>
  </si>
  <si>
    <t>2025-12-05 11:44:51</t>
  </si>
  <si>
    <t>MOVILIDAD PARA RECOJO DE EN VARIOS PUNTOS-FEMAVI-CERCADO-GALERIA-SHALOM- SAN ANTONIO Y REGRESO A SAMEGUA</t>
  </si>
  <si>
    <t>2026-02-09 17:54:28</t>
  </si>
  <si>
    <t>https://storage.googleapis.com/deytha-prod/payments/OmdvNP8304JNq8Gxi84uTKqQU3CQ4KXM1dw5SQq1.pdf</t>
  </si>
  <si>
    <t>https://storage.googleapis.com/deytha-prod/payments/Ii2SkoGYJEZZO9TmS2FHn4BVXLT8tslIjdmuDdLQ.pdf</t>
  </si>
  <si>
    <t>2026-02-04 11:43:55</t>
  </si>
  <si>
    <t>2025-12-29 11:43:55</t>
  </si>
  <si>
    <t>RECOJO DE MATERIALES EN VARIOS PUNTOS- OFICINA SAMEGUA-FEMAVI-GALERIA BALTA Y REGRESÓ</t>
  </si>
  <si>
    <t>2026-02-09 17:54:32</t>
  </si>
  <si>
    <t>https://storage.googleapis.com/deytha-prod/payments/pnQ3WwCywIJ1EMTZlgfzq4AFnvFjy8UGrNzUyaft.pdf</t>
  </si>
  <si>
    <t>https://storage.googleapis.com/deytha-prod/payments/aPqbeRvcOfGZuom1UdA8rpmv2ICiFSZR1EICyxqy.pdf</t>
  </si>
  <si>
    <t>2026-02-04 11:33:09</t>
  </si>
  <si>
    <t>2025-12-16 11:33:09</t>
  </si>
  <si>
    <t> RECORRIDO DE RECOJO - POR CHALECO - SHALOM SAN ANTONIO- Y REGRESEO A SAMEGUA</t>
  </si>
  <si>
    <t>2026-02-09 17:54:36</t>
  </si>
  <si>
    <t>https://storage.googleapis.com/deytha-prod/payments/XlHuQVt9Jt87ns2ZJBfeUODxKqdfpGKhoPaqhYef.pdf</t>
  </si>
  <si>
    <t>https://storage.googleapis.com/deytha-prod/payments/KTSrzNvaxYvj6Swvoot2ThVRu8EhQItfMCKejAbf.pdf</t>
  </si>
  <si>
    <t>2026-02-04 11:28:34</t>
  </si>
  <si>
    <t>2025-12-30 11:28:34</t>
  </si>
  <si>
    <t>TAXI-PARA RECOJO DE MATERIAL CIVIL Y ENCOMIENDA EN TERMINAL TERRESTRE Y REGRESO A OFCINA SAMEGUA</t>
  </si>
  <si>
    <t>2026-02-09 17:54:21</t>
  </si>
  <si>
    <t>https://storage.googleapis.com/deytha-prod/payments/n5C1E0ZwoM6fEFop5mFISsYD6EfRgz1dJvHMSXDD.pdf</t>
  </si>
  <si>
    <t>https://storage.googleapis.com/deytha-prod/payments/QCkh4hrhXtuDa7NkEg1ptbiFnqGjw3UlUXU87kcx.pdf</t>
  </si>
  <si>
    <t>2026-02-04 11:25:57</t>
  </si>
  <si>
    <t>2025-12-17 11:25:57</t>
  </si>
  <si>
    <t>ENCOMIENDA DE SOLDURA HACIA CUAJONE</t>
  </si>
  <si>
    <t>2026-02-09 17:54:17</t>
  </si>
  <si>
    <t>https://storage.googleapis.com/deytha-prod/payments/W0cFQcLEp2caIEIGoOvroLMjbkXlAjABswSQ9OU7.pdf</t>
  </si>
  <si>
    <t>https://storage.googleapis.com/deytha-prod/payments/HoyHJsU664TxSC1T1tupGplbEe2xyRMOWNA2yDkK.pdf</t>
  </si>
  <si>
    <t>2026-02-04 11:18:46</t>
  </si>
  <si>
    <t>2025-12-23 11:18:46</t>
  </si>
  <si>
    <t>TAXIS-RECORRIDO DE FEMAVI-FEMASUR-OFIPAPEL Y REGRESO A OFCINA-SAMEGUA</t>
  </si>
  <si>
    <t>2026-02-09 17:54:13</t>
  </si>
  <si>
    <t>https://storage.googleapis.com/deytha-prod/payments/m5fdWilZHYrAAolySQr32V4smBR13Tv7teiBJdSc.pdf</t>
  </si>
  <si>
    <t>https://storage.googleapis.com/deytha-prod/payments/XQNeDCZwTLwC2ODZzyA1TFVdFq12JnvK2eM5C9sf.pdf</t>
  </si>
  <si>
    <t>2026-02-04 11:14:00</t>
  </si>
  <si>
    <t>2025-12-04 11:14:00</t>
  </si>
  <si>
    <t>ENVIO DE ENCOMIENDA-FACTURAS A CAJAMARCA SHALOM </t>
  </si>
  <si>
    <t>2026-02-09 17:47:55</t>
  </si>
  <si>
    <t>https://storage.googleapis.com/deytha-prod/payments/s4WIJsHnvqGf0uc2BfwpaNw0fgLeCgTHkYuBSj2a.pdf</t>
  </si>
  <si>
    <t>https://storage.googleapis.com/deytha-prod/payments/PfMXDlCGXXATHVM8C27QBmkrUHMo5NnuBztqJuj0.pdf</t>
  </si>
  <si>
    <t>2026-02-04 11:04:15</t>
  </si>
  <si>
    <t>2025-12-22 11:04:15</t>
  </si>
  <si>
    <t>RECOJO DE CHALECOS IDA Y VUELTA A CERCADO DE MOQUEGUA -SAMEGUA</t>
  </si>
  <si>
    <t>2026-02-09 17:48:03</t>
  </si>
  <si>
    <t>https://storage.googleapis.com/deytha-prod/payments/CgZlzf59Wm9YKbVSlmWl8eQpdvatb3ygYI6GRi8N.pdf</t>
  </si>
  <si>
    <t>https://storage.googleapis.com/deytha-prod/payments/97iu5RoQnkpoh1JT7PJfR6lyQRHcHQe05KmNLY2C.pdf</t>
  </si>
  <si>
    <t>2026-02-03 14:58:59</t>
  </si>
  <si>
    <t>2026-02-03 15:16:32</t>
  </si>
  <si>
    <t>2026-02-04 14:56:45</t>
  </si>
  <si>
    <t>0013011640016Y</t>
  </si>
  <si>
    <t>EMTEL ELECTROMEDICINA Y TELECOMUNICACIONES</t>
  </si>
  <si>
    <t>BANK OF AMERICA</t>
  </si>
  <si>
    <t xml:space="preserve">VALORIZACION PAGO NRO 04 INGENIERO DE COMUNICACIONES (ESPECIALISTA) Datos de cuentas Bancarias BANCOS EN ESTADOS UNIDOS DE AMERICA:  BANK OF AMERICA  3025 NW 87th ave Galloway Road, Miami, FL 33172 Phone: 1-305-591-0302 Swift: BOFAUS3N ABA: 026009593 ACH Routing Number: 063100277 Nombre: Regi Eugenio Delgadillo Número de cuenta: 8980 8518 0380 Dirección: 6320 SW, 26th ST, Miami, FL 33155-3013 Teléfono: 1-305-647-5490 </t>
  </si>
  <si>
    <t>https://storage.googleapis.com/deytha-prod/payments/RSa8KPNLLlKOTgcOCMlNc2dHS8V2TByXceaRUeXd.pdf</t>
  </si>
  <si>
    <t>2026-01-29 16:18:15</t>
  </si>
  <si>
    <t>2026-02-02 15:28:59</t>
  </si>
  <si>
    <t>2026-01-30 16:17:56</t>
  </si>
  <si>
    <t>COT - REQ DE ADITIVO R-500 
REQ MECANICO # 28</t>
  </si>
  <si>
    <t>2026-02-02 19:13:00</t>
  </si>
  <si>
    <t>https://storage.googleapis.com/deytha-prod/rqf/fd87d610-1242-4601-a8a5-c1bd2d5f662d_COT - R- 500 ADITIVO - REQ MECANICO 28.pdf</t>
  </si>
  <si>
    <t>https://storage.googleapis.com/deytha-prod/bcp_pdfs/shared/1770077609_BCP_HTML.pdf</t>
  </si>
  <si>
    <t>https://storage.googleapis.com/deytha-prod/rqf/43252/0120e387-d389-4959-bf21-487c8bae671d_43252-FQQ1-000615-FACTURA-ADITIVO-ACEMAD.-RC-PY28.pdf</t>
  </si>
  <si>
    <t>2026-01-29 17:03:31</t>
  </si>
  <si>
    <t>2026-01-30 17:03:10</t>
  </si>
  <si>
    <t>CRESCO S.A.C.</t>
  </si>
  <si>
    <t>193-9865070-0-70</t>
  </si>
  <si>
    <t xml:space="preserve">COT - CONECTOR BURNDY  GK6429
REQ # 36 - ELECTRICO </t>
  </si>
  <si>
    <t>2026-02-02 19:11:00</t>
  </si>
  <si>
    <t>https://storage.googleapis.com/deytha-prod/rqf/8b41a148-5f97-45ec-8855-bba7094fb8fb_COT - CONECTOR BURNDY GK6429.pdf</t>
  </si>
  <si>
    <t>https://storage.googleapis.com/deytha-prod/bcp_pdfs/shared/1770077490_BCP_HTML.pdf</t>
  </si>
  <si>
    <t>https://storage.googleapis.com/deytha-prod/rqf/43262/0384e840-964a-43ef-8d5e-221943d4e61a_43262-E001-2186-CONECTOR-FACTURA-CRESCO.-RC-PY28.pdf</t>
  </si>
  <si>
    <t>2026-01-30 09:31:22</t>
  </si>
  <si>
    <t>2026-01-31 09:31:20</t>
  </si>
  <si>
    <t>COT - SIKA FLEX 
SIKA ANTISOL 
REQ CIVIL # 42 / 45</t>
  </si>
  <si>
    <t>2026-02-02 18:51:00</t>
  </si>
  <si>
    <t>https://storage.googleapis.com/deytha-prod/rqf/23b742c9-023f-4cb3-8e12-6b11e289afd6_COT - SIKA FLEX Y ANTISOL - REQ CIVIL.pdf</t>
  </si>
  <si>
    <t>https://storage.googleapis.com/deytha-prod/bcp_pdfs/shared/1770076348_BCP_HTML.pdf</t>
  </si>
  <si>
    <t>https://storage.googleapis.com/deytha-prod/rqf/43279/0defe782-3bb2-4bf2-ac1a-442abbf06d6b_43279-FQQ3-011860-sikas-pamer-py28.pdf</t>
  </si>
  <si>
    <t>2026-02-02 09:18:43</t>
  </si>
  <si>
    <t>2026-02-03 09:18:21</t>
  </si>
  <si>
    <t>CAJA CHICA # 19</t>
  </si>
  <si>
    <t>2026-01-31 13:44:56</t>
  </si>
  <si>
    <t>2025-12-21 13:44:56</t>
  </si>
  <si>
    <t>CAMBIO DE NEUMATICOS</t>
  </si>
  <si>
    <t>2026-02-09 17:48:00</t>
  </si>
  <si>
    <t>https://storage.googleapis.com/deytha-prod/payments/ZwcyUxoBnKSmqBZ8lbZKVOjllOYEIOy2aJOfEyPm.pdf</t>
  </si>
  <si>
    <t>https://storage.googleapis.com/deytha-prod/payments/ZR2Dx7gUNAhK9nDWtHnWZAtO02RPPacBoDsnNfIa.pdf</t>
  </si>
  <si>
    <t>2026-01-31 13:41:49</t>
  </si>
  <si>
    <t>2025-12-19 13:41:49</t>
  </si>
  <si>
    <t>TRANSPORTE LIMA A MOQUEGUA- (TRASLADO DE ENVIO)</t>
  </si>
  <si>
    <t>2026-02-09 17:54:01</t>
  </si>
  <si>
    <t>https://storage.googleapis.com/deytha-prod/payments/pm5ITGtx7AJJYP4KELxbvuweUZx9gwiYKUOPLYdT.pdf</t>
  </si>
  <si>
    <t>https://storage.googleapis.com/deytha-prod/payments/ymIDJ8JRV51R7SC1SnfoF8OJzWvSbZV5nKMbRaQc.pdf</t>
  </si>
  <si>
    <t>2026-01-31 10:47:40</t>
  </si>
  <si>
    <t>2025-12-18 10:47:40</t>
  </si>
  <si>
    <t>T-REX GROUP LOGISTICA &amp; TRANSPORTE S.R.L.</t>
  </si>
  <si>
    <t>SERVICIO DE RECOJO DE CUAJONE A MOQUGUA</t>
  </si>
  <si>
    <t>2026-02-09 17:54:04</t>
  </si>
  <si>
    <t>https://storage.googleapis.com/deytha-prod/payments/VFW6dJjhHn3AS8VbuUkiBi0TQaSlNRYmCS6SEr6d.pdf</t>
  </si>
  <si>
    <t>https://storage.googleapis.com/deytha-prod/payments/hC1EsFXvMBj9Vl1m1aWdvhXPImLWb5Mm0463SNIg.pdf</t>
  </si>
  <si>
    <t>2026-01-31 10:47:09</t>
  </si>
  <si>
    <t>2025-12-17 10:47:09</t>
  </si>
  <si>
    <t>AGUILAR VILLALVA CARLOS ANGEL</t>
  </si>
  <si>
    <t>SERVICIO DE  RECOJO Y ENVIO  DE PINTURA  A MOQUEGUA - DE LIMA</t>
  </si>
  <si>
    <t>2026-02-09 17:54:08</t>
  </si>
  <si>
    <t>https://storage.googleapis.com/deytha-prod/payments/CrKkzJV7l0ncnFAqqZlmyqe2qXLjsRsCVo6Ge1Zo.pdf</t>
  </si>
  <si>
    <t>https://storage.googleapis.com/deytha-prod/payments/Uc9Y5KkczAHDHgwRjhR55yfiadYNkkXf9AXEsyqe.pdf</t>
  </si>
  <si>
    <t>2026-01-31 10:44:26</t>
  </si>
  <si>
    <t>2025-12-17 10:44:26</t>
  </si>
  <si>
    <t>VELASQUEZ ORDOÑEZ ABRAHAM SALVADOR</t>
  </si>
  <si>
    <t>COMPRA DE GOMA IMPRESORA BROTHER</t>
  </si>
  <si>
    <t>2026-02-09 17:53:55</t>
  </si>
  <si>
    <t>https://storage.googleapis.com/deytha-prod/payments/yf8J3xR01KQWmhwkBIcaWE6aSzJXw1iVXieemMSq.pdf</t>
  </si>
  <si>
    <t>https://storage.googleapis.com/deytha-prod/payments/eYKxek0uXDg7EMhTtUxmDDLbg55jSy8708E2rDg0.pdf</t>
  </si>
  <si>
    <t>2026-01-31 10:37:37</t>
  </si>
  <si>
    <t>2025-12-15 10:37:37</t>
  </si>
  <si>
    <t>SERVICIO DE TRANSPORTE</t>
  </si>
  <si>
    <t>2026-02-09 17:53:35</t>
  </si>
  <si>
    <t>https://storage.googleapis.com/deytha-prod/payments/HcvdrCQKTLZyFHMSz4PV2gauc81OZijVLuR3eaxI.pdf</t>
  </si>
  <si>
    <t>https://storage.googleapis.com/deytha-prod/payments/ZgDbzGNt70BA0INcQu5skGbYv1VoSxqGlEnkcVc9.pdf</t>
  </si>
  <si>
    <t>2026-01-31 10:24:24</t>
  </si>
  <si>
    <t>2025-12-13 10:24:24</t>
  </si>
  <si>
    <t>ENVIO DE PAQUETE A LIMA</t>
  </si>
  <si>
    <t>EQUIPOS</t>
  </si>
  <si>
    <t>2026-02-09 17:53:31</t>
  </si>
  <si>
    <t>https://storage.googleapis.com/deytha-prod/payments/ueqxW250tnuJBxkjpouGcJhybPCEqPRH4sic1AQ3.pdf</t>
  </si>
  <si>
    <t>https://storage.googleapis.com/deytha-prod/payments/aNRon04mNkNGTrW0grIXPJ1ME5IjZ9T01c0lIoyS.pdf</t>
  </si>
  <si>
    <t>2026-01-31 09:45:26</t>
  </si>
  <si>
    <t>2025-12-23 09:45:26</t>
  </si>
  <si>
    <t>LED PANEL SLIM REDONDO</t>
  </si>
  <si>
    <t>2026-02-09 17:53:39</t>
  </si>
  <si>
    <t>https://storage.googleapis.com/deytha-prod/payments/eDw13QRCgx9KwjbccdAM3lOAa6pRtfXRGrwVwKuh.pdf</t>
  </si>
  <si>
    <t>https://storage.googleapis.com/deytha-prod/payments/pdqRWPl6AxmX4XQNZRnlsjLuaRDV67z1997BT9MD.pdf</t>
  </si>
  <si>
    <t>2026-01-31 09:26:57</t>
  </si>
  <si>
    <t>2025-12-10 09:26:57</t>
  </si>
  <si>
    <t>ENVIO DE PAQUETE A LIMA </t>
  </si>
  <si>
    <t>2026-02-09 17:53:50</t>
  </si>
  <si>
    <t>https://storage.googleapis.com/deytha-prod/payments/LkbaIBTZhRGIRtIulShriRoVERJzxX2ozYBeqINX.pdf</t>
  </si>
  <si>
    <t>https://storage.googleapis.com/deytha-prod/payments/ofv49KqyOKol1nRYyDWtETm5LaSjJ45UynWCPbfU.pdf</t>
  </si>
  <si>
    <t>2026-01-31 09:12:35</t>
  </si>
  <si>
    <t>2025-12-09 09:12:35</t>
  </si>
  <si>
    <t>SERVICIO DE TRNASPORTE-ENVIO DE PAQUETE</t>
  </si>
  <si>
    <t>2026-02-09 17:53:47</t>
  </si>
  <si>
    <t>https://storage.googleapis.com/deytha-prod/payments/RaHOwMqbDIhm571olMhKpFvOu8sRXlcQnRj4Ryw9.pdf</t>
  </si>
  <si>
    <t>https://storage.googleapis.com/deytha-prod/payments/VT3XDeYTwtT47yMtAOxpaSqSG5CanGRXAWawDAEc.pdf</t>
  </si>
  <si>
    <t>2026-01-31 09:07:30</t>
  </si>
  <si>
    <t>2025-12-02 09:07:30</t>
  </si>
  <si>
    <t>SERVICIO DE TRANSPORTE DE  LIMA A MOQUEGUA 5 CAJAS</t>
  </si>
  <si>
    <t>2026-02-09 17:53:43</t>
  </si>
  <si>
    <t>https://storage.googleapis.com/deytha-prod/payments/FSvZTPFO14oyXZ4OIVfiQiMnxlia173x7rMJ72eH.pdf</t>
  </si>
  <si>
    <t>https://storage.googleapis.com/deytha-prod/payments/KJtPlOnXvKPL00pGCYn6WZbE8Hdu2GAXZG4lR7kp.pdf</t>
  </si>
  <si>
    <t>2026-01-30 23:07:19</t>
  </si>
  <si>
    <t>2025-12-03 23:07:19</t>
  </si>
  <si>
    <t>PAGO DE INSUMOS COMO BEBIDAS GASEOSAS Y MOSTRITOS PARA EL PERSONAL STAF-REUNION</t>
  </si>
  <si>
    <t>2026-02-09 17:48:11</t>
  </si>
  <si>
    <t>https://storage.googleapis.com/deytha-prod/payments/vyoTSR0cSbi9LRGfZyRyqbnTfqynukSivu2pPeig.pdf</t>
  </si>
  <si>
    <t>https://storage.googleapis.com/deytha-prod/payments/XHUf1bcCVt1ziWFgBykpJK8V2XGQSrEmZx8hGVFy.pdf</t>
  </si>
  <si>
    <t>2026-01-30 11:57:53</t>
  </si>
  <si>
    <t>2025-12-02 11:57:53</t>
  </si>
  <si>
    <t>PAGO SERVICIO DE ENVIOS (TRANSPORTE DE CARGA Y ENCOMIENDAS) EN DOS PARTES</t>
  </si>
  <si>
    <t>2026-02-09 17:48:07</t>
  </si>
  <si>
    <t>https://storage.googleapis.com/deytha-prod/payments/UgiV2CNDmTGa1eodDg8vp1li9TojL5DEUztfi6OV.pdf</t>
  </si>
  <si>
    <t>https://storage.googleapis.com/deytha-prod/payments/t5yEzXXYuwIwrIAXcZYAk23c83Y9OJkotmoGNmji.pdf</t>
  </si>
  <si>
    <t>2026-01-30 10:27:29</t>
  </si>
  <si>
    <t>2026-01-30 10:27:28</t>
  </si>
  <si>
    <t>2026-01-30 10:27:17</t>
  </si>
  <si>
    <t>2026-01-30 10:27:16</t>
  </si>
  <si>
    <t>2026-01-30 10:27:15</t>
  </si>
  <si>
    <t>2026-01-22 16:56:44</t>
  </si>
  <si>
    <t>2026-01-29 12:48:48</t>
  </si>
  <si>
    <t>2026-01-23 16:56:23</t>
  </si>
  <si>
    <t xml:space="preserve">MATERIAL CIVIL 
REQ CIVIL  42 / 43 / 44 </t>
  </si>
  <si>
    <t>2026-02-20 19:30:00</t>
  </si>
  <si>
    <t>https://storage.googleapis.com/deytha-prod/rqf/eac3c7b5-b1fa-4f84-9334-d5aa4659697f_COT - MATERIAL CIVIL - REQ 42, 43,44.pdf</t>
  </si>
  <si>
    <t>https://storage.googleapis.com/deytha-prod/bcp_pdfs/shared/1771633891_BCP_HTML.pdf</t>
  </si>
  <si>
    <t>https://storage.googleapis.com/deytha-prod/rqf/42713/d9555b59-c05b-47fe-a674-e181a15e1df1_42713-FQQ1-000632-factura-cemento-alambre-acemad-py28.pdf</t>
  </si>
  <si>
    <t>2026-01-22 18:14:32</t>
  </si>
  <si>
    <t>2026-01-24 09:14:22</t>
  </si>
  <si>
    <t>ELECTRO ESITEK E.I.R.L.</t>
  </si>
  <si>
    <t>191 -9919078005</t>
  </si>
  <si>
    <t xml:space="preserve">COT  -  MATERIAL ELECTRICO 
REQ # 46 - ELECTRICO </t>
  </si>
  <si>
    <t>2026-02-02 19:16:00</t>
  </si>
  <si>
    <t>https://storage.googleapis.com/deytha-prod/rqf/4a2f4312-5c90-4d43-b973-d8c0ec99cc1e_COT - MATERIAL ELECTRICO - REQ 46.pdf</t>
  </si>
  <si>
    <t>https://storage.googleapis.com/deytha-prod/bcp_pdfs/shared/1770077851_BCP_HTML.pdf</t>
  </si>
  <si>
    <t>https://storage.googleapis.com/deytha-prod/rqf/42729/be5c9da3-2d16-4a30-83fe-cb50a745c2dc_42729-F001-000489-FACTURA-CABLES-TUBO-UNIONES-ESITEK.-RC-PY28.pdf</t>
  </si>
  <si>
    <t>2026-01-28 13:50:17</t>
  </si>
  <si>
    <t>2026-01-29 13:50:07</t>
  </si>
  <si>
    <t>COT - EPPS 
SSOMA REQ # 40 / 39 
OFICINA REQ # 3 - EPPS PERSONAL NUEVO</t>
  </si>
  <si>
    <t>2026-02-03 12:11:00</t>
  </si>
  <si>
    <t>https://storage.googleapis.com/deytha-prod/rqf/ac07865c-80d0-4d38-8fd4-0f9364eb3601_COT - EPPS - REQ SSOMA Y OFICINA PERSONAL NUEVO.pdf</t>
  </si>
  <si>
    <t>https://storage.googleapis.com/deytha-prod/bcp_pdfs/shared/1770138748_BCP_HTML.pdf</t>
  </si>
  <si>
    <t>https://storage.googleapis.com/deytha-prod/rqf/43118/5c3e4db8-37f5-4fe1-abf2-a93dfa6881f5_43118-E001-15567-ZAPATOS-POLO-ETC.-RC-PY28.pdf</t>
  </si>
  <si>
    <t>2026-01-28 16:41:19</t>
  </si>
  <si>
    <t>2026-01-29 09:39:55</t>
  </si>
  <si>
    <t>2026-01-28 16:41:09</t>
  </si>
  <si>
    <t>PAGO DE EMO PARA CONDEMAYTA CALIZAYA
 JOSE LUIS</t>
  </si>
  <si>
    <t>2026-01-30 17:21:00</t>
  </si>
  <si>
    <t>https://storage.googleapis.com/deytha-prod/rqf/20420f9c-830a-4105-bfad-56a4fbb23578_VALORIZACION 11-2026 -DEYFOR.xlsx</t>
  </si>
  <si>
    <t>https://storage.googleapis.com/deytha-prod/bcp_pdfs/shared/1769811749_BCP_HTML.pdf</t>
  </si>
  <si>
    <t>https://storage.googleapis.com/deytha-prod/rqf/43156/9296d7a7-2d06-48be-aa46-99e8b94ee303_PDF-DOC-E001-82320606572922.pdf</t>
  </si>
  <si>
    <t>2026-01-28 15:49:09</t>
  </si>
  <si>
    <t>2026-01-28 18:07:00</t>
  </si>
  <si>
    <t>2026-01-29 15:49:04</t>
  </si>
  <si>
    <t>LUCARO INK E.I.R.L.</t>
  </si>
  <si>
    <t xml:space="preserve">COT - TINTAS DE IMPRESORA PARA ARA DE 
REQ SSOMA # 39 </t>
  </si>
  <si>
    <t>2026-01-30 17:17:00</t>
  </si>
  <si>
    <t>https://storage.googleapis.com/deytha-prod/rqf/22ae52a4-3fd2-4b17-b6c6-9ab1b5b13c15_COT - TINTAS DE IMPRESORA - REQ.pdf</t>
  </si>
  <si>
    <t>https://storage.googleapis.com/deytha-prod/bcp_pdfs/shared/1769811508_BCP_HTML.pdf</t>
  </si>
  <si>
    <t>https://storage.googleapis.com/deytha-prod/rqf/43136/b05eb7a6-1935-4f1d-8229-8b0fb8725a26_43136-F003-009786-BROTHER-TINTAS-LUCARO.-RC.pdf</t>
  </si>
  <si>
    <t>2026-01-26 16:13:17</t>
  </si>
  <si>
    <t>2026-01-28 15:33:34</t>
  </si>
  <si>
    <t>2026-01-27 16:13:07</t>
  </si>
  <si>
    <t xml:space="preserve">MATERIALES VARIOS 
REQ MECANICO # 27 / 25 / 23 </t>
  </si>
  <si>
    <t>2026-01-29 14:26:00</t>
  </si>
  <si>
    <t>https://storage.googleapis.com/deytha-prod/rqf/7c445f88-faf8-40a8-8f94-f9d2e8cd71f4_COT - MAT. VARIOS REQ MECANICO 27-25-23.pdf</t>
  </si>
  <si>
    <t>https://storage.googleapis.com/deytha-prod/bcp_pdfs/shared/1769714850_BCP_HTML.pdf</t>
  </si>
  <si>
    <t>https://storage.googleapis.com/deytha-prod/rqf/42910/231c7d62-2dcc-4637-bfc2-d0d961644d6b_42910-F007-009526-UNIFORME-CINTA-ETC-FEMAVI.-RC.pdf</t>
  </si>
  <si>
    <t>2026-01-28 09:20:20</t>
  </si>
  <si>
    <t>2026-01-29 09:20:19</t>
  </si>
  <si>
    <t>ALQUILER RETRO 420 (2) MES DE NOVIEMBRE</t>
  </si>
  <si>
    <t>https://storage.googleapis.com/deytha-prod/payments/DvNZe140G4pIgiZDe8xDy9023mNCxVZCWq03qQys.pdf</t>
  </si>
  <si>
    <t>2026-01-28 12:32:58</t>
  </si>
  <si>
    <t>2026-01-29 12:32:57</t>
  </si>
  <si>
    <t xml:space="preserve">SERVICIO DE ALQUILER DE GRUPO ELECTROGENO YAMAHA MODELO EF7200 DE 7.2 KW
MAQUINA SECA 
+ 05 DIAS </t>
  </si>
  <si>
    <t>2026-01-30 12:33:00</t>
  </si>
  <si>
    <t>https://storage.googleapis.com/deytha-prod/payments/qy0AO0nRLC2xvJL0HUa3WAeSJNuzTRYKapzoUwPr.pdf</t>
  </si>
  <si>
    <t>https://storage.googleapis.com/deytha-prod/bcp_pdfs/shared/1769794470_BCP_HTML.pdf</t>
  </si>
  <si>
    <t>https://storage.googleapis.com/deytha-prod/rqf/43102/459c9644-5fb7-4fa8-bda7-51c32c2f9219_43102-F001-00003117-ALQUILER-JODIMAC.-RC-PY28.pdf</t>
  </si>
  <si>
    <t>2026-01-28 14:41:38</t>
  </si>
  <si>
    <t>2026-01-29 14:41:16</t>
  </si>
  <si>
    <t xml:space="preserve">CEMENTOS CONDUCTIVOS - THORGEM
REQ # 47 - ELECTRICO </t>
  </si>
  <si>
    <t>2026-01-30 12:29:00</t>
  </si>
  <si>
    <t>https://storage.googleapis.com/deytha-prod/rqf/ba22c393-81c8-457a-a046-8fb09bbb7659_COT - CEM CONDUCTIVO - MAT ELECTRICO.pdf</t>
  </si>
  <si>
    <t>https://storage.googleapis.com/deytha-prod/rqf/payments/122dc4a3-9444-4348-bc50-b2c8209848ac_BCP_2026-01-30 1229PM_43121.pdf</t>
  </si>
  <si>
    <t>https://storage.googleapis.com/deytha-prod/rqf/43121/ffb21b2c-474b-45a9-901e-4a10f93e8387_43121-devoluciono-SALTEC.-RC.pdf</t>
  </si>
  <si>
    <t>2026-01-26 17:52:24</t>
  </si>
  <si>
    <t>2026-01-27 11:08:33</t>
  </si>
  <si>
    <t>2026-01-26 17:52:16</t>
  </si>
  <si>
    <t>PAGO DE EMO PARA    BARRIOS ARISTA JUAN GABRIEL</t>
  </si>
  <si>
    <t>2026-01-27 17:13:00</t>
  </si>
  <si>
    <t>https://storage.googleapis.com/deytha-prod/rqf/703a6ba2-00b1-4b4a-bf75-badb126c6fbe_20539477600-01-F002-00020121.pdf</t>
  </si>
  <si>
    <t>https://storage.googleapis.com/deytha-prod/bcp_pdfs/shared/1769552071_BCP_HTML.pdf</t>
  </si>
  <si>
    <t>https://storage.googleapis.com/deytha-prod/rqf/42926/23959dac-ba92-4d17-aa24-b0ea56254072_703a6ba2-00b1-4b4a-bf75-badb126c6fbe_20539477600-01-F002-00020121.pdf</t>
  </si>
  <si>
    <t>2026-01-27 09:45:07</t>
  </si>
  <si>
    <t>2026-01-27 09:44:51</t>
  </si>
  <si>
    <t>PAGO DE EMO PARA CONDORI MANGO ISMAEL ZACARIAS, ROSADO CHAVEZ JOSE EDUARDO</t>
  </si>
  <si>
    <t>2026-01-27 12:23:00</t>
  </si>
  <si>
    <t>https://storage.googleapis.com/deytha-prod/rqf/05cabe0b-8ddd-4863-be79-617a834e9d08_1475196b-b048-4450-92b6-b018311ec602_20539477600-01-F002-00020136.pdf</t>
  </si>
  <si>
    <t>https://storage.googleapis.com/deytha-prod/bcp_pdfs/shared/1769534784_BCP_HTML.pdf</t>
  </si>
  <si>
    <t>https://storage.googleapis.com/deytha-prod/rqf/42958/85600856-56f4-45e8-a9f5-b52001ce632f_05cabe0b-8ddd-4863-be79-617a834e9d08_1475196b-b048-4450-92b6-b018311ec602_20539477600-01-F002-00020136.pdf</t>
  </si>
  <si>
    <t>2026-01-27 10:04:53</t>
  </si>
  <si>
    <t>2026-01-27 10:04:34</t>
  </si>
  <si>
    <t xml:space="preserve">PAGO DE EMO VILCA ZAPATA MILLER REYMI
</t>
  </si>
  <si>
    <t>2026-01-27 17:19:00</t>
  </si>
  <si>
    <t>https://storage.googleapis.com/deytha-prod/rqf/429b6301-eff8-4255-acb2-583e5908400d_PDF-DOC-E001-79920606572922.pdf</t>
  </si>
  <si>
    <t>https://storage.googleapis.com/deytha-prod/bcp_pdfs/shared/1769552429_BCP_HTML.pdf</t>
  </si>
  <si>
    <t>https://storage.googleapis.com/deytha-prod/rqf/42960/026716a8-1712-4bb5-9854-b64b66d2bd34_E001-799.pdf</t>
  </si>
  <si>
    <t>2026-01-27 10:27:08</t>
  </si>
  <si>
    <t>2026-01-27 10:26:49</t>
  </si>
  <si>
    <t xml:space="preserve">PAGO DE EMO PARA JUAREZ CHURA IVAN JOSE
</t>
  </si>
  <si>
    <t>2026-01-27 17:18:00</t>
  </si>
  <si>
    <t>https://storage.googleapis.com/deytha-prod/rqf/eab892c0-25ba-4229-8ab9-d1459aa870d5_PDF-DOC-E001-79720606572922.pdf</t>
  </si>
  <si>
    <t>https://storage.googleapis.com/deytha-prod/bcp_pdfs/shared/1769552372_BCP_HTML.pdf</t>
  </si>
  <si>
    <t>https://storage.googleapis.com/deytha-prod/rqf/42964/627fa314-dc9c-4fd8-9ead-ddf59e165f9a_E001-797.pdf</t>
  </si>
  <si>
    <t>2026-01-21 14:03:28</t>
  </si>
  <si>
    <t>2026-01-26 13:54:22</t>
  </si>
  <si>
    <t>2026-01-22 14:03:09</t>
  </si>
  <si>
    <t xml:space="preserve">ALQUILER DE CAMA BAJA ( AYQ988) Y PLATAFORMA (AYD995) , SE ALQUILO PARA TRASLADO DE  RETROEXACAVADORA </t>
  </si>
  <si>
    <t>https://storage.googleapis.com/deytha-prod/rqf/130eb0e9-67fc-40d9-a197-b3703e122b58_oPOdTBbqItPOzqV4GOPtQhtjGkQ9n9SDhkmnDNJE.pdf</t>
  </si>
  <si>
    <t>2026-01-12 19:50:11</t>
  </si>
  <si>
    <t>2026-01-26 10:16:21</t>
  </si>
  <si>
    <t>2026-01-14 10:48:39</t>
  </si>
  <si>
    <t xml:space="preserve">VALORIZACION DE CONSUMO DE COMBUSTIBLE 
DEL 16 AL 31 DIC 2025 </t>
  </si>
  <si>
    <t>https://storage.googleapis.com/deytha-prod/rqf/cef09243-ad95-44eb-80a2-80fda2800d95_VAL - CONSUMO DE COMBUSTIBLE DEL 16 AL 31 DE DIC.pdf</t>
  </si>
  <si>
    <t>2026-01-23 09:04:57</t>
  </si>
  <si>
    <t>2026-01-31 09:01:08</t>
  </si>
  <si>
    <t>2026-02-27 19:10:00</t>
  </si>
  <si>
    <t>https://storage.googleapis.com/deytha-prod/payments/mPnS5HknNK21mBYotlPdxukOMxCOCepTs4wN1M0l.pdf</t>
  </si>
  <si>
    <t>https://storage.googleapis.com/deytha-prod/bcp_pdfs/shared/1772237490_BCP_HTML.pdf</t>
  </si>
  <si>
    <t>https://storage.googleapis.com/deytha-prod/supplierBills/JGxegv0BB6RF2U9Uju9WXN5c1C8dqUVUVyCQcnkH.pdf</t>
  </si>
  <si>
    <t>2026-01-21 17:35:50</t>
  </si>
  <si>
    <t>2026-01-23 17:31:47</t>
  </si>
  <si>
    <t>2026-01-22 17:33:24</t>
  </si>
  <si>
    <t xml:space="preserve">COT - MATERIALES MECANICOS Y MATERIALES ELECTRICO 
REQ # 29 - MECANICO
REQ # 45 - ELECTRICO 
 </t>
  </si>
  <si>
    <t>2026-01-27 11:29:00</t>
  </si>
  <si>
    <t>https://storage.googleapis.com/deytha-prod/rqf/190cfa3e-ac8b-4226-a5ba-c0e4fb7ef0d6_COT - MATERIAL MECANICO Y MATERIAL ELECTRICO - FEMAVI.pdf</t>
  </si>
  <si>
    <t>https://storage.googleapis.com/deytha-prod/bcp_pdfs/shared/1769531431_BCP_HTML.pdf</t>
  </si>
  <si>
    <t>https://storage.googleapis.com/deytha-prod/rqf/42639/59b4d557-2473-445f-9acd-6d0a80c69a08_42639-F008-009309-MAQUINA DE SOLDAR-CINTA.ETC-FEMAVI.RC.pdf</t>
  </si>
  <si>
    <t>2026-01-22 18:05:20</t>
  </si>
  <si>
    <t>2026-01-23 18:05:12</t>
  </si>
  <si>
    <t>COT - ROTULOS DE ALUMINIO 
PARA TABLEROS 
REQ 46 ELECTRICO</t>
  </si>
  <si>
    <t>2026-01-26 17:57:00</t>
  </si>
  <si>
    <t>https://storage.googleapis.com/deytha-prod/rqf/a84fe00d-9cce-4bb1-8bc5-7f58353c3bc4_COT - ROTULOS PARA TABLEROS - REQ 46 ELEC.pdf</t>
  </si>
  <si>
    <t>https://storage.googleapis.com/deytha-prod/bcp_pdfs/shared/1769468309_BCP_HTML.pdf</t>
  </si>
  <si>
    <t>https://storage.googleapis.com/deytha-prod/rqf/42727/889073d8-a2ee-4d66-9fcf-82eb35ca4bc0_42727-F001-00002479-ROTULO-RIESGO-CONEXIONESELEC.-RC.pdf</t>
  </si>
  <si>
    <t>2026-01-22 18:19:54</t>
  </si>
  <si>
    <t>2026-01-24 09:19:31</t>
  </si>
  <si>
    <t>COT - FORMATOS Y SELLOS 
REQ # 40 - SSOMA</t>
  </si>
  <si>
    <t>2026-01-27 11:02:00</t>
  </si>
  <si>
    <t>https://storage.googleapis.com/deytha-prod/rqf/8e20ad66-61e0-4fc5-b3ef-422a2ab2e603_COT - FORMATOS SSOMA - REQ 40.pdf</t>
  </si>
  <si>
    <t>https://storage.googleapis.com/deytha-prod/bcp_pdfs/shared/1769529812_BCP_HTML.pdf</t>
  </si>
  <si>
    <t>https://storage.googleapis.com/deytha-prod/rqf/42734/3c584b31-821d-408b-b3ae-ecccfa24984f_42734-F001 - 00008695-FORMATOS-SELLO-MUNDOSTICKER.-RC.pdf</t>
  </si>
  <si>
    <t>2026-01-23 15:43:37</t>
  </si>
  <si>
    <t>2026-01-24 15:42:36</t>
  </si>
  <si>
    <t>COT -  GUANTES Y FILTROS 
REQ #  30 - SSOMA 
REQ # 25 - MECANICO</t>
  </si>
  <si>
    <t>2026-01-23 18:43:00</t>
  </si>
  <si>
    <t>https://storage.googleapis.com/deytha-prod/rqf/77bae112-ce4c-49c3-bf04-12ad8c6e3739_COT - GUANTES Y FILTROS - REQ SSOMA Y MEC.pdf</t>
  </si>
  <si>
    <t>https://storage.googleapis.com/deytha-prod/bcp_pdfs/shared/1769211883_BCP_HTML.pdf</t>
  </si>
  <si>
    <t>https://storage.googleapis.com/deytha-prod/rqf/42817/58eaec28-91e4-425d-8ad9-1b7403721e20_42817-FQQ1-000600-GUANTE HYFLEX-FILTRO-ACEMAD.-RC.pdf</t>
  </si>
  <si>
    <t>2026-01-22 19:03:01</t>
  </si>
  <si>
    <t>2026-01-23 15:36:28</t>
  </si>
  <si>
    <t>2026-01-24 10:02:48</t>
  </si>
  <si>
    <t>RENNER COATINGS PERU S.A.C.</t>
  </si>
  <si>
    <t>193-2472792-1-05</t>
  </si>
  <si>
    <t xml:space="preserve">COT - PINTURA RENNER 
BASE BLANCO 
DILUYENTE 
CATALIZADOR 
REQ  MECANICO </t>
  </si>
  <si>
    <t>2026-01-23 19:16:00</t>
  </si>
  <si>
    <t>https://storage.googleapis.com/deytha-prod/rqf/43aa832b-bbb8-46bc-9c8e-56a117939cce_COT - PINTURA RENNER - BASE BLANCA.pdf</t>
  </si>
  <si>
    <t>https://storage.googleapis.com/deytha-prod/bcp_pdfs/shared/1769213876_BCP_HTML.pdf</t>
  </si>
  <si>
    <t>https://storage.googleapis.com/deytha-prod/rqf/42742/4112d97c-9d6e-4601-94c5-807533813c58_42742-F001-12854-EPOMAX-CATALIZADOR-RENNER.-RC-PY28.pdf</t>
  </si>
  <si>
    <t>2026-01-20 09:51:06</t>
  </si>
  <si>
    <t>2026-01-20 17:23:20</t>
  </si>
  <si>
    <t>2026-01-20 09:50:58</t>
  </si>
  <si>
    <t xml:space="preserve">SALUD LA INMACULADA S.A.C </t>
  </si>
  <si>
    <t>000-0408745</t>
  </si>
  <si>
    <t>PAGO DE EMO PARA PORTILLA QUISPE ERICK ANTHONY</t>
  </si>
  <si>
    <t>2026-01-20 17:33:00</t>
  </si>
  <si>
    <t>https://storage.googleapis.com/deytha-prod/rqf/185f64b8-a8ab-4753-b16a-ac62f192a156_PDF-DOC-E001-532320605114980.pdf</t>
  </si>
  <si>
    <t>https://storage.googleapis.com/deytha-prod/rqf/payments/43e9bc0c-6e66-4de9-9427-6fad62d43c7a_Scotiabank_2026-01-20 533PM_42477.pdf</t>
  </si>
  <si>
    <t>https://storage.googleapis.com/deytha-prod/rqf/42477/68bf2724-8f51-457c-9cec-be8edc90f7dc_PDF-DOC-E001-532320605114980 (2).pdf</t>
  </si>
  <si>
    <t>2026-01-20 10:31:21</t>
  </si>
  <si>
    <t>2026-01-20 10:31:06</t>
  </si>
  <si>
    <t>PAGO DE EMO PARA GARCIA PARDO FABRICIO</t>
  </si>
  <si>
    <t>2026-01-20 19:29:00</t>
  </si>
  <si>
    <t>https://storage.googleapis.com/deytha-prod/rqf/fba3f8f9-b6fd-43d9-ae84-15f984ded372_PDF-DOC-E001-532320605114980.pdf</t>
  </si>
  <si>
    <t>https://storage.googleapis.com/deytha-prod/bcp_pdfs/shared/1768955430_BCP_HTML.pdf</t>
  </si>
  <si>
    <t>https://storage.googleapis.com/deytha-prod/rqf/42485/60e1ca8f-4811-4be6-97b2-00f195830de6_20539477600-01-F002-00020009 (2).pdf</t>
  </si>
  <si>
    <t>2026-01-16 10:23:57</t>
  </si>
  <si>
    <t>2026-01-20 16:53:50</t>
  </si>
  <si>
    <t>2026-01-17 10:23:55</t>
  </si>
  <si>
    <t xml:space="preserve">COT - MATERIALES VARIOS 
REQ  MECANICO # 28 
REQ SSOMA  # 38 
REQ CIVIL # 43 </t>
  </si>
  <si>
    <t>2026-01-27 10:56:00</t>
  </si>
  <si>
    <t>https://storage.googleapis.com/deytha-prod/rqf/d4ecb4ff-b230-4194-9127-f6ff177e28d1_COT - MATERIALES SSOMA Y CIVIL - MECANICO  ENERO 26.pdf</t>
  </si>
  <si>
    <t>https://storage.googleapis.com/deytha-prod/bcp_pdfs/shared/1769529449_BCP_HTML.pdf</t>
  </si>
  <si>
    <t>https://storage.googleapis.com/deytha-prod/rqf/42245/c0a9ad73-c807-40e7-b541-b84f69b63dbc_42245-F008-009310-DISCO CORTE- BROCHAS-ETC-FEMAVVI.-RC.pdf</t>
  </si>
  <si>
    <t>2026-01-16 12:11:57</t>
  </si>
  <si>
    <t>2026-01-17 12:11:48</t>
  </si>
  <si>
    <t xml:space="preserve">COT 
MATERIALES VARIOS Y EPPS 
REQ SSOMA # 38 
MECANCIO # 27 / 28 
REQ CIVIL # 43 </t>
  </si>
  <si>
    <t>2026-01-22 09:34:00</t>
  </si>
  <si>
    <t>https://storage.googleapis.com/deytha-prod/rqf/5ff35c51-aa22-4a83-a4a3-1e22e04f1b9a_COT - MAT V. Y EPPS REQ DE MECA SSOMA Y CIVIL.pdf</t>
  </si>
  <si>
    <t>https://storage.googleapis.com/deytha-prod/bcp_pdfs/shared/1769092530_BCP_HTML.pdf</t>
  </si>
  <si>
    <t>https://storage.googleapis.com/deytha-prod/rqf/42261/305cb865-f1bd-4f7f-96e1-53fa961cb279_42261-E001-15480-SOLDADURA-TAPONES-ETC-FEMASUR.-RC.pdf</t>
  </si>
  <si>
    <t>2026-01-20 16:39:50</t>
  </si>
  <si>
    <t>2026-01-21 16:39:37</t>
  </si>
  <si>
    <t>coti - MATERIALES ELECTRIVCOS 
REQ 43 ELECTRICO</t>
  </si>
  <si>
    <t>2026-01-26 11:13:00</t>
  </si>
  <si>
    <t>https://storage.googleapis.com/deytha-prod/rqf/b95d788b-5f8c-4b35-a865-9dc22d7220dd_COT - MATERIALES VARIOS  -AREA ELECTRICA.pdf</t>
  </si>
  <si>
    <t>https://storage.googleapis.com/deytha-prod/bcp_pdfs/shared/1769444022_BCP_HTML.pdf</t>
  </si>
  <si>
    <t>https://storage.googleapis.com/deytha-prod/rqf/42521/afa43e8e-462d-4db2-9646-98982780eda8_42521-F007-009491-CINTA-DADOS-BROCHAS-ETC-FEMAVI.-RC.pdf</t>
  </si>
  <si>
    <t>2026-01-20 16:49:30</t>
  </si>
  <si>
    <t>2026-01-21 16:49:24</t>
  </si>
  <si>
    <t>SERVICIOS TECNOLOGICOS INDUSTRIALES SERVITEC S.A.C.</t>
  </si>
  <si>
    <t>191-7074365140</t>
  </si>
  <si>
    <t xml:space="preserve">COT 
MAQUINA DE CALEFACTOR INDUSTRIAL DE AIRE CALIENTE 
REQ # 30 - MECANICA </t>
  </si>
  <si>
    <t>2026-01-20 19:33:00</t>
  </si>
  <si>
    <t>https://storage.googleapis.com/deytha-prod/rqf/8a90ad9e-9f44-4715-8f32-c904872a9e8b_COT - CALEFACTOR INDUSTRIAL AREA MECANICA - REQ 30.pdf</t>
  </si>
  <si>
    <t>https://storage.googleapis.com/deytha-prod/bcp_pdfs/shared/1768955672_BCP_HTML.pdf</t>
  </si>
  <si>
    <t>https://storage.googleapis.com/deytha-prod/rqf/42524/9cb82f1f-91de-4c5f-8568-14e23032edb9_42524-E001-4-EQUIPODECALEFACCION-SERVICIOSTEGNO.-RC.pdf</t>
  </si>
  <si>
    <t>2026-01-14 08:47:32</t>
  </si>
  <si>
    <t>2026-01-20 16:43:48</t>
  </si>
  <si>
    <t>2026-01-15 08:47:07</t>
  </si>
  <si>
    <t>VALTUS SEGURIDAD Y CONSTRUCCION S.C.R.L.</t>
  </si>
  <si>
    <t>385-2423470-0-82</t>
  </si>
  <si>
    <t>VALORIZACION DE ALQUILER DE ANDAMIOS 1ER DESPACHO CORRESPONDIENTE AL MES DE DICIEMBRE - 2025</t>
  </si>
  <si>
    <t>2026-02-24 19:36:00</t>
  </si>
  <si>
    <t>https://storage.googleapis.com/deytha-prod/payments/LszktQN0OwmJpWuWxd7zSGYkByvLr5ERmvF5fI4l.pdf</t>
  </si>
  <si>
    <t>https://storage.googleapis.com/deytha-prod/bcp_pdfs/shared/1771979851_BCP_HTML.pdf</t>
  </si>
  <si>
    <t>https://storage.googleapis.com/deytha-prod/rqf/41902/bba55fcc-6866-42bc-b2ee-12ecdea4ea58_41902-E001-2678-valtus-py28.pdf</t>
  </si>
  <si>
    <t>2026-01-14 09:37:13</t>
  </si>
  <si>
    <t>2026-01-15 09:37:03</t>
  </si>
  <si>
    <t xml:space="preserve">VALORIZACION - 2DO DESPACHO ANDAMIOS NORMADOS -  
CORRESPONDIENTE AL MES DE DICIEMBRE 2025 
</t>
  </si>
  <si>
    <t>2026-01-27 11:34:00</t>
  </si>
  <si>
    <t>https://storage.googleapis.com/deytha-prod/payments/Pc2PQeXg2pL4dQHovzCCVr75JAQOtXTTbpA35hXK.pdf</t>
  </si>
  <si>
    <t>https://storage.googleapis.com/deytha-prod/bcp_pdfs/shared/1769531671_BCP_HTML.pdf</t>
  </si>
  <si>
    <t>https://storage.googleapis.com/deytha-prod/rqf/41905/cba1e6c5-8c3b-4ed1-9bf9-15b001f0d66a_41905-E001-2637-ALQUILER DE ANDAMIOS-VALTUS.-RC.pdf</t>
  </si>
  <si>
    <t>2026-01-19 17:46:11</t>
  </si>
  <si>
    <t>2026-01-20 17:45:56</t>
  </si>
  <si>
    <t>245-27979491-0-36 / WILMER DIAZ</t>
  </si>
  <si>
    <t>ALQUILER DE HABITACION - WILMER DIAZ - MOQUEGUA 18 ENE  AL 17 FEBRERO DEL 2026</t>
  </si>
  <si>
    <t>2026-01-22 09:30:00</t>
  </si>
  <si>
    <t>https://storage.googleapis.com/deytha-prod/rqf/6b37e75b-944f-4f7a-b0f8-eb034d60bf4c_COT - ALQUILER DE HABITACION - WILMER DIAZ - MOQUEGUA 18 ENE  AL 17 FEBRERO DEL 2026.pdf</t>
  </si>
  <si>
    <t>https://storage.googleapis.com/deytha-prod/bcp_pdfs/shared/1769092290_BCP_HTML.pdf</t>
  </si>
  <si>
    <t>https://storage.googleapis.com/deytha-prod/rqf/42448/7989421a-bed5-4303-a918-f7a4184a65ec_42448-ALQUILER HABITACIONWILMER.-RC.pdf</t>
  </si>
  <si>
    <t>2026-01-15 17:45:35</t>
  </si>
  <si>
    <t>2026-01-20 12:29:12</t>
  </si>
  <si>
    <t>2026-01-16 17:45:26</t>
  </si>
  <si>
    <t>COT - MATERIALES ELECTRICOS 
REQ # 45 ELECTRICO</t>
  </si>
  <si>
    <t>2026-01-21 17:22:00</t>
  </si>
  <si>
    <t>https://storage.googleapis.com/deytha-prod/rqf/81d840ad-155e-4500-b9b4-9f47ad61af48_COT - REQ ELECTRICO %23%20 45.pdf</t>
  </si>
  <si>
    <t>https://storage.googleapis.com/deytha-prod/bcp_pdfs/shared/1769034210_BCP_HTML.pdf</t>
  </si>
  <si>
    <t>https://storage.googleapis.com/deytha-prod/rqf/42166/ad0c5d99-8c9f-4a44-8e39-f231fc311854_42166-F001-000483-PERNO-PRENSAS-ETC-ELECTRO.-RC.pdf</t>
  </si>
  <si>
    <t>2026-01-19 12:12:29</t>
  </si>
  <si>
    <t>2026-01-19 17:51:23</t>
  </si>
  <si>
    <t>2026-01-19 12:12:04</t>
  </si>
  <si>
    <t xml:space="preserve">PAGO DE EMO PARA MARCA ASQUES REYNALDO EFRAIN,HINOJOSA FLORES
 JUAN CARLOS
</t>
  </si>
  <si>
    <t>2026-01-19 19:17:00</t>
  </si>
  <si>
    <t>https://storage.googleapis.com/deytha-prod/rqf/5192e8f3-0f6c-4b63-a694-4d8bca9ae068_VALORIZACION 5.xlsx</t>
  </si>
  <si>
    <t>https://storage.googleapis.com/deytha-prod/bcp_pdfs/shared/1768868249_BCP_HTML.pdf</t>
  </si>
  <si>
    <t>https://storage.googleapis.com/deytha-prod/rqf/42412/51e4a050-4e4a-492f-ae53-cf31d7a86868_PDF-DOC-E001-79120606572922.pdf</t>
  </si>
  <si>
    <t>2026-01-19 16:06:27</t>
  </si>
  <si>
    <t>2026-01-19 16:57:41</t>
  </si>
  <si>
    <t>2026-01-23 16:06:15</t>
  </si>
  <si>
    <t>Servicio de alquiler Camión Baranda Placa : Z7F-746</t>
  </si>
  <si>
    <t>https://storage.googleapis.com/deytha-prod/payments/287z85kRjENTYoyZ3ha1TcIDq0JcGyOSIqOUUzDQ.pdf</t>
  </si>
  <si>
    <t>https://storage.googleapis.com/deytha-prod/supplierBills/20j2Y3GbVt7ECVKIF8oNnyIP9OiOM6YclBzZzzei.pdf</t>
  </si>
  <si>
    <t>2026-01-14 08:13:44</t>
  </si>
  <si>
    <t>2026-01-19 13:59:46</t>
  </si>
  <si>
    <t>2026-01-15 08:13:40</t>
  </si>
  <si>
    <t>RECARGA DE BIDONES DE AGUA 
REQ # CIVIL 43 
12 ENERO</t>
  </si>
  <si>
    <t>2026-01-23 18:59:00</t>
  </si>
  <si>
    <t>https://storage.googleapis.com/deytha-prod/rqf/c023f11b-4009-41e1-837a-c563112380aa_COT - RECARGA DE AGUA - 12 ENERO.pdf</t>
  </si>
  <si>
    <t>https://storage.googleapis.com/deytha-prod/bcp_pdfs/shared/1769212808_BCP_HTML.pdf</t>
  </si>
  <si>
    <t>https://storage.googleapis.com/deytha-prod/rqf/41899/90ff5da4-7cb1-499a-aaf0-690c5b12e9d5_41899-E001-533-RECARGA BIDON-INVERSIONESSUR.-RC.pdf</t>
  </si>
  <si>
    <t>2026-01-15 16:07:30</t>
  </si>
  <si>
    <t>2026-01-16 16:06:13</t>
  </si>
  <si>
    <t xml:space="preserve">09/01/2026 - 08/02/2026 // SERV. ALQ. BAÑO (2 UND) // SERV. ALQ. LAVAMANOS (1 UND) CERRO DISPACH </t>
  </si>
  <si>
    <t>2026-01-21 13:10:00</t>
  </si>
  <si>
    <t>https://storage.googleapis.com/deytha-prod/payments/TEfFSVGdTorYFU9mU0JgtaikGpF7pmO3OR3EInqZ.pdf</t>
  </si>
  <si>
    <t>https://storage.googleapis.com/deytha-prod/bcp_pdfs/shared/1769019030_BCP_HTML.pdf</t>
  </si>
  <si>
    <t>https://storage.googleapis.com/deytha-prod/rqf/42064/0ba81f82-90a8-4bd0-afd5-6b5e38b8bb30_DEYFOR 40014726-F035-10945 3300.pdf</t>
  </si>
  <si>
    <t>2026-01-15 16:09:40</t>
  </si>
  <si>
    <t>2026-01-23 16:09:07</t>
  </si>
  <si>
    <t>23/01/2026 - 22/02/2026 // SERV. ALQ. BAÑO (1 UND) // SERV. ALQ. LAVAMANOS (1UND)</t>
  </si>
  <si>
    <t>2026-01-21 13:13:00</t>
  </si>
  <si>
    <t>https://storage.googleapis.com/deytha-prod/payments/gvx2u7LRM07I9McSmOPl3erz1ZOLQnyosy5C4o1M.pdf</t>
  </si>
  <si>
    <t>https://storage.googleapis.com/deytha-prod/bcp_pdfs/shared/1769019273_BCP_HTML.pdf</t>
  </si>
  <si>
    <t>https://storage.googleapis.com/deytha-prod/rqf/42069/90ff6c4a-0f15-471b-939e-161a04124604_DEYFOR 40014845-F035-10948 2100.pdf</t>
  </si>
  <si>
    <t>2026-01-15 16:12:58</t>
  </si>
  <si>
    <t>2026-01-23 16:12:09</t>
  </si>
  <si>
    <t>23/01/2026 - 22/02/2026 // SERV. ALQ. BAÑO (1 UND)</t>
  </si>
  <si>
    <t>2026-01-21 13:20:00</t>
  </si>
  <si>
    <t>https://storage.googleapis.com/deytha-prod/payments/5CrU8ArCtl75fDOym9aLd2qceX0tWIbb5DPzIo03.pdf</t>
  </si>
  <si>
    <t>https://storage.googleapis.com/deytha-prod/bcp_pdfs/shared/1769019690_BCP_HTML.pdf</t>
  </si>
  <si>
    <t>https://storage.googleapis.com/deytha-prod/rqf/42073/e256d88d-bc24-4062-9da2-3e794c0809f4_DEYFOR 40014844-F035-10946 1200 D@.pdf</t>
  </si>
  <si>
    <t>2026-01-15 16:14:37</t>
  </si>
  <si>
    <t>2026-01-16 16:13:47</t>
  </si>
  <si>
    <t>30/12/2025 - 29/01/2026 // SERV. ALQ. BAÑO (1 UND)</t>
  </si>
  <si>
    <t>2026-01-21 13:28:00</t>
  </si>
  <si>
    <t>https://storage.googleapis.com/deytha-prod/payments/ifwe9apaGDeWWqNMNzn8PJixNmZ3KVItbN0YYMQl.pdf</t>
  </si>
  <si>
    <t>https://storage.googleapis.com/deytha-prod/bcp_pdfs/shared/1769020177_BCP_HTML.pdf</t>
  </si>
  <si>
    <t>https://storage.googleapis.com/deytha-prod/rqf/42074/03e64956-4ab5-4e85-bda7-b36357e0f776_20507850091-01-F035-10947.pdf</t>
  </si>
  <si>
    <t>2026-01-15 16:28:59</t>
  </si>
  <si>
    <t>2026-01-16 16:28:52</t>
  </si>
  <si>
    <t>ALQUILER MES DE DICIEMBRE MINIVAN Z5S236</t>
  </si>
  <si>
    <t>https://storage.googleapis.com/deytha-prod/payments/jypa6Hyra3UBdSw80lF9WG2Asq5OKwBKshUc0ntI.pdf</t>
  </si>
  <si>
    <t>2026-01-15 16:30:51</t>
  </si>
  <si>
    <t>2026-01-16 16:30:46</t>
  </si>
  <si>
    <t>ALQUILER MES DE DICIEMBRE DE MINIVAN Z7A598</t>
  </si>
  <si>
    <t>https://storage.googleapis.com/deytha-prod/payments/tstEtnXhJtBoQm22vMcRPoRmy3PsavNwzolvd1s1.pdf</t>
  </si>
  <si>
    <t>2026-01-16 08:29:16</t>
  </si>
  <si>
    <t>2026-01-17 08:29:07</t>
  </si>
  <si>
    <t xml:space="preserve">COT - CODIGOS EN STICKERS 
PARA UNIDADES DE NUEVO INGRESO </t>
  </si>
  <si>
    <t>2026-01-23 10:00:00</t>
  </si>
  <si>
    <t>https://storage.googleapis.com/deytha-prod/rqf/04f715c6-eb07-4250-8aff-b009c1b98734_COT - STICKER PARA CODIGOS DE UNIDADES NUEVAS PY-028.pdf</t>
  </si>
  <si>
    <t>https://storage.googleapis.com/deytha-prod/bcp_pdfs/shared/1769180437_BCP_HTML.pdf</t>
  </si>
  <si>
    <t>https://storage.googleapis.com/deytha-prod/rqf/42233/2ecc9f20-d783-49c9-8fac-ff3a42fe769d_42233-F001-00008682-STICKERS-MUNDOSTICKER.-RC.pdf</t>
  </si>
  <si>
    <t>2026-01-16 11:47:54</t>
  </si>
  <si>
    <t>2026-01-17 11:47:47</t>
  </si>
  <si>
    <t>CAJA CHICA # 18</t>
  </si>
  <si>
    <t>2026-02-10 12:11:00</t>
  </si>
  <si>
    <t>https://storage.googleapis.com/deytha-prod/bcp_pdfs/shared/1770743549_BCP_HTML.pdf</t>
  </si>
  <si>
    <t>2026-01-16 11:57:31</t>
  </si>
  <si>
    <t>2026-01-17 11:57:19</t>
  </si>
  <si>
    <t>COT - EPPS 
REQ # 39 - SSOMA</t>
  </si>
  <si>
    <t>2026-01-23 09:56:00</t>
  </si>
  <si>
    <t>https://storage.googleapis.com/deytha-prod/rqf/dba1a874-bc4f-4974-9a7f-7f4b09ef7a03_COT - EPPS - REQ 39 - SSOMA.pdf</t>
  </si>
  <si>
    <t>https://storage.googleapis.com/deytha-prod/bcp_pdfs/shared/1769180252_BCP_HTML.pdf</t>
  </si>
  <si>
    <t>https://storage.googleapis.com/deytha-prod/rqf/42259/58fe5c81-b5ae-4471-a4ae-883010d1d7a4_42259-E001-15492-ZAPATOS-ENCHUFES-ETC-FEMASUR.-RC.pdf</t>
  </si>
  <si>
    <t>2026-01-16 12:22:31</t>
  </si>
  <si>
    <t>2026-01-17 12:22:24</t>
  </si>
  <si>
    <t>COT - PERNOS Y ESPARADOS 
TUERCAS Y VOLANDAS 
REQ TELECOMUNICACIONES # 12 
REQ MECANICO # 28</t>
  </si>
  <si>
    <t>2026-01-21 12:28:00</t>
  </si>
  <si>
    <t>https://storage.googleapis.com/deytha-prod/rqf/85c6c304-a0bc-4740-8a83-642bbfa70a80_COT - PERNOS Y ESPARRAGOS VOLANDAS Y TUERCAS - REQ TEL Y MEC.pdf</t>
  </si>
  <si>
    <t>https://storage.googleapis.com/deytha-prod/bcp_pdfs/shared/1769016570_BCP_HTML.pdf</t>
  </si>
  <si>
    <t>https://storage.googleapis.com/deytha-prod/rqf/42266/6b83125a-b81f-4175-82be-b9aef08105b9_42266-E001-3072-PERNO-CANCAMO-LUQUEALVAREZ.-RC.pdf</t>
  </si>
  <si>
    <t>2026-01-16 14:57:01</t>
  </si>
  <si>
    <t>2026-01-17 14:56:53</t>
  </si>
  <si>
    <t>UTILES DE ESCRITORIO SSOMA 
REQ # 39 SSOMA</t>
  </si>
  <si>
    <t>2026-01-21 12:03:00</t>
  </si>
  <si>
    <t>https://storage.googleapis.com/deytha-prod/rqf/c28390e2-d4c3-4f83-a750-b89670354dcc_COT - UTILES DE ESCRITORIO - SSOMA REQ 39.pdf</t>
  </si>
  <si>
    <t>https://storage.googleapis.com/deytha-prod/bcp_pdfs/shared/1769015069_BCP_HTML.pdf</t>
  </si>
  <si>
    <t>https://storage.googleapis.com/deytha-prod/rqf/42282/0b2a4df5-23c8-41e5-a6a0-d8a0d07776f7_42282-F001-00007374-PIONER A-4-PAPELBOND-ETC-OFIPAPEL.-RC.pdf</t>
  </si>
  <si>
    <t>2026-01-16 21:51:43</t>
  </si>
  <si>
    <t>2026-01-18 12:51:36</t>
  </si>
  <si>
    <t xml:space="preserve">15 M3 PIEDRA CHANCADA 3/4. (ENTREGADO EL 15 DE DICIEMBRE). </t>
  </si>
  <si>
    <t>https://storage.googleapis.com/deytha-prod/rqf/808c8c2b-9092-4a8a-b334-73845bac3886_88176fe2-81df-45fb-9da7-1deaeaa2ca1f_Documento 249.pdf</t>
  </si>
  <si>
    <t>https://storage.googleapis.com/deytha-prod/rqf/c625d6de-c515-4b30-8b9b-6becbbd2e367_df08e3c4-d403-438f-a264-86de9f500dc4_34.-ORDEN DE COMPRA JHON MARON PIEDRA CHANCADA D2.pdf</t>
  </si>
  <si>
    <t>2026-01-16 21:57:53</t>
  </si>
  <si>
    <t>2026-01-18 12:57:41</t>
  </si>
  <si>
    <t>15 M3 DE ARENA GRUESA (ENTREGADO EL 15/12/2025)</t>
  </si>
  <si>
    <t>https://storage.googleapis.com/deytha-prod/rqf/0b29b544-e6db-4c35-82a6-312793c940c5_60318ed8-8977-49ad-853d-ebc1640c72a3_35.-ORDEN DE COMPRA JHON MARON ARENA DE GRUESA D2.pdf</t>
  </si>
  <si>
    <t>https://storage.googleapis.com/deytha-prod/rqf/30a3c5fc-5d37-4a63-bed6-6ec53f86a1e4_41a32407-a848-4348-aed2-7b9ce1b40d31_Documento 250 (1).pdf</t>
  </si>
  <si>
    <t>2026-01-16 22:03:30</t>
  </si>
  <si>
    <t>2026-01-18 13:03:17</t>
  </si>
  <si>
    <t xml:space="preserve">15 M3 DE PIEDRA CHANCADA (entregado el 16 de Diciembre)
</t>
  </si>
  <si>
    <t>https://storage.googleapis.com/deytha-prod/rqf/35cb122e-5032-4cc6-ad33-5df583eae783_fac5f144-c663-412d-8224-d0c5e7bd4015_Documento 251.pdf</t>
  </si>
  <si>
    <t>https://storage.googleapis.com/deytha-prod/rqf/d07a567c-e833-4167-b1aa-aaa5b86c9454_40880f55-e578-4bb1-bff8-06c58aa8622a_36.-ORDEN DE COMPRA JHON MARON PIEDRA CHANCADA D2.pdf</t>
  </si>
  <si>
    <t>2026-01-16 22:07:45</t>
  </si>
  <si>
    <t>2026-01-18 13:07:35</t>
  </si>
  <si>
    <t>7.5 M3 DE PIEDRA CHANCADA | 7.5 M3 DE ARENA GRUESA, ENTREGADO EL 05/01/2026</t>
  </si>
  <si>
    <t>https://storage.googleapis.com/deytha-prod/rqf/cf4f54fb-86a5-47b7-ace4-bf30542b0889_8db0425a-1d92-45a1-9ed1-db41cc70338d_38.-ORDEN DE COMPRA JHON MARON PIEDRA CHANCADA D2.pdf</t>
  </si>
  <si>
    <t>https://storage.googleapis.com/deytha-prod/rqf/cb29ee4c-06d5-4d92-8826-25755bab24e2_3891d165-9b33-4654-ac25-a1e3280eab41_Documento 252.pdf</t>
  </si>
  <si>
    <t>2026-01-16 23:18:25</t>
  </si>
  <si>
    <t>2026-01-18 14:16:39</t>
  </si>
  <si>
    <t xml:space="preserve">PLACA Z7Z-828 DEL 24/11/25 AL 22/12/25 </t>
  </si>
  <si>
    <t>https://storage.googleapis.com/deytha-prod/payments/cNPEgnYTliX71Gcoeah1fINp5lYJlcgYNPvTkTjA.pdf</t>
  </si>
  <si>
    <t>https://storage.googleapis.com/deytha-prod/supplierBills/OsWNGoh5t9bMQ5FOX0EyQ8vcHY7Ati1AUGQVsI4v.pdf</t>
  </si>
  <si>
    <t>2026-01-19 13:35:44</t>
  </si>
  <si>
    <t>2026-01-20 13:34:34</t>
  </si>
  <si>
    <t>COT - DILUYENTE RE
MARCA RENNER 
REQ # 27 MECANICO</t>
  </si>
  <si>
    <t>2026-01-19 17:30:00</t>
  </si>
  <si>
    <t>https://storage.googleapis.com/deytha-prod/rqf/6f1f9d5f-b784-46c4-ba4d-747caa2d5584_COT - DILUYENTE - RENNER.pdf</t>
  </si>
  <si>
    <t>https://storage.googleapis.com/deytha-prod/bcp_pdfs/shared/1768861895_BCP_HTML.pdf</t>
  </si>
  <si>
    <t>https://storage.googleapis.com/deytha-prod/rqf/42430/86bbd76c-29e7-4ecc-b9b4-ab40c91f5751_42430-F001-12773-DILUYENTE-RENNER.-RC.pdf</t>
  </si>
  <si>
    <t>2026-01-16 15:26:32</t>
  </si>
  <si>
    <t>DEVOLUCION DE CAJA CHICA</t>
  </si>
  <si>
    <t>2026-01-16 16:01:05</t>
  </si>
  <si>
    <t>https://storage.googleapis.com/deytha-prod/payments/FRThlc9A2UMDEdqRXJsrXvAEEKVYwwAfP6Wg6ic3.jpg</t>
  </si>
  <si>
    <t>https://storage.googleapis.com/deytha-prod/payments/CLkAPVNxPZQMgUYsPd9EWjnmJqHUV7IpvRy67sZM.jpg</t>
  </si>
  <si>
    <t>2026-01-16 08:37:43</t>
  </si>
  <si>
    <t>2026-01-16 15:04:47</t>
  </si>
  <si>
    <t>2026-01-17 08:37:28</t>
  </si>
  <si>
    <t>HOMECENTERS PERUANOS S.A.</t>
  </si>
  <si>
    <t>PAGO POR SERVICIO</t>
  </si>
  <si>
    <t>-</t>
  </si>
  <si>
    <t>COT DE ESCRITORIOS Y SILLAS 
# REQ 25 - RESIDENCIA</t>
  </si>
  <si>
    <t>2026-01-16 16:24:00</t>
  </si>
  <si>
    <t>https://storage.googleapis.com/deytha-prod/rqf/64f4d280-c8f0-49dd-99ae-8cc5e0bf0a2a_COT - ESCRITORIO Y SILLAS - ENERO 2026.jpg</t>
  </si>
  <si>
    <t>https://storage.googleapis.com/deytha-prod/rqf/payments/4c60e582-7408-461f-af92-c2057867e4a5_BCP_2026-01-16 424PM_42235.pdf</t>
  </si>
  <si>
    <t>https://storage.googleapis.com/deytha-prod/rqf/42235/569f24e2-6da7-49e4-8d43-cfe5f932a702_42235-FD21 N° 00005423-SILLA-ESCRITORIO.HOMECENTER-RC.pdf</t>
  </si>
  <si>
    <t>2026-01-15 18:38:03</t>
  </si>
  <si>
    <t>2025-12-30 18:38:03</t>
  </si>
  <si>
    <t>DICIEMBRE-2025-ONP-DEYFOR-PY28-RG</t>
  </si>
  <si>
    <t>2026-02-23 14:26:44</t>
  </si>
  <si>
    <t>2026-01-15 18:13:47</t>
  </si>
  <si>
    <t>2025-12-30 18:13:47</t>
  </si>
  <si>
    <t>2026-02-23 14:28:00</t>
  </si>
  <si>
    <t>2026-01-15 17:54:22</t>
  </si>
  <si>
    <t>2025-12-30 17:54:22</t>
  </si>
  <si>
    <t>DICIEMBRE-2025-AFP-DEYFOR-PY28-RG</t>
  </si>
  <si>
    <t>2026-02-23 14:25:25</t>
  </si>
  <si>
    <t>2026-01-15 17:26:22</t>
  </si>
  <si>
    <t>2025-12-30 17:26:22</t>
  </si>
  <si>
    <t>DICIEMBRE-2025-ESSALUD-DEYFOR-PY28-RG</t>
  </si>
  <si>
    <t>2026-02-23 14:29:35</t>
  </si>
  <si>
    <t>2026-01-15 16:58:46</t>
  </si>
  <si>
    <t>2025-12-30 16:58:46</t>
  </si>
  <si>
    <t>DICIEMBRE-2025-REM NETAS-DEYFOR-PY28-RG</t>
  </si>
  <si>
    <t>2026-02-23 14:23:10</t>
  </si>
  <si>
    <t>2026-01-15 16:25:13</t>
  </si>
  <si>
    <t>2025-12-30 16:25:13</t>
  </si>
  <si>
    <t>DICIEMBRE-2025-AFP-EDKA-PY28-RG</t>
  </si>
  <si>
    <t>2026-01-15 16:10:03</t>
  </si>
  <si>
    <t>2025-12-30 16:10:03</t>
  </si>
  <si>
    <t>DICIEMBRE-2025-ESSALUD-EDKA-PY28-RG</t>
  </si>
  <si>
    <t>2026-02-23 14:21:28</t>
  </si>
  <si>
    <t>2026-01-15 15:31:03</t>
  </si>
  <si>
    <t>2025-12-30 15:31:03</t>
  </si>
  <si>
    <t>DICIEMBRE-2025-REM NETAS-EDKA-PY28-RG</t>
  </si>
  <si>
    <t>2026-02-23 14:20:19</t>
  </si>
  <si>
    <t>2026-01-15 11:20:28</t>
  </si>
  <si>
    <t>SG</t>
  </si>
  <si>
    <t>HECTOR FABRIZIO GIORGIANO BAHAMONDE  MUÑOZ</t>
  </si>
  <si>
    <t>2026-01-15 11:21:53</t>
  </si>
  <si>
    <t>2026-01-15 11:20:22</t>
  </si>
  <si>
    <t>DIVECENTER S.A.C.</t>
  </si>
  <si>
    <t>BAHAMONDE MUÑOZ HECTOR FABRIZIO GIORGIANO</t>
  </si>
  <si>
    <t>ORDEN DE SERVICIO</t>
  </si>
  <si>
    <t>SERVICIO DE DIAGNÓSTICO DE LA UNIDAD T9F-962 REALIZADO EN DIVEMOTOR AREQUIPA, PERTENECIENTE AL PY-028</t>
  </si>
  <si>
    <t>2026-01-15 16:35:00</t>
  </si>
  <si>
    <t>https://storage.googleapis.com/deytha-prod/rqf/3717b134-2de8-420f-a52e-1e4fb559a30d_0205232194 - T9F-962 - deyfor.pdf</t>
  </si>
  <si>
    <t>https://storage.googleapis.com/deytha-prod/rqf/payments/91ba3cec-ac86-4ef0-ba92-5dc7f9457485_BCP_2026-01-15 435PM_42014.pdf</t>
  </si>
  <si>
    <t>https://storage.googleapis.com/deytha-prod/rqf/42014/0a1de77c-15aa-4183-a164-f0780a287af5_20520588486-01-F006-0221749.pdf</t>
  </si>
  <si>
    <t>2026-01-09 15:20:01</t>
  </si>
  <si>
    <t>2026-01-14 12:51:16</t>
  </si>
  <si>
    <t>2026-01-10 15:19:30</t>
  </si>
  <si>
    <t>LATAM AIRLINES PERÚ S.A</t>
  </si>
  <si>
    <t>0000000000000</t>
  </si>
  <si>
    <t>PASAJE DE MOVILIZACION JHAN SILVA CAJAMARCA - AREQUIPA</t>
  </si>
  <si>
    <t>2026-01-09 15:27:00</t>
  </si>
  <si>
    <t>https://storage.googleapis.com/deytha-prod/rqf/cf067d8f-e17a-44f9-8038-9921cee8f497_Captura de pantalla 2026-01-09 151916.png</t>
  </si>
  <si>
    <t>https://storage.googleapis.com/deytha-prod/rqf/payments/9ffbd29e-631e-4f4b-9786-64f609c9b42d_consulta_operacion (5).pdf</t>
  </si>
  <si>
    <t>https://storage.googleapis.com/deytha-prod/rqf/41619/05d6c0ab-6d2c-42ae-a08c-ab6c95424d2b_Comprobante-LATAM-LA5448962URPJ jhan.pdf</t>
  </si>
  <si>
    <t>2026-01-14 12:39:53</t>
  </si>
  <si>
    <t>2026-01-15 12:39:46</t>
  </si>
  <si>
    <t>PROMETALS &amp; COMPANY S.A.C.</t>
  </si>
  <si>
    <t>COT - PLATINA 1/8 X 3/4 X 6M 
REQ # 28 MECANCIO</t>
  </si>
  <si>
    <t>2026-01-14 15:02:00</t>
  </si>
  <si>
    <t>https://storage.googleapis.com/deytha-prod/rqf/0c3cbe6a-b024-40e5-b3dc-0ade57a92c1a_COT - PLATINA  1.8  X 6M.pdf</t>
  </si>
  <si>
    <t>https://storage.googleapis.com/deytha-prod/bcp_pdfs/shared/1768421011_BCP_HTML.pdf</t>
  </si>
  <si>
    <t>https://storage.googleapis.com/deytha-prod/rqf/41937/031783b8-8aa7-4656-bed3-419dd6afcbb9_41937-FT01-00002593-PLATINA-PROMETALS.RC..pdf</t>
  </si>
  <si>
    <t>2026-01-12 13:48:13</t>
  </si>
  <si>
    <t>2026-01-13 16:22:15</t>
  </si>
  <si>
    <t>2026-01-13 13:47:43</t>
  </si>
  <si>
    <t>COT - MATERIALES VARIOS 
REQ # 41 ELECTRICO 
REQ # 27 MECANICO
REQ # 11 TELECOMUNICACIONES</t>
  </si>
  <si>
    <t>2026-01-27 11:25:00</t>
  </si>
  <si>
    <t>https://storage.googleapis.com/deytha-prod/rqf/e53e94ac-3ea5-442b-9402-3f55b6e5d681_COT - MATERIALES VARIOS REQ ELEC. MEC Y TEL.pdf</t>
  </si>
  <si>
    <t>https://storage.googleapis.com/deytha-prod/bcp_pdfs/shared/1769531190_BCP_HTML.pdf</t>
  </si>
  <si>
    <t>https://storage.googleapis.com/deytha-prod/rqf/41721/ded3dcc5-7bce-4e6c-9e6e-dcd1dc60c26d_41721-F010 - 000283-ACEITE-PINTURA-THINER-FEMAVI.-RC.pdf</t>
  </si>
  <si>
    <t>2026-01-12 14:16:54</t>
  </si>
  <si>
    <t>2026-01-13 14:16:08</t>
  </si>
  <si>
    <t>COT - MATERIALES MECANICOS Y EPPS PARA PERSO NAL NUEVO 
REQ # 08 ADM 
REQ # 27 - MECANICO</t>
  </si>
  <si>
    <t>2026-01-27 11:17:00</t>
  </si>
  <si>
    <t>https://storage.googleapis.com/deytha-prod/rqf/ee840684-a88f-4a26-8231-f87d2a360dc9_COT - EPPS Y MATERIALES MECANICOS.pdf</t>
  </si>
  <si>
    <t>https://storage.googleapis.com/deytha-prod/bcp_pdfs/shared/1769530713_BCP_HTML.pdf</t>
  </si>
  <si>
    <t>https://storage.googleapis.com/deytha-prod/rqf/41722/b8fc9578-e5e3-4a7c-9777-3ad3e75ecf00_41722-E001-15511-CHAPA-DISCO-ZAPATO-ETC-FEMASUR.-RC.pdf</t>
  </si>
  <si>
    <t>2026-01-13 08:02:23</t>
  </si>
  <si>
    <t>2026-01-14 08:02:13</t>
  </si>
  <si>
    <t>CEMENTO CONDUCTIVO THORGEM BOLSA X 25kg
REQ # 43 ELECTRICO</t>
  </si>
  <si>
    <t>2026-01-21 18:28:00</t>
  </si>
  <si>
    <t>https://storage.googleapis.com/deytha-prod/rqf/cb89ea2e-d98f-4aa6-82f6-712d7a1d394c_COT - CEMENTO CONDUCTIVO THORGEM  REQ 43 ELEC.pdf</t>
  </si>
  <si>
    <t>https://storage.googleapis.com/deytha-prod/bcp_pdfs/shared/1769038171_BCP_HTML.pdf</t>
  </si>
  <si>
    <t>https://storage.googleapis.com/deytha-prod/rqf/41797/23aa8345-2e88-4f72-9d6a-f57ba6be21a5_41797-FQQ1-000596-CEMENTO-ACEMAD.-RC.pdf</t>
  </si>
  <si>
    <t>2026-01-08 19:44:08</t>
  </si>
  <si>
    <t>2026-01-12 11:58:15</t>
  </si>
  <si>
    <t>2026-01-09 10:43:47</t>
  </si>
  <si>
    <t xml:space="preserve">PAGO DE EMO SEDANO ROSAS NESTOR AGUSTO
</t>
  </si>
  <si>
    <t>2026-01-12 13:58:00</t>
  </si>
  <si>
    <t>https://storage.googleapis.com/deytha-prod/rqf/935dc9b5-d729-4841-869b-36b744e9c3a6_val 02-2025_deyfor.xlsx</t>
  </si>
  <si>
    <t>https://storage.googleapis.com/deytha-prod/bcp_pdfs/shared/1768244371_BCP_HTML.pdf</t>
  </si>
  <si>
    <t>https://storage.googleapis.com/deytha-prod/rqf/41560/062cfa4a-b2a8-4e9e-a74a-fd459c73c005_PDF-DOC-E001-77620606572922.pdf</t>
  </si>
  <si>
    <t>2026-01-12 09:13:23</t>
  </si>
  <si>
    <t>2026-01-12 09:13:13</t>
  </si>
  <si>
    <t>PAGO DE EMO PARA VICENTE FRIAS ERICKA XIMENA</t>
  </si>
  <si>
    <t>2026-01-12 14:45:00</t>
  </si>
  <si>
    <t>https://storage.googleapis.com/deytha-prod/rqf/3fa7ac1c-a3d0-4299-88ec-ca6865bcd4d8_PDF-DOC-E001-528920605114980.pdf</t>
  </si>
  <si>
    <t>https://storage.googleapis.com/deytha-prod/rqf/payments/b83bb7d4-b949-403e-a3d0-bfc3c0b31434_Scotiabank_2026-01-12 245PM_41661.pdf</t>
  </si>
  <si>
    <t>https://storage.googleapis.com/deytha-prod/rqf/41661/e6a09cf3-83ab-46bf-ae31-b9deb41a7b73_41661.pdf</t>
  </si>
  <si>
    <t>2026-01-12 09:23:08</t>
  </si>
  <si>
    <t>2026-01-12 09:22:58</t>
  </si>
  <si>
    <t>PAGO DE EMO PARA RODRIGUEZ CHAMBILLA EDWIN RAUL,VELARDE ALVARADO ROBERTO ALFONSO</t>
  </si>
  <si>
    <t>2026-01-12 13:54:00</t>
  </si>
  <si>
    <t>https://storage.googleapis.com/deytha-prod/rqf/6fec0c1a-1a91-4d7f-9d28-61b79b53451b_20539477600-01-F002-00019968 (1).pdf</t>
  </si>
  <si>
    <t>https://storage.googleapis.com/deytha-prod/bcp_pdfs/shared/1768244132_BCP_HTML.pdf</t>
  </si>
  <si>
    <t>https://storage.googleapis.com/deytha-prod/rqf/41666/64af28f0-85a2-4c83-aee0-b5f9a25df92b_41666.pdf</t>
  </si>
  <si>
    <t>2026-01-08 15:44:44</t>
  </si>
  <si>
    <t>2026-01-08 19:10:31</t>
  </si>
  <si>
    <t>2026-01-09 15:44:33</t>
  </si>
  <si>
    <t>PASAJE AEREO PARA DIEGO CALDERON SSOMA (DESMOVILIZACION)</t>
  </si>
  <si>
    <t>2026-01-08 15:48:00</t>
  </si>
  <si>
    <t>https://storage.googleapis.com/deytha-prod/rqf/2a6ac787-87d4-44ef-b205-9d5e09029101_Captura de pantalla 2026-01-08 154418.png</t>
  </si>
  <si>
    <t>https://storage.googleapis.com/deytha-prod/rqf/payments/783327b6-22a9-4d5d-9333-bce8e79002a3_BCP_2026-01-08 348PM_41528.pdf</t>
  </si>
  <si>
    <t>https://storage.googleapis.com/deytha-prod/rqf/41528/6a843055-44da-4415-8a99-1581e853281a_Comprobante-LATAM-LA5448287MDIJ DIEGO CALDERON.pdf</t>
  </si>
  <si>
    <t>2026-01-08 15:45:23</t>
  </si>
  <si>
    <t>2026-01-09 15:40:56</t>
  </si>
  <si>
    <t xml:space="preserve">UTILES DE ESCRITORIO 
REQ # 08 ADM 
REQ DE RRHH - </t>
  </si>
  <si>
    <t>2026-01-15 18:02:00</t>
  </si>
  <si>
    <t>https://storage.googleapis.com/deytha-prod/rqf/b859e42f-5baf-4df4-8363-e890046d0c15_COT - UTILES DE OFICNA AREA RRHH SUR - REQ 08 ADM.pdf</t>
  </si>
  <si>
    <t>https://storage.googleapis.com/deytha-prod/bcp_pdfs/shared/1768518213_BCP_HTML.pdf</t>
  </si>
  <si>
    <t>https://storage.googleapis.com/deytha-prod/rqf/41529/85d17ab9-dbcf-4412-911d-34bec9671fc3_41529-F001-00007360-LAPICEROS.PAPELBOND.OTROS-OFIPAPEL-RC.pdf</t>
  </si>
  <si>
    <t>2026-01-08 15:00:39</t>
  </si>
  <si>
    <t>2026-01-08 17:55:42</t>
  </si>
  <si>
    <t>2026-01-09 15:00:20</t>
  </si>
  <si>
    <t>COT - CHOMPAS JORGE CHAVEZ 
REQ # 37 - SSOMA</t>
  </si>
  <si>
    <t>2026-01-15 17:54:00</t>
  </si>
  <si>
    <t>https://storage.googleapis.com/deytha-prod/rqf/98203aa1-d3b1-4530-ad0c-cf4039571cad_COT - CHOMPAS  REQ 37 SSOMA.pdf</t>
  </si>
  <si>
    <t>https://storage.googleapis.com/deytha-prod/bcp_pdfs/shared/1768517751_BCP_HTML.pdf</t>
  </si>
  <si>
    <t>https://storage.googleapis.com/deytha-prod/rqf/41519/598d5247-0ecb-49b0-b98c-eab32d9cf612_41519-F007-009371-CHOMPAS DE LANA-FEFMAVI.RC..pdf</t>
  </si>
  <si>
    <t>2026-01-08 11:16:24</t>
  </si>
  <si>
    <t>2026-01-08 11:16:23</t>
  </si>
  <si>
    <t>MILLONES CHAPOÑAN MARIO</t>
  </si>
  <si>
    <t>430-08272085-0-54</t>
  </si>
  <si>
    <t>2026-01-16 12:13:00</t>
  </si>
  <si>
    <t>https://storage.googleapis.com/deytha-prod/worker/settle/6f0JlEHdGwKcykUMJpDTxlZKaIjuCA4u0wqYDxxE.pdf</t>
  </si>
  <si>
    <t>https://storage.googleapis.com/deytha-prod/bcp_pdfs/shared/1768583670_BCP_HTML.pdf</t>
  </si>
  <si>
    <t>2025-12-30 18:42:30</t>
  </si>
  <si>
    <t>2026-01-07 18:59:11</t>
  </si>
  <si>
    <t>2026-01-01 09:42:13</t>
  </si>
  <si>
    <t>VAL -CONSUMO DE COMBUSTIBLE PARA UNIDADES 
DEL 01 DE DIC AL 15 DIC 
PY028</t>
  </si>
  <si>
    <t>2026-01-30 19:02:00</t>
  </si>
  <si>
    <t>https://storage.googleapis.com/deytha-prod/rqf/238e8ef8-0f3a-4ecb-a831-3ee7d65ab150_VAL - CONSUMO DE COMBUSTIBLE DEL 1 AL 15 DIC.pdf</t>
  </si>
  <si>
    <t>https://storage.googleapis.com/deytha-prod/bcp_pdfs/shared/1769817809_BCP_HTML.pdf</t>
  </si>
  <si>
    <t>https://storage.googleapis.com/deytha-prod/rqf/41088/f6f59127-d251-4f41-a60f-0d91a74127e1_41088-F001-00141261-COMBUSTBLE-GRIFOSAM.-RC-PY28.PDF</t>
  </si>
  <si>
    <t>2026-01-05 15:59:25</t>
  </si>
  <si>
    <t>2026-01-06 15:59:05</t>
  </si>
  <si>
    <t>CAJA CHICA # 17</t>
  </si>
  <si>
    <t>2026-01-16 19:33:00</t>
  </si>
  <si>
    <t>https://storage.googleapis.com/deytha-prod/bcp_pdfs/shared/1768610070_BCP_HTML.pdf</t>
  </si>
  <si>
    <t>2026-01-07 13:38:06</t>
  </si>
  <si>
    <t>2026-01-08 13:37:59</t>
  </si>
  <si>
    <t>NEMCO GROUP S.A.C.</t>
  </si>
  <si>
    <t>430 7313472 0 87</t>
  </si>
  <si>
    <t>COT 
ACEITE MOVIL CK 15W40 DE 5GL
REQ # 44 - ELECTRICO</t>
  </si>
  <si>
    <t>2026-01-08 15:31:00</t>
  </si>
  <si>
    <t>https://storage.googleapis.com/deytha-prod/rqf/b4fe9830-5ebc-4ba1-8227-bcb413ec2945_COT - ACEITE GENERADOR - REQ 44.pdf</t>
  </si>
  <si>
    <t>https://storage.googleapis.com/deytha-prod/bcp_pdfs/shared/1767904349_BCP_HTML.pdf</t>
  </si>
  <si>
    <t>https://storage.googleapis.com/deytha-prod/rqf/41412/85a7b8c3-afcb-4d90-b1c9-326137cf3110_41412 - E001-26 - MOVIL - NEMCO (RICARDO).pdf</t>
  </si>
  <si>
    <t>2026-01-07 14:36:41</t>
  </si>
  <si>
    <t>2026-01-08 14:36:12</t>
  </si>
  <si>
    <t>CCOPA CHECALLA JONY WILFREDO</t>
  </si>
  <si>
    <t>ACEITE PARA GENERADOR ELECTRICO DE 6500 W 
GENERADORES DE D2 Y  A3</t>
  </si>
  <si>
    <t>2026-01-08 15:28:00</t>
  </si>
  <si>
    <t>https://storage.googleapis.com/deytha-prod/rqf/31ee4942-2ca8-4670-bed0-44a1b726d322_COT - ACEITE PARA GENERADORES DE OBRA D2 Y A3.pdf</t>
  </si>
  <si>
    <t>https://storage.googleapis.com/deytha-prod/bcp_pdfs/shared/1767904169_BCP_HTML.pdf</t>
  </si>
  <si>
    <t>https://storage.googleapis.com/deytha-prod/rqf/41419/6096032c-218e-4299-ae76-44e2714afff4_41419 - E001-147  - ACEITE MOVIL - MAABI (RICARDO).pdf</t>
  </si>
  <si>
    <t>2026-01-07 15:32:16</t>
  </si>
  <si>
    <t>2025-12-04 15:32:16</t>
  </si>
  <si>
    <t xml:space="preserve">REPARACION DE NEUMATICO 265/70R17 DE UNIDA EN OBRA
</t>
  </si>
  <si>
    <t>2026-01-16 16:00:58</t>
  </si>
  <si>
    <t>https://storage.googleapis.com/deytha-prod/payments/e4MQaqJJiCYZbrqLYBpLnHpeY4JLFValcx8zYyse.pdf</t>
  </si>
  <si>
    <t>https://storage.googleapis.com/deytha-prod/payments/BzOTs4kzKeKjUKAeGpbgmSR52hqvAzH4poC5e4jA.pdf</t>
  </si>
  <si>
    <t>2026-01-07 15:27:32</t>
  </si>
  <si>
    <t>2025-12-03 15:27:32</t>
  </si>
  <si>
    <t>INTERNET OFICINA SAMEGUA MES DICIEMBRE</t>
  </si>
  <si>
    <t>2026-01-16 15:58:26</t>
  </si>
  <si>
    <t>https://storage.googleapis.com/deytha-prod/payments/MrpKUkVdrU4oqK3PZWY4kE8JIcU8Gx3kvgx7WgpY.pdf</t>
  </si>
  <si>
    <t>https://storage.googleapis.com/deytha-prod/payments/swrGhSvXYVpq4GjJCpnQ4dpt4GLlF5ZXxfVOUL6m.pdf</t>
  </si>
  <si>
    <t>2026-01-07 15:21:40</t>
  </si>
  <si>
    <t>2025-11-30 15:21:40</t>
  </si>
  <si>
    <t>ENVIO DE ENCOMIENDA HACIA BOTIFLCA. 02 PAQUETES AREA MECANICA</t>
  </si>
  <si>
    <t>2026-01-16 15:58:22</t>
  </si>
  <si>
    <t>https://storage.googleapis.com/deytha-prod/payments/k8Lv0CorwzEjERJP3I8SAcJzUIykXjkQdteGRokS.pdf</t>
  </si>
  <si>
    <t>https://storage.googleapis.com/deytha-prod/payments/l2XWkzUSUGsi2DXK3U8xDES5aetxoyMW7qvC537a.pdf</t>
  </si>
  <si>
    <t>2026-01-07 15:11:30</t>
  </si>
  <si>
    <t>2025-11-28 15:11:30</t>
  </si>
  <si>
    <t>ENCOMIENDA DE PERNOS - URGENTE HACIA CUAJONES </t>
  </si>
  <si>
    <t>2026-01-16 15:58:18</t>
  </si>
  <si>
    <t>https://storage.googleapis.com/deytha-prod/payments/YaE7F5xzEGHXATOw2rM1a0SW6ffgRZ2rJ3v0byx6.pdf</t>
  </si>
  <si>
    <t>https://storage.googleapis.com/deytha-prod/payments/XbD1zJOzEr3aQdRnZVfeqJ7flIHsDumWOnPwKSJo.pdf</t>
  </si>
  <si>
    <t>2026-01-07 15:09:23</t>
  </si>
  <si>
    <t>2025-11-26 15:09:23</t>
  </si>
  <si>
    <t>PERNO HEXX 1/2 X 1 TUERCA Y PLANA</t>
  </si>
  <si>
    <t>2026-01-16 15:58:29</t>
  </si>
  <si>
    <t>https://storage.googleapis.com/deytha-prod/payments/I2Zod3BSP5Lr7n7OQv3kPoks6mx1G2Wzlnl4Bzhp.pdf</t>
  </si>
  <si>
    <t>https://storage.googleapis.com/deytha-prod/payments/KzBKu9mq6s0WyOZmpQEQp5ImpgYdfSkagcs3rZKq.pdf</t>
  </si>
  <si>
    <t>2026-01-07 14:27:32</t>
  </si>
  <si>
    <t>2025-11-20 14:27:32</t>
  </si>
  <si>
    <t>SERVICIO DE TAXI (19-11) RECOJO DE MATERIAL Y ENCOMIENDA . RECOJO DE ENCOMIENDA Y MATERIAL ELECTRICO EN SAN ANTONIO (20-11) DOS DIAS SERVICIO DE RECOJO</t>
  </si>
  <si>
    <t>2026-01-16 15:58:07</t>
  </si>
  <si>
    <t>https://storage.googleapis.com/deytha-prod/payments/AlioLYAfBTGNQd1pDRKGd7FSEOCWvCd9L0tNV7ZC.pdf</t>
  </si>
  <si>
    <t>https://storage.googleapis.com/deytha-prod/payments/ELRsqpuJiDAuzkvYgOUyEKGCG2mTqRIi1oPa3t4b.pdf</t>
  </si>
  <si>
    <t>2026-01-07 14:27:31</t>
  </si>
  <si>
    <t>2025-11-15 14:27:31</t>
  </si>
  <si>
    <t>TAXI IDA Y VUELTA PARA RECOJO DE STICKER DE CAMIONETA  URGENTE PARA OBRA</t>
  </si>
  <si>
    <t>2026-01-16 15:58:04</t>
  </si>
  <si>
    <t>https://storage.googleapis.com/deytha-prod/payments/9msLZ63KRWcG3VflcEp0yEbGgFD4pCSBRiRZnm0C.pdf</t>
  </si>
  <si>
    <t>https://storage.googleapis.com/deytha-prod/payments/NFhwRDnwXC4p2RFqtlYD1qvjoQ9bEBcbqO9Bu4QF.pdf</t>
  </si>
  <si>
    <t>2026-01-07 14:16:15</t>
  </si>
  <si>
    <t>2025-11-10 14:16:15</t>
  </si>
  <si>
    <t>TAXI PARA RECOJO DE MATERIAL EN FLORES Y REGRESO A OFICINA SAMEGUA</t>
  </si>
  <si>
    <t>2026-01-16 15:58:10</t>
  </si>
  <si>
    <t>https://storage.googleapis.com/deytha-prod/payments/Ddhi3NnJQSe6a1bq5EeCmlokuQqF9kkdOEZybl3j.pdf</t>
  </si>
  <si>
    <t>https://storage.googleapis.com/deytha-prod/payments/uAlaAOKW2b3w3bFlEG3rqKivynjp7uh68HKZhGjh.pdf</t>
  </si>
  <si>
    <t>2026-01-07 14:16:11</t>
  </si>
  <si>
    <t>2025-11-03 14:16:11</t>
  </si>
  <si>
    <t>RECOJO DE MATERIALES EN CERCADO DE MOQUEGUA </t>
  </si>
  <si>
    <t>2026-01-16 15:58:00</t>
  </si>
  <si>
    <t>https://storage.googleapis.com/deytha-prod/payments/pegHgAHPRF22N7pnU9263KVTdH1KNbwY2Xog0hlg.pdf</t>
  </si>
  <si>
    <t>https://storage.googleapis.com/deytha-prod/payments/tVJfk3GXYPI2QwB2P0N5C3IHGOFwgKJbcBtNcr0E.pdf</t>
  </si>
  <si>
    <t>2026-01-07 14:05:53</t>
  </si>
  <si>
    <t>2025-11-01 14:05:53</t>
  </si>
  <si>
    <t>COMPRA DE 06 RESMAS DE PAPEL BOND GASTOS DE VISITA COMISIRIA POR CASO DE ROBO DE COBRE TRABAJADOR DEYFOR</t>
  </si>
  <si>
    <t>2026-01-16 15:58:14</t>
  </si>
  <si>
    <t>https://storage.googleapis.com/deytha-prod/payments/1RUfiTuzCNh5SjSJpveHVhIa11s95BnfaAcDocDc.pdf</t>
  </si>
  <si>
    <t>https://storage.googleapis.com/deytha-prod/payments/9GPoGsBhEyw4BYQqGPWe3WCw1Pu4O664AnlkXIje.pdf</t>
  </si>
  <si>
    <t>2026-01-07 13:26:50</t>
  </si>
  <si>
    <t>2025-11-26 13:26:50</t>
  </si>
  <si>
    <t>BIENES Y SERVICIOS ENMA E.I.R.L.</t>
  </si>
  <si>
    <t>CINTA AISLANTE COLOR ROJO - SHURTAPE</t>
  </si>
  <si>
    <t>2026-01-16 15:57:50</t>
  </si>
  <si>
    <t>https://storage.googleapis.com/deytha-prod/payments/C123qCsm3WCdRjpGppZLH7aC8HFD8RCdHuWJuTia.pdf</t>
  </si>
  <si>
    <t>https://storage.googleapis.com/deytha-prod/payments/r6LPoQQantNTmmsgLpHHvQMHBZwCuk4uWCxEN8Y1.pdf</t>
  </si>
  <si>
    <t>2026-01-07 12:04:29</t>
  </si>
  <si>
    <t>2025-11-13 12:04:29</t>
  </si>
  <si>
    <t>MULTISERVICIOS E INGENIERIA FUERZA MOTRIZ S.R.L.</t>
  </si>
  <si>
    <t>REPARACION DE NEBLINERO Y PERDIGA DE LA UNIDAD CEB-791 Y TAXI PARA RECOJO DE CAMIONETA</t>
  </si>
  <si>
    <t>2026-01-16 15:57:54</t>
  </si>
  <si>
    <t>https://storage.googleapis.com/deytha-prod/payments/GXhleqavwfGSGURipCDRMBEI1ruma1D9nRUsujJG.pdf</t>
  </si>
  <si>
    <t>https://storage.googleapis.com/deytha-prod/payments/gi0PcikHEvDAMzvu0je6nJMwEIXQHfJhzQXicDOx.pdf</t>
  </si>
  <si>
    <t>2026-01-07 12:04:28</t>
  </si>
  <si>
    <t>2025-11-03 12:04:28</t>
  </si>
  <si>
    <t>1 UNIDAD DE ITV-PLACA T9F962</t>
  </si>
  <si>
    <t>2026-01-16 15:57:40</t>
  </si>
  <si>
    <t>https://storage.googleapis.com/deytha-prod/payments/SuVgtAcl0fmRWRMt8wkCCkt0wHaui1Ob5jl7wWO2.pdf</t>
  </si>
  <si>
    <t>https://storage.googleapis.com/deytha-prod/payments/4ajus4NmZ58oWhjg0DExlXuR0wNq195PGixEp1HQ.pdf</t>
  </si>
  <si>
    <t>2026-01-06 17:35:53</t>
  </si>
  <si>
    <t>2026-01-07 08:36:35</t>
  </si>
  <si>
    <t>2025-12-19 17:35:21</t>
  </si>
  <si>
    <t>SEM31Y32-2025-REM NETAS-PY28-EDKA-RCC</t>
  </si>
  <si>
    <t>2025-12-19 19:00:00</t>
  </si>
  <si>
    <t>https://storage.googleapis.com/deytha-prod/rqf/238928ef-ff47-4bc0-9c12-34bce0c2351e_SEM31y32_01.12-14.12_2025_REM NETAS_EDKA_PY28_RCC.pdf</t>
  </si>
  <si>
    <t>https://storage.googleapis.com/deytha-prod/rqf/payments/e62d1dd0-68aa-48fe-8b82-3e916ac69fff_112374.51.pdf</t>
  </si>
  <si>
    <t>2026-01-06 17:39:21</t>
  </si>
  <si>
    <t>2026-01-03 17:38:28</t>
  </si>
  <si>
    <t>SEM33Y34-2025-REM NETAS-PY28-EDKA-RCC</t>
  </si>
  <si>
    <t>2026-01-03 19:00:00</t>
  </si>
  <si>
    <t>https://storage.googleapis.com/deytha-prod/rqf/3aeb85cc-5e4a-4b10-b7da-fd0adeb0e0d8_SEM33y34_15.12-28.12_2025_REM NETAS_EDKA_PY28_RCC.pdf</t>
  </si>
  <si>
    <t>https://storage.googleapis.com/deytha-prod/rqf/payments/c4c1af7d-1a33-4a5a-9940-c1bc052ea18f_121709.29.pdf</t>
  </si>
  <si>
    <t>2026-01-07 07:46:24</t>
  </si>
  <si>
    <t>2025-11-25 07:46:24</t>
  </si>
  <si>
    <t>TAXI PARA RECOJO DE ENCOMIENDA FLORES Y SHALOM SAN ANTONIO, RECOJO DE MATERIALES EN CERCADO MOQUEGUA</t>
  </si>
  <si>
    <t>2026-01-16 15:57:29</t>
  </si>
  <si>
    <t>https://storage.googleapis.com/deytha-prod/payments/iSIxcT5o2xdp78Gr08YZ8vIxu1Ok8RWrgKv6RAVB.pdf</t>
  </si>
  <si>
    <t>https://storage.googleapis.com/deytha-prod/payments/5hyiRLBEf2uYvR8mpWMk0L8KHEVQcNthnIOiZqSw.pdf</t>
  </si>
  <si>
    <t>2025-11-28 07:46:24</t>
  </si>
  <si>
    <t>RECOJO DE MATERIALES ELECTRICOS Y TELECOMUNICACIONES EN SAN ANTONIO Y CHEN CHEN EN MOQUEGUA</t>
  </si>
  <si>
    <t>2026-01-16 15:57:24</t>
  </si>
  <si>
    <t>https://storage.googleapis.com/deytha-prod/payments/Qn8xaM2PMy7jf3rYJ3GchDcWbr7P3TVl69JNcDAX.pdf</t>
  </si>
  <si>
    <t>https://storage.googleapis.com/deytha-prod/payments/MsMyGDhTC8kXN9ToUoEzIUioJMVGUsvrsManugBl.pdf</t>
  </si>
  <si>
    <t>2025-12-09 07:46:24</t>
  </si>
  <si>
    <t>COMPRA DE MATERIALES DE OFICINA COMO PLUMON RESALLTADOR, PAPEL FOTOC CHAMEX 
ENTRE OTROS </t>
  </si>
  <si>
    <t>2026-01-16 15:57:46</t>
  </si>
  <si>
    <t>https://storage.googleapis.com/deytha-prod/payments/pPMUWJOixTERxlQZHjdsInlsfvRALcnIu8od98CC.pdf</t>
  </si>
  <si>
    <t>https://storage.googleapis.com/deytha-prod/payments/vlfkqTDESSBH9cTO1BnLepLtnSttBwXho7LzVnC6.pdf</t>
  </si>
  <si>
    <t>COMPRA DE MATERIALES DE OFICINA COMO PAPEL FOTOC EXCELLENT / BOLSA DE  COMPOST</t>
  </si>
  <si>
    <t>2026-01-16 15:57:37</t>
  </si>
  <si>
    <t>https://storage.googleapis.com/deytha-prod/payments/x1qLHr5RLqI6SjztdhTmk2sLH4u0lUQOP4O4hpY0.pdf</t>
  </si>
  <si>
    <t>https://storage.googleapis.com/deytha-prod/payments/jcsBOD8f4gDg84v3EVveTn7zJQNMZl3EFkRlrPom.pdf</t>
  </si>
  <si>
    <t>2026-01-07 07:46:22</t>
  </si>
  <si>
    <t>2025-11-08 07:46:22</t>
  </si>
  <si>
    <t>TAXIS PARA RECOJO DE ENCOMIENDAS, ENTRE VAIRIOS PUNTOS DE MOQUEGUA</t>
  </si>
  <si>
    <t>2026-01-16 15:57:33</t>
  </si>
  <si>
    <t>https://storage.googleapis.com/deytha-prod/payments/QU2Dr12fxUBkS8iS9R037JGze8TIzFm6EHghCFh4.pdf</t>
  </si>
  <si>
    <t>https://storage.googleapis.com/deytha-prod/payments/Q5HTSmP3rITTgBXxfjygCNWFkeViBLxSzZYOuwMG.pdf</t>
  </si>
  <si>
    <t>2026-01-06 20:14:30</t>
  </si>
  <si>
    <t>2026-01-06 09:46:44</t>
  </si>
  <si>
    <t>2025-12-16 09:46:44</t>
  </si>
  <si>
    <t>COMPRA DE VASOS Y PLATOS DECARTABLES EN OBRA PARA COMPARTIR                              </t>
  </si>
  <si>
    <t>2026-01-16 15:57:12</t>
  </si>
  <si>
    <t>https://storage.googleapis.com/deytha-prod/payments/5NrStrdFwDfUSHJHW1YSu7Z1OoVOSIKGXT0es9mz.pdf</t>
  </si>
  <si>
    <t>https://storage.googleapis.com/deytha-prod/payments/3uMUov4qDh3NwQt1NDRTkP7VDopFnavdQD8vgT9A.pdf</t>
  </si>
  <si>
    <t>2026-01-05 17:18:45</t>
  </si>
  <si>
    <t>2026-01-06 07:59:33</t>
  </si>
  <si>
    <t>2026-01-05 17:18:29</t>
  </si>
  <si>
    <t>PAGO DE EMO HUAYNAPATA CASTRO JUAN</t>
  </si>
  <si>
    <t>2026-01-06 11:50:00</t>
  </si>
  <si>
    <t>https://storage.googleapis.com/deytha-prod/rqf/800a5133-fa25-424d-8774-093c13b55b9c_VALORIZACION 01- 2026.xlsx</t>
  </si>
  <si>
    <t>https://storage.googleapis.com/deytha-prod/bcp_pdfs/shared/1767718293_BCP_HTML.pdf</t>
  </si>
  <si>
    <t>https://storage.googleapis.com/deytha-prod/rqf/41228/ccad1cf1-6f33-467d-ad25-433e1e8c3900_PDF-DOC-E001-76120606572922.pdf</t>
  </si>
  <si>
    <t>2026-01-05 17:25:19</t>
  </si>
  <si>
    <t>2026-01-05 17:25:06</t>
  </si>
  <si>
    <t xml:space="preserve">PAGO DE EMO PARA SANCHEZ LINARES
LEONARDO OMAR
</t>
  </si>
  <si>
    <t>https://storage.googleapis.com/deytha-prod/rqf/a0ca5b0b-6cf7-4329-9ea4-acb3eda1c2cc_VAL. 57-2025_DEYFOR.xlsx</t>
  </si>
  <si>
    <t>https://storage.googleapis.com/deytha-prod/bcp_pdfs/shared/1767718315_BCP_HTML.pdf</t>
  </si>
  <si>
    <t>https://storage.googleapis.com/deytha-prod/rqf/41230/a249121c-d4e0-4610-98ca-cfd328319dfd_PDF-DOC-E001-76020606572922.pdf</t>
  </si>
  <si>
    <t>2026-01-05 18:36:14</t>
  </si>
  <si>
    <t>2025-12-04 18:36:14</t>
  </si>
  <si>
    <t>TRANSCARGO JHONCITO S.A.C.</t>
  </si>
  <si>
    <t>TRANSPORTE AREQUIPA-MOQUEGUA DE 437.40 KG EN TUBOS METALICOS</t>
  </si>
  <si>
    <t>2026-01-16 15:57:20</t>
  </si>
  <si>
    <t>https://storage.googleapis.com/deytha-prod/payments/KPozYI1USaQ1KpWyctACxGIobWFZlJsSC2o6RNLQ.pdf</t>
  </si>
  <si>
    <t>https://storage.googleapis.com/deytha-prod/payments/LONl8g9Aia8pbks5aAF0LmrDuj3N9SOwkYzz6Xcx.pdf</t>
  </si>
  <si>
    <t>2026-01-05 17:49:01</t>
  </si>
  <si>
    <t>2025-12-04 17:49:01</t>
  </si>
  <si>
    <t>RECOJO DE MATERIAL ACERO EN AREQUIPA EMPRESA METALMARK</t>
  </si>
  <si>
    <t>2026-01-16 15:57:16</t>
  </si>
  <si>
    <t>https://storage.googleapis.com/deytha-prod/payments/leCVG3idmaojoRl59njrJgpaf6b6Mi1dRN5kjejg.pdf</t>
  </si>
  <si>
    <t>https://storage.googleapis.com/deytha-prod/payments/e5iOkzOUhAL4Ds0DxVdVSxTDQDgvVuJVbLnajWrs.pdf</t>
  </si>
  <si>
    <t>2026-01-05 17:48:59</t>
  </si>
  <si>
    <t>2025-12-01 17:48:59</t>
  </si>
  <si>
    <t xml:space="preserve">TRANSPORTE DE AREQUIPA / MOQUEGUA 1 PAQUETE DE TUBOS DE COBRE/ 1 ROLLO DE COBRE
</t>
  </si>
  <si>
    <t>2026-01-16 15:57:05</t>
  </si>
  <si>
    <t>https://storage.googleapis.com/deytha-prod/payments/WHV7f62R5nJ9L3vR7RFySB8fRWUU38VyACXkdu8u.pdf</t>
  </si>
  <si>
    <t>https://storage.googleapis.com/deytha-prod/payments/IZE9nqYntbi8207p0s6jS13mSLmcqDIUhNoSfCp0.pdf</t>
  </si>
  <si>
    <t>2026-01-05 16:56:22</t>
  </si>
  <si>
    <t>2025-11-18 16:56:22</t>
  </si>
  <si>
    <t>COMPRA CON URGENCIA DE MANIJA PARA ESMERIL BOSCH</t>
  </si>
  <si>
    <t>2026-01-16 15:57:01</t>
  </si>
  <si>
    <t>https://storage.googleapis.com/deytha-prod/payments/EiaxqRmqTp3Ue7I9GdyHZ9Spg8t2KarJ8luoSK3t.pdf</t>
  </si>
  <si>
    <t>https://storage.googleapis.com/deytha-prod/payments/BItKr6y13jtDLMyuqMDkqfEydw7ANA8xMSskN2nB.pdf</t>
  </si>
  <si>
    <t>2026-01-05 16:56:19</t>
  </si>
  <si>
    <t>2025-11-04 16:56:19</t>
  </si>
  <si>
    <t>ENVIO DE SAMEGUA EN TAXI - A SAHALOM - VAJILLA DE FACTURAS</t>
  </si>
  <si>
    <t>2026-01-16 15:57:09</t>
  </si>
  <si>
    <t>https://storage.googleapis.com/deytha-prod/payments/qy4FN6i1ruZHMqoOafeJXbw3Pddce0WuoWnQR6jT.pdf</t>
  </si>
  <si>
    <t>https://storage.googleapis.com/deytha-prod/payments/DNWs9wKHonjgl49qB9OctOseBeVuC4YKDWarel5z.pdf</t>
  </si>
  <si>
    <t>2026-01-05 16:56:17</t>
  </si>
  <si>
    <t>2025-11-07 16:56:17</t>
  </si>
  <si>
    <t>RECOJO CENO PARA PERSONAL STAFF-REUNION OFICINA SAMEGUA</t>
  </si>
  <si>
    <t>2026-01-16 15:56:58</t>
  </si>
  <si>
    <t>https://storage.googleapis.com/deytha-prod/payments/aj9ZZaZqsdzf7C4XIS4BAv2GIyNhFn9wmaZbydPW.pdf</t>
  </si>
  <si>
    <t>https://storage.googleapis.com/deytha-prod/payments/QAfg3p2tPZyZSUNf51spg6RECG6JKnJLpScGrFcI.pdf</t>
  </si>
  <si>
    <t>2026-01-05 16:42:12</t>
  </si>
  <si>
    <t>2025-11-21 16:42:12</t>
  </si>
  <si>
    <t>ENVIO Y RECOJO DE EPP / FERRETERIA</t>
  </si>
  <si>
    <t>2026-01-16 15:56:54</t>
  </si>
  <si>
    <t>https://storage.googleapis.com/deytha-prod/payments/SXff3ynNtGR25q9cD9JhkrRb30e8Ujtzb5BTNnGJ.pdf</t>
  </si>
  <si>
    <t>https://storage.googleapis.com/deytha-prod/payments/TioJZQw3EQA7wjtbm6XMZFO7KoL8KaYDreZewFgR.pdf</t>
  </si>
  <si>
    <t>2026-01-05 16:42:09</t>
  </si>
  <si>
    <t>2025-11-18 16:42:09</t>
  </si>
  <si>
    <t>RECOJO DE ENCOMIENDA / MATERIALES  / FERRETERIA</t>
  </si>
  <si>
    <t>2026-01-16 15:56:46</t>
  </si>
  <si>
    <t>https://storage.googleapis.com/deytha-prod/payments/A0445dJTMIPQSt8tFpMh8OWC7L7CdIdFNzUXLz1x.pdf</t>
  </si>
  <si>
    <t>https://storage.googleapis.com/deytha-prod/payments/4Tq3unb5VIn6kwdRLYOnA7pp5BPtIpnU5L31HBzk.pdf</t>
  </si>
  <si>
    <t>2026-01-05 15:15:41</t>
  </si>
  <si>
    <t>2025-11-28 15:15:41</t>
  </si>
  <si>
    <t>TAXI EN LIMA PARA RECOJO DE PINTURA RENNER DE LURIN A LA VICTORIA LIMA</t>
  </si>
  <si>
    <t>2026-01-16 15:56:34</t>
  </si>
  <si>
    <t>https://storage.googleapis.com/deytha-prod/payments/OHKMxrcNxy2ak7t5XzLnLZVP6RA5dlQQZOkv9XOu.pdf</t>
  </si>
  <si>
    <t>https://storage.googleapis.com/deytha-prod/payments/pGvoPKMQOHF7CTaZYcHNJimte5D3kxKvZznw4OCU.pdf</t>
  </si>
  <si>
    <t>2025-11-24 15:15:41</t>
  </si>
  <si>
    <t>EMBALAJE DE ENCOMIENDA NATURAL MALLAS GALVANIZADAS EN LIMA</t>
  </si>
  <si>
    <t>2026-01-16 15:56:28</t>
  </si>
  <si>
    <t>https://storage.googleapis.com/deytha-prod/payments/lHBr8hLsLjN0t12CjDVKwx49bLL7vHIfBNyA8jRY.pdf</t>
  </si>
  <si>
    <t>https://storage.googleapis.com/deytha-prod/payments/fVxxsEgXU7xvlSgPPlKItu78cIeQX0YbmIJLTUky.pdf</t>
  </si>
  <si>
    <t>2025-11-03 15:15:41</t>
  </si>
  <si>
    <t>PAGO DE INTERNET OFICINA SAMEGUA MES DE NOVIEMBRE</t>
  </si>
  <si>
    <t>2026-01-16 15:56:50</t>
  </si>
  <si>
    <t>https://storage.googleapis.com/deytha-prod/payments/90GOeBEmLAMj4c2tLMtbiOA38WpBVgDfkyy41Of9.pdf</t>
  </si>
  <si>
    <t>https://storage.googleapis.com/deytha-prod/payments/lTawtvAoJU1j2msIwOi7RQsw1L68g6GxCBd62ym9.pdf</t>
  </si>
  <si>
    <t>2025-11-27 15:15:41</t>
  </si>
  <si>
    <t>RECOJO  DE ENCOMIENDA DE ILO HACIA MOQUEGUA - PERNOS</t>
  </si>
  <si>
    <t>2026-01-16 15:56:41</t>
  </si>
  <si>
    <t>https://storage.googleapis.com/deytha-prod/payments/nsw5K5iM2oQ8I9bDHKodGtk90oMIPQ6mOPAOxYWq.pdf</t>
  </si>
  <si>
    <t>https://storage.googleapis.com/deytha-prod/payments/Yntey9axAAf4lRMYmVG6vDRVJzDy4UQ3UKgibNd3.pdf</t>
  </si>
  <si>
    <t>2026-01-05 15:15:40</t>
  </si>
  <si>
    <t>2025-11-27 15:15:40</t>
  </si>
  <si>
    <t>TAXI EN AREQUIPA PARA RECOJO Y ENVIO DE MATERIALES ELECTRICOS </t>
  </si>
  <si>
    <t>2026-01-16 15:56:17</t>
  </si>
  <si>
    <t>https://storage.googleapis.com/deytha-prod/payments/xYyrw5dq02EIUIS5MIqnVwYoZgj8XZkhFMrqSxzj.pdf</t>
  </si>
  <si>
    <t>https://storage.googleapis.com/deytha-prod/payments/nRBBftnfJKU1OpxneFPkrLvuyZ8gvnjP7loNvM9c.pdf</t>
  </si>
  <si>
    <t>2025-11-05 15:15:40</t>
  </si>
  <si>
    <t>TAXI PARA RECOJO DE EPP Y MATERIAL FERRETERIA EN MOQUEGUA</t>
  </si>
  <si>
    <t>2026-01-16 15:56:25</t>
  </si>
  <si>
    <t>https://storage.googleapis.com/deytha-prod/payments/Svc2HkEmRhScZKv7YZ1LaY6pgV6yN99jeQPRSV5G.pdf</t>
  </si>
  <si>
    <t>https://storage.googleapis.com/deytha-prod/payments/XsyIawg9lxdWHdl7WsbLEVaS18F1FqUdq9W6kiSv.pdf</t>
  </si>
  <si>
    <t>COMPRA DE UNIDADES DE PERNOS 3/8 X 1</t>
  </si>
  <si>
    <t>2026-01-16 15:56:38</t>
  </si>
  <si>
    <t>https://storage.googleapis.com/deytha-prod/payments/sKN3I83YvlmwQ4PlW9XnRjBqW1ljhTzFUMNeIQLC.pdf</t>
  </si>
  <si>
    <t>https://storage.googleapis.com/deytha-prod/payments/nWtQXAsvEwULyFLayCa3QMqWXt4yLGYQLlgOzrwk.pdf</t>
  </si>
  <si>
    <t>TRANSPORTE DE AREQUIPA/MOQUEGUA
01 ROLLO DE ALAMBRE DE COBRE</t>
  </si>
  <si>
    <t>2026-01-16 15:56:21</t>
  </si>
  <si>
    <t>https://storage.googleapis.com/deytha-prod/payments/RauqKnn0FcHOXN1gmj48HysiW6Zac631Knq5Tcn7.pdf</t>
  </si>
  <si>
    <t>https://storage.googleapis.com/deytha-prod/payments/d5fp69mLpPxGF7pwivAo2lRZQNHlbJBSPBcSrC9V.pdf</t>
  </si>
  <si>
    <t>2026-01-05 15:15:39</t>
  </si>
  <si>
    <t>2025-11-29 15:15:39</t>
  </si>
  <si>
    <t>COMPRA DE MANGUERA Y ADAPTADOR</t>
  </si>
  <si>
    <t>2026-01-16 15:56:13</t>
  </si>
  <si>
    <t>https://storage.googleapis.com/deytha-prod/payments/24LrpZbfZ4jQgR3F1KClpDL35SHyzS7E0wHtKdN2.pdf</t>
  </si>
  <si>
    <t>https://storage.googleapis.com/deytha-prod/payments/G5QedTnF3ULvLd1o0zUBW3hbpJrwlV3GfIw6sckF.pdf</t>
  </si>
  <si>
    <t>2026-01-05 15:15:37</t>
  </si>
  <si>
    <t>2025-11-26 15:15:37</t>
  </si>
  <si>
    <t>TAXI PARA RECOJO DE EPP Y FERRETERIA Y ALIMENTACION FRENTE A PLAZA VEA </t>
  </si>
  <si>
    <t>2026-01-16 15:56:09</t>
  </si>
  <si>
    <t>https://storage.googleapis.com/deytha-prod/payments/R0vpwYnZ7QEEwfZvNEbh7VQGw6gYptypPURKQI7D.pdf</t>
  </si>
  <si>
    <t>https://storage.googleapis.com/deytha-prod/payments/8t1nQlP6rwgz78ep7bdZ5EfWRBRUaiGMQtuZed4q.pdf</t>
  </si>
  <si>
    <t>2026-01-05 12:24:46</t>
  </si>
  <si>
    <t>2025-12-15 12:24:46</t>
  </si>
  <si>
    <t>DICIEMBRE-2025-GRATI-EDKA-PY28-RG</t>
  </si>
  <si>
    <t>2026-01-05 12:29:13</t>
  </si>
  <si>
    <t>2025-12-29 19:05:51</t>
  </si>
  <si>
    <t>2025-12-30 18:23:46</t>
  </si>
  <si>
    <t>2025-12-31 10:05:27</t>
  </si>
  <si>
    <t>PINTURA RENNER 
REQ # 27 - MECANICO</t>
  </si>
  <si>
    <t>2026-01-06 15:43:00</t>
  </si>
  <si>
    <t>https://storage.googleapis.com/deytha-prod/rqf/e8e9e963-57d9-4ed1-9cfa-f449245c4a42_COT - PINTURA RENNER - REQ 27 - MECANICO.pdf</t>
  </si>
  <si>
    <t>https://storage.googleapis.com/deytha-prod/bcp_pdfs/shared/1767732279_BCP_HTML.pdf</t>
  </si>
  <si>
    <t>https://storage.googleapis.com/deytha-prod/rqf/41028/2e674daf-3252-4f26-8a36-4672be8413b1_41028-F001-12685-EPOMAX.CATALIZADOR.OTROS-RENNER-RC..pdf</t>
  </si>
  <si>
    <t>2025-12-30 07:44:16</t>
  </si>
  <si>
    <t>2025-12-30 16:25:09</t>
  </si>
  <si>
    <t>2025-12-31 07:41:23</t>
  </si>
  <si>
    <t xml:space="preserve">RECOJO DE ENCOMIENDAS DE MATERIALES ELECTRICOS 
</t>
  </si>
  <si>
    <t>2026-01-07 19:29:00</t>
  </si>
  <si>
    <t>https://storage.googleapis.com/deytha-prod/rqf/7645a10d-d99f-4525-8006-6b8e9b8ae01a_COT - RECOJO DE ENCOMIENDAS FLORES Y MARVISUR 705 SO.pdf</t>
  </si>
  <si>
    <t>https://storage.googleapis.com/deytha-prod/bcp_pdfs/shared/1767832170_BCP_HTML.pdf</t>
  </si>
  <si>
    <t>https://storage.googleapis.com/deytha-prod/rqf/41036/960e7448-b291-42ba-a146-2e210057328a_41036-F020 N° 00078990 -TRANSPORTE MARVISUR.pdf</t>
  </si>
  <si>
    <t>2025-12-30 14:12:50</t>
  </si>
  <si>
    <t>2025-12-31 14:12:44</t>
  </si>
  <si>
    <t>MATERIAL PERNERIA 
Y UBOLT 
REQ # 27 MECANICO 
REQ # 11 TELECOMUNICACION</t>
  </si>
  <si>
    <t>2026-01-07 19:23:00</t>
  </si>
  <si>
    <t>https://storage.googleapis.com/deytha-prod/rqf/a254c7d1-c141-4175-95d3-99c354604d6b_COT - PERNERIA Y UBOLT TELECOMUNICACION Y ELECTRICO.pdf</t>
  </si>
  <si>
    <t>https://storage.googleapis.com/deytha-prod/bcp_pdfs/shared/1767831868_BCP_HTML.pdf</t>
  </si>
  <si>
    <t>https://storage.googleapis.com/deytha-prod/rqf/41052/5687fa85-b7c8-48b6-9513-70f7d98f3c3a_41052-E001-2995 TUERCA,VOLANDA. LUQUE ALVAREZ.pdf</t>
  </si>
  <si>
    <t>2025-12-30 14:20:43</t>
  </si>
  <si>
    <t>2025-12-31 14:20:07</t>
  </si>
  <si>
    <t>OXIVIL E.I.R.L.</t>
  </si>
  <si>
    <t xml:space="preserve">430-9921840-0-38 </t>
  </si>
  <si>
    <t>ALQUILER Y COMPRA DE BOTTELA DE NITROGENO INDUSTRIAL 
PARA PRUEBAS EN SUB ESTACION - CUAJONE</t>
  </si>
  <si>
    <t>2026-01-03 09:03:00</t>
  </si>
  <si>
    <t>https://storage.googleapis.com/deytha-prod/rqf/70923690-b10c-4b30-8f80-d9b6b6c8bc8c_COT - BOTELLA Y CONTENIDO  NITROGENO.pdf</t>
  </si>
  <si>
    <t>https://storage.googleapis.com/deytha-prod/rqf/payments/d802e8d4-fd85-4dde-8fad-25d3f8abb825_image (49).png</t>
  </si>
  <si>
    <t>https://storage.googleapis.com/deytha-prod/rqf/41053/c75b79fc-8473-493e-a39d-5c8e30e2fc3d_41053-E001-1006-NITROGENO INDUSTRIAL.pdf</t>
  </si>
  <si>
    <t>2025-12-29 10:52:19</t>
  </si>
  <si>
    <t>2025-12-29 12:06:25</t>
  </si>
  <si>
    <t>2025-12-30 10:52:03</t>
  </si>
  <si>
    <t>COT - ALQUILER DE HABITACION - WILMER DIAZ - MOQUEGUA 18 NOV AL 17 DIC DEL 2025</t>
  </si>
  <si>
    <t>2025-12-29 12:32:00</t>
  </si>
  <si>
    <t>https://storage.googleapis.com/deytha-prod/rqf/05d8e42f-0ee5-4325-9103-8a5c12b7c0f4_COT - ALQUILER DE HABITACION - WILMER DIAZ - MOQUEGUA 18 NOV AL 17 DIC DEL 2025.pdf</t>
  </si>
  <si>
    <t>https://storage.googleapis.com/deytha-prod/rqf/payments/fb4e88f3-d6c0-444d-8d87-56cacbe73873_image (61).png</t>
  </si>
  <si>
    <t>https://storage.googleapis.com/deytha-prod/rqf/40997/382df5a1-7102-4d1a-a10f-4226f53f9cf5_COT - ALQUILER DE HABITACION - WILMER DIAZ - MOQUEGUA 18 DIC 2025  AL 17 ENERO  DEL 2026.pdf</t>
  </si>
  <si>
    <t>2025-12-29 10:53:53</t>
  </si>
  <si>
    <t>2025-12-30 10:53:33</t>
  </si>
  <si>
    <t>COT - ALQUILER DE HABITACION - WILMER DIAZ - MOQUEGUA 18 DIC 2025  AL 17 ENERO  DEL 2026</t>
  </si>
  <si>
    <t>2025-12-29 12:29:00</t>
  </si>
  <si>
    <t>https://storage.googleapis.com/deytha-prod/rqf/f6b5b28a-c8af-4098-821d-b53377e1a77d_COT - ALQUILER DE HABITACION - WILMER DIAZ - MOQUEGUA 18 DIC 2025  AL 17 ENERO  DEL 2026.pdf</t>
  </si>
  <si>
    <t>https://storage.googleapis.com/deytha-prod/rqf/payments/95e42997-32dd-41b4-9bac-56b639e46ba8_image (62).png</t>
  </si>
  <si>
    <t>https://storage.googleapis.com/deytha-prod/rqf/40998/e6f0b3ea-5c34-4358-843a-010efc267560_COT - ALQUILER DE HABITACION - WILMER DIAZ - MOQUEGUA 18 DIC 2025  AL 17 ENERO  DEL 2026.pdf</t>
  </si>
  <si>
    <t>2025-12-29 10:24:41</t>
  </si>
  <si>
    <t>JESSICA ELVIRA MAMANI RAMOS</t>
  </si>
  <si>
    <t>2025-12-29 10:34:11</t>
  </si>
  <si>
    <t>2025-12-30 10:24:32</t>
  </si>
  <si>
    <t xml:space="preserve">DÍAZ CHUQUIMANGO WILMER </t>
  </si>
  <si>
    <t>245-51783236-0-35</t>
  </si>
  <si>
    <t>EXAMEN MEDICO PARA BREVETE, LUNES 29 -12-2025.</t>
  </si>
  <si>
    <t>https://storage.googleapis.com/deytha-prod/rqf/729ac594-f5b6-4ec0-a194-c1d1f6fd82d7_CORREO WILMER DIAZ.pdf</t>
  </si>
  <si>
    <t>2025-12-26 16:52:46</t>
  </si>
  <si>
    <t>2025-12-27 09:53:37</t>
  </si>
  <si>
    <t>2025-12-27 16:52:40</t>
  </si>
  <si>
    <t>DISTRIBUIDORA SEGURIDAD &amp; MODA E.I.R.L.</t>
  </si>
  <si>
    <t>430-2528604-0-87</t>
  </si>
  <si>
    <t>UNIFORME POLAR PARA VIGILANTE 
REQ 08 ADMINISTRATIVO</t>
  </si>
  <si>
    <t>2026-01-05 17:46:00</t>
  </si>
  <si>
    <t>https://storage.googleapis.com/deytha-prod/rqf/f66bdd94-464f-4f2e-bb44-d5c3a2acb7a3_COT - UNIFORME POLAR IMPERMEABLE PARA VIGILANTE.pdf</t>
  </si>
  <si>
    <t>https://storage.googleapis.com/deytha-prod/bcp_pdfs/shared/1767653188_BCP_HTML.pdf</t>
  </si>
  <si>
    <t>https://storage.googleapis.com/deytha-prod/rqf/40954/ab3bc940-dcd6-43da-8543-69419f7f72df_40954 - F001 - 00009519 -uniforme vigilante - seto.pdf</t>
  </si>
  <si>
    <t>2025-12-27 08:15:40</t>
  </si>
  <si>
    <t>2025-12-27 09:49:10</t>
  </si>
  <si>
    <t>2025-12-28 08:15:37</t>
  </si>
  <si>
    <t>IMELSUR S.A.C</t>
  </si>
  <si>
    <t>430-9987037-0-93</t>
  </si>
  <si>
    <t xml:space="preserve">SERVICIO DE INSPECCION DE SISTEMA ELECTRICO, MANTENIMIENTO DE CIRCUITO DE TELMA
Y REPARACION DE CIRCUITO DE TELMA (INCLUYE INSUMOS) </t>
  </si>
  <si>
    <t>2025-12-29 12:24:00</t>
  </si>
  <si>
    <t>https://storage.googleapis.com/deytha-prod/rqf/85bf57ae-0364-4555-84b1-cc9561d851cd_Orden de Trabajo_ORD12025FA-2724.pdf</t>
  </si>
  <si>
    <t>https://storage.googleapis.com/deytha-prod/rqf/payments/b717e1d3-1259-4729-8347-b81d2e940052_image (63).png</t>
  </si>
  <si>
    <t>https://storage.googleapis.com/deytha-prod/rqf/40979/5513b97d-8336-487e-a256-9f3f2a5eb103_20611556579-01-F001-0008717 450.pdf</t>
  </si>
  <si>
    <t>2025-12-27 09:07:14</t>
  </si>
  <si>
    <t>2025-12-28 09:03:43</t>
  </si>
  <si>
    <t>FLORES COAYLA EMERITA ADRIANA</t>
  </si>
  <si>
    <t>ALIMENTACION SEMANA 33 DEL 07/12 AL 13/12</t>
  </si>
  <si>
    <t>2026-01-08 15:42:00</t>
  </si>
  <si>
    <t>https://storage.googleapis.com/deytha-prod/rqf/7967da02-f799-41fa-8d85-75932bd86ffb_SEMANA 33.pdf</t>
  </si>
  <si>
    <t>https://storage.googleapis.com/deytha-prod/bcp_pdfs/shared/1767905009_BCP_HTML.pdf</t>
  </si>
  <si>
    <t>https://storage.googleapis.com/deytha-prod/rqf/40981/6e24e2b2-086e-4b1f-b864-86e1048bac56_Captura de pantalla 2026-01-13 103600.png</t>
  </si>
  <si>
    <t>2025-12-26 12:13:38</t>
  </si>
  <si>
    <t>2025-12-26 17:06:45</t>
  </si>
  <si>
    <t>2025-12-27 12:13:32</t>
  </si>
  <si>
    <t xml:space="preserve">GRUPO ELECTRÓGENO CABINADO, POTENCIA
360KW (DE 40GC), MARCA CATERPILLAR
(ALQUILER POR 3DIAS)
</t>
  </si>
  <si>
    <t>2026-01-03 09:12:00</t>
  </si>
  <si>
    <t>https://storage.googleapis.com/deytha-prod/payments/qyIfOSrsJu0cvfRTUsnHupXJgyd4dYrewVVcRDkn.pdf</t>
  </si>
  <si>
    <t>https://storage.googleapis.com/deytha-prod/rqf/payments/a18d45a6-4a7c-4f81-a227-cea96d2a7dfe_image (47).png</t>
  </si>
  <si>
    <t>https://storage.googleapis.com/deytha-prod/rqf/40944/54a843dd-a86a-46f7-ac03-937b3c485be5_40944-F001-00000464-ALQUILER DE GRUPO-SVG.pdf</t>
  </si>
  <si>
    <t>2025-12-26 13:52:02</t>
  </si>
  <si>
    <t>2025-12-27 13:51:53</t>
  </si>
  <si>
    <t>AGREDA  FLORES RAY LEONARDO</t>
  </si>
  <si>
    <t xml:space="preserve">PASAJE AEREO AREQUIPA - LIMA PARA NELSON VASQUEZ </t>
  </si>
  <si>
    <t>2025-12-26 21:56:00</t>
  </si>
  <si>
    <t>https://storage.googleapis.com/deytha-prod/rqf/payments/b382e438-4213-45bf-bc84-eb428d069849_WhatsApp Image 2025-12-26 at 9.55.37 PM.jpeg</t>
  </si>
  <si>
    <t>https://storage.googleapis.com/deytha-prod/rqf/4af36243-4d2c-4f13-b0be-771a40b76e9c_LA5443339NXHL-2f60e255-edb3-4848-a2cd-0da2b1146970-cuv-bill.pdf</t>
  </si>
  <si>
    <t>2025-12-26 15:53:26</t>
  </si>
  <si>
    <t>2025-12-27 15:53:23</t>
  </si>
  <si>
    <t>KHAROLS SERVICIOS GENERALES E.I.R.L.</t>
  </si>
  <si>
    <t xml:space="preserve">ALMUERZOS PARA LLEVAR 75 UND MINA </t>
  </si>
  <si>
    <t>2026-01-05 20:09:00</t>
  </si>
  <si>
    <t>https://storage.googleapis.com/deytha-prod/bcp_pdfs/shared/1767661837_BCP_HTML.pdf</t>
  </si>
  <si>
    <t>https://storage.googleapis.com/deytha-prod/rqf/c1244158-92e6-490d-9720-f80d5e5cebc4_PDF-DOC-E001-192520601020743.pdf</t>
  </si>
  <si>
    <t>2025-12-26 16:31:30</t>
  </si>
  <si>
    <t>2025-12-27 16:31:26</t>
  </si>
  <si>
    <t xml:space="preserve">MATERIAL PARA EL AREA DE TELECOMUNICACIONES 
REQ # 11 </t>
  </si>
  <si>
    <t>2026-01-07 19:26:00</t>
  </si>
  <si>
    <t>https://storage.googleapis.com/deytha-prod/rqf/d558eb97-c9a4-4a77-a852-f97104ec15e0_COT - MATERIAL AREA TELECOMUN - REQ 11.pdf</t>
  </si>
  <si>
    <t>https://storage.googleapis.com/deytha-prod/bcp_pdfs/shared/1767831989_BCP_HTML.pdf</t>
  </si>
  <si>
    <t>https://storage.googleapis.com/deytha-prod/rqf/40951/09bddf81-5195-4e9e-9468-087d1e3ad918_40951 - F001-0023119 - cintillo. otros. electrorayo.pdf</t>
  </si>
  <si>
    <t>2025-12-26 16:39:08</t>
  </si>
  <si>
    <t>2025-12-27 16:39:03</t>
  </si>
  <si>
    <t>TRAJES BI COLOR DESCARTABLES 
RESPIRADORES 3M 
REQ # 35 SSOMA 
REQ # MECANICO 25</t>
  </si>
  <si>
    <t>2026-01-15 17:47:00</t>
  </si>
  <si>
    <t>https://storage.googleapis.com/deytha-prod/rqf/5fe03a73-64f4-4240-9a02-d04cdc425f99_COT - EPPS TRAJES Y RESPIRADOR - REQ SSOMA.pdf</t>
  </si>
  <si>
    <t>https://storage.googleapis.com/deytha-prod/bcp_pdfs/shared/1768517311_BCP_HTML.pdf</t>
  </si>
  <si>
    <t>https://storage.googleapis.com/deytha-prod/rqf/40952/2f86e768-ebc2-42b4-963b-a0a399f15444_40952-E001-15438-RESPIRADORES.TRAJES-FEMASUR-RC..pdf</t>
  </si>
  <si>
    <t>2025-12-26 16:42:33</t>
  </si>
  <si>
    <t>2025-12-27 16:42:16</t>
  </si>
  <si>
    <t>COT - PLANCHA Y ANGULO PARA CAJA DE HERRAMIENTAS
REQ 43 ELECTRICO</t>
  </si>
  <si>
    <t>2026-01-05 17:02:00</t>
  </si>
  <si>
    <t>https://storage.googleapis.com/deytha-prod/rqf/6ab5e0b7-d1ca-4607-9d36-0847b2f5df88_COT - PLANCHA Y ANGULO PARA CAJA DE HERRAMIENTAS - REQ 43 ELECTRICO.pdf</t>
  </si>
  <si>
    <t>https://storage.googleapis.com/deytha-prod/bcp_pdfs/shared/1767650608_BCP_HTML.pdf</t>
  </si>
  <si>
    <t>https://storage.googleapis.com/deytha-prod/rqf/40953/5ea584d6-82fe-4c42-9f0f-a0aec216c86e_40953-FT01-00002382- PLANCHA Y ANGUGULO-PROMETALES.pdf</t>
  </si>
  <si>
    <t>2025-12-26 12:01:24</t>
  </si>
  <si>
    <t>DEVOLCUION DE CAJA CHICA</t>
  </si>
  <si>
    <t>2025-12-26 12:03:50</t>
  </si>
  <si>
    <t>https://storage.googleapis.com/deytha-prod/payments/Uuq3tUUvvrBPwiPDxqu65ETPURwNR1sq5aaCMa6j.jpg</t>
  </si>
  <si>
    <t>https://storage.googleapis.com/deytha-prod/payments/c87Z4UkjcbkbliBqTliG4SCE4V3Kgf7Nvp0Mhxvf.jpg</t>
  </si>
  <si>
    <t>2025-12-22 11:31:18</t>
  </si>
  <si>
    <t>2025-12-24 12:08:36</t>
  </si>
  <si>
    <t>2025-12-22 11:31:09</t>
  </si>
  <si>
    <t>PAGO DE EMO PARA YUCA HUARACALLO LUCIA VANESSA</t>
  </si>
  <si>
    <t>https://storage.googleapis.com/deytha-prod/rqf/2122385a-af63-44a2-8ba7-28f0141c2187_F001-4204 DEYFOR.pdf</t>
  </si>
  <si>
    <t>https://storage.googleapis.com/deytha-prod/bcp_pdfs/shared/1767718305_BCP_HTML.pdf</t>
  </si>
  <si>
    <t>https://storage.googleapis.com/deytha-prod/rqf/40833/6f432edc-f1ad-4b0d-bb3e-69219516d12e_40833.pdf</t>
  </si>
  <si>
    <t>2025-12-23 17:15:14</t>
  </si>
  <si>
    <t>2025-12-23 17:30:29</t>
  </si>
  <si>
    <t>2025-12-24 17:15:09</t>
  </si>
  <si>
    <t>2026-02-27 20:55:00</t>
  </si>
  <si>
    <t>https://storage.googleapis.com/deytha-prod/payments/oUJBwRVOu145iJndwuLSJWsLVJv6evSa34LQGIV5.pdf</t>
  </si>
  <si>
    <t>https://storage.googleapis.com/deytha-prod/rqf/payments/67992a1e-02f3-4ee1-aedb-74f5e364afc0_Proveedores_Detalle_27022026.pdf</t>
  </si>
  <si>
    <t>PEN INTERBANK 767-3005496992</t>
  </si>
  <si>
    <t>2025-12-23 17:09:59</t>
  </si>
  <si>
    <t>MAMANI HUANCHI FLAVIO ALEXANDER</t>
  </si>
  <si>
    <t>385-10069117092</t>
  </si>
  <si>
    <t>2026-01-23 19:07:00</t>
  </si>
  <si>
    <t>https://storage.googleapis.com/deytha-prod/worker/settle/HWNCRKoaFfvZ7FId4N9gf50XwkkiDIVekBW9WP9m.pdf</t>
  </si>
  <si>
    <t>https://storage.googleapis.com/deytha-prod/rqf/payments/bdd7a2fd-fae2-44d9-9ca2-400edc043865_BCP_2026-01-23 707PM_LIQUIDACIONES.pdf</t>
  </si>
  <si>
    <t>VALORIZACION RETROEXCAVADORA CON VOLQUETE Y PICOTONES DEL MES DE SEPTIEMBRE</t>
  </si>
  <si>
    <t>VALORIZACION RETROEXCAVADORA CON VOLQUETE Y PICOTONOES DEL MES DE AGOSTO (PARTE DIARIO SE EXTRAVIO DESDE EL 18/08/2025)</t>
  </si>
  <si>
    <t>4307115428-0-42</t>
  </si>
  <si>
    <t>MOVILIZACION DE RETROEXCAADORA Y MARTILLO HIDRAULICO MARCA JCB MODELO 3CX GLOBAL DE SERIE S0R3CXTTHN3174984 DE MOQUEGUA A CUAJONE</t>
  </si>
  <si>
    <t>F Y R CONTRATISTAS GENERALES S.A.C.</t>
  </si>
  <si>
    <t>DESMOVILIZACION DE EXCAVADORA MARCA CATERPILLAR MODELO 336 DE SERIE GDY20816 DE CUAJONE A AREQUIPA</t>
  </si>
  <si>
    <t>RETOEXCAVADORA MES DE SEPTIEMBRE 50 % RESTANTE DEL CODIGO (30086), DEL (11/09/2025 AL 30/09/2025 SIN CONTAR LOS DOMINGOS)</t>
  </si>
  <si>
    <t>ALQUILER DE RETROEXCAVADORA MES DE AGOSTO MODELO 310SL</t>
  </si>
  <si>
    <t>Alimentación en obra, mes de septiembre.</t>
  </si>
  <si>
    <t>SERVICIO DE ALQUILER DE RETROEXCAVADORA PLACA: 1T03105LKMD400056, MARCA: JOHN, MODELO: 31OSL, AÑO:2020 SEGUN VALORIZACION MES DE JULIO 2025</t>
  </si>
  <si>
    <t>2025-12-23 12:34:38</t>
  </si>
  <si>
    <t>2025-12-23 12:56:12</t>
  </si>
  <si>
    <t>2025-12-24 12:34:34</t>
  </si>
  <si>
    <t>BATERIA ME150BD MOURA 2 UND</t>
  </si>
  <si>
    <t>2025-12-24 12:21:00</t>
  </si>
  <si>
    <t>https://storage.googleapis.com/deytha-prod/rqf/4bf1397b-dd72-4445-91bf-2f92137a1b5c_COTIZACION BATERIA MOURA.pdf</t>
  </si>
  <si>
    <t>https://storage.googleapis.com/deytha-prod/rqf/payments/af2486b0-1df7-4d60-9919-8a3d73a848d3_40882.jpg</t>
  </si>
  <si>
    <t>https://storage.googleapis.com/deytha-prod/rqf/40882/2fe0c131-1501-4678-8f29-0f66b919c663_PDF-DOC-E001-2120614979543.pdf</t>
  </si>
  <si>
    <t>2025-12-23 12:48:09</t>
  </si>
  <si>
    <t>2025-12-23 12:48:08</t>
  </si>
  <si>
    <t>BAUTISTA OBLITAS ABRAHAN LINCOL</t>
  </si>
  <si>
    <t>2026-01-08 20:36:00</t>
  </si>
  <si>
    <t>https://storage.googleapis.com/deytha-prod/worker/settle/CCJmI6y7tolADfZIlezdidwTggf3TQc87Dah6Bp1.pdf</t>
  </si>
  <si>
    <t>https://storage.googleapis.com/deytha-prod/bcp_pdfs/shared/1767922589_BCP_HTML.pdf</t>
  </si>
  <si>
    <t>2025-12-23 11:49:25</t>
  </si>
  <si>
    <t>2025-12-23 12:06:15</t>
  </si>
  <si>
    <t>2025-12-24 11:49:13</t>
  </si>
  <si>
    <t>ELECTRO ENCHUFE S.A.C.</t>
  </si>
  <si>
    <t>191-1157556-0-83</t>
  </si>
  <si>
    <t>TUBOS PVC - CELULA 80 
REQ # 43 ELECTRICO</t>
  </si>
  <si>
    <t>2025-12-23 13:06:00</t>
  </si>
  <si>
    <t>https://storage.googleapis.com/deytha-prod/rqf/d2f88341-e4ba-4fe9-96ed-dea8661c4cdd_TUBOS PVC - CELULA 80 - MATERIAL ELECTRICO - REQ 43 .jpeg</t>
  </si>
  <si>
    <t>https://storage.googleapis.com/deytha-prod/rqf/payments/dffdbc8b-3335-45e3-9bb4-a59c61c679ba_40873.PNG</t>
  </si>
  <si>
    <t>https://storage.googleapis.com/deytha-prod/rqf/40873/fa3bf87b-7696-43e1-8446-d5fd5a7c674c_40873 - F734-1540 - TUBERIAS SHC 80 PVC.pdf</t>
  </si>
  <si>
    <t>2025-12-23 12:01:39</t>
  </si>
  <si>
    <t>2025-12-24 12:01:26</t>
  </si>
  <si>
    <t xml:space="preserve">RECARGA DE AGUA PARA BEBER </t>
  </si>
  <si>
    <t>2026-01-08 16:14:00</t>
  </si>
  <si>
    <t>https://storage.googleapis.com/deytha-prod/rqf/8b1b8736-6013-49e0-b154-d7d9e71ce1af_COT - AGUA TULUM - 65 BIDONES.pdf</t>
  </si>
  <si>
    <t>https://storage.googleapis.com/deytha-prod/bcp_pdfs/shared/1767906868_BCP_HTML.pdf</t>
  </si>
  <si>
    <t>https://storage.googleapis.com/deytha-prod/rqf/40876/0659c2f8-f08e-45a6-8535-b7c5ef81c546_40876-E001-499-recarga bidónes-inversiones del sur.pdf</t>
  </si>
  <si>
    <t>2025-12-22 11:24:11</t>
  </si>
  <si>
    <t>2025-12-22 18:54:02</t>
  </si>
  <si>
    <t>2025-12-23 11:24:07</t>
  </si>
  <si>
    <t>COT REQ # 41 CIVIL 
MATERIALES CIVILES 
REQ # 23 - MECANICO</t>
  </si>
  <si>
    <t>2026-01-07 19:14:00</t>
  </si>
  <si>
    <t>https://storage.googleapis.com/deytha-prod/rqf/359886cb-93d2-45fd-939d-d1863a8ce37d_COT - MATERIAL CIVIL - REQ 41 CIVIL.pdf</t>
  </si>
  <si>
    <t>https://storage.googleapis.com/deytha-prod/bcp_pdfs/shared/1767831269_BCP_HTML.pdf</t>
  </si>
  <si>
    <t>https://storage.googleapis.com/deytha-prod/rqf/40832/fdbbeeb2-3978-491b-a558-5b87b01d6ac5_40832 - FQQ1-000574- ALAMBRES - ACEMAD.pdf</t>
  </si>
  <si>
    <t>2025-12-22 11:55:23</t>
  </si>
  <si>
    <t>2025-12-23 11:55:16</t>
  </si>
  <si>
    <t>EOOS 
MATERIALES 
REQ #36 SSOMA</t>
  </si>
  <si>
    <t>2026-01-15 17:18:00</t>
  </si>
  <si>
    <t>https://storage.googleapis.com/deytha-prod/rqf/c2512ee7-0226-4e75-b2c3-198d534cdcf8_COT - REQ SSOMA # 36 EPPS.pdf</t>
  </si>
  <si>
    <t>https://storage.googleapis.com/deytha-prod/bcp_pdfs/shared/1768515581_BCP_HTML.pdf</t>
  </si>
  <si>
    <t>https://storage.googleapis.com/deytha-prod/rqf/40841/228282e3-47af-4f28-b9e2-82d18394b8ac_40841-F007-009372-ZAPATOS-CHOMPAS.ETC.-FEMAVI-RC.pdf</t>
  </si>
  <si>
    <t>2025-12-20 14:06:24</t>
  </si>
  <si>
    <t>2025-12-22 08:04:56</t>
  </si>
  <si>
    <t>2025-12-21 14:06:16</t>
  </si>
  <si>
    <t xml:space="preserve">VALORIZACION DE COMBUSTIBLE 
CORRESPONDE DEL MES 16 AL 30 NOV 2025 
</t>
  </si>
  <si>
    <t>https://storage.googleapis.com/deytha-prod/rqf/f44e857f-740b-43ce-b5e1-1b183ad6ee79_COT - COMBUSTIBLE DE UNIDADES DEL 16 AL 30 NOV.pdf</t>
  </si>
  <si>
    <t>https://storage.googleapis.com/deytha-prod/bcp_pdfs/shared/1769212788_BCP_HTML.pdf</t>
  </si>
  <si>
    <t>https://storage.googleapis.com/deytha-prod/rqf/40809/ca590589-13cf-4516-b30c-86f97d6dfdbd_40809-F001-00139838-DIESEL-GRIFOSAMEUA.-RC.PDF</t>
  </si>
  <si>
    <t>2025-12-20 14:39:24</t>
  </si>
  <si>
    <t>2025-12-21 14:39:15</t>
  </si>
  <si>
    <t>MATERIAL ELECTRICO 
REQ # 41 - ELECTRICO</t>
  </si>
  <si>
    <t>2025-12-23 11:27:00</t>
  </si>
  <si>
    <t>https://storage.googleapis.com/deytha-prod/rqf/f3db9c29-8666-4876-9789-b0daee080ef8_COT%20-%20MATERIAL%20ELECTRICI%20%20-%20REQ%20%23%2041%20ELECTRICO.pdf</t>
  </si>
  <si>
    <t>https://storage.googleapis.com/deytha-prod/rqf/payments/67b571ce-0032-4cb3-9a59-2351e9784066_40810.PNG</t>
  </si>
  <si>
    <t>https://storage.googleapis.com/deytha-prod/rqf/40810/a097a8b3-66af-45f5-bba1-64252a545e9c_40810 - F001-472 - MATERIAL ELECTRICO.pdf</t>
  </si>
  <si>
    <t>2025-12-20 14:47:07</t>
  </si>
  <si>
    <t>2025-12-21 14:46:59</t>
  </si>
  <si>
    <t>VENTAS Y PROYECTOS MECANICOS S.A.C. - VEPROMEC S.A.C.</t>
  </si>
  <si>
    <t>191-2609405-0-25</t>
  </si>
  <si>
    <t>COT - SOPORTE TIPO OMEGA GALVANIZADA DE 2MM 
REQ # 40 ELECTRICO</t>
  </si>
  <si>
    <t>2025-12-23 15:15:00</t>
  </si>
  <si>
    <t>https://storage.googleapis.com/deytha-prod/rqf/d7b065e6-5b09-4c4e-9c80-79e41957f72c_COT - SOPORTE OMEGA DE PLANCHA GALVANIZADA.pdf</t>
  </si>
  <si>
    <t>https://storage.googleapis.com/deytha-prod/rqf/payments/b73bfa0b-1074-4b5c-9ee7-cecfe016faa6_40811.PNG</t>
  </si>
  <si>
    <t>https://storage.googleapis.com/deytha-prod/rqf/40811/0396c655-3cc3-4786-80bf-c5b669ea5f63_40811 - E001-336 - OMEGAS MATERIAL ELECTRICO.pdf</t>
  </si>
  <si>
    <t>2025-12-22 07:25:52</t>
  </si>
  <si>
    <t>RECOJO DE PLATINAS Y CANALES DE ACERO EN LA CUIDAD DE AEQUIPA EMPRESA METALMARK PARA PODER ENVIAR HACIA MOQUEGUA EN TRASPORTE JHONCITO</t>
  </si>
  <si>
    <t>2025-12-26 12:04:46</t>
  </si>
  <si>
    <t>https://storage.googleapis.com/deytha-prod/payments/QWSryk49X7UfPFkkwzWenhnOIcyVuJGVzZLYWDy7.pdf</t>
  </si>
  <si>
    <t>https://storage.googleapis.com/deytha-prod/payments/OB3tFkgrCLN9XTqz7lpCPLcDM192cfFiwUMWkweO.pdf</t>
  </si>
  <si>
    <t>2025-12-22 07:08:34</t>
  </si>
  <si>
    <t>2025-10-19 07:08:34</t>
  </si>
  <si>
    <t>TAXI PARA RECOJO DE ENCOMIENDA EN JHONCITO</t>
  </si>
  <si>
    <t>2025-12-26 12:04:38</t>
  </si>
  <si>
    <t>https://storage.googleapis.com/deytha-prod/payments/UhnMX37kSYd7iRIMuO9NZ195hmbgZlMlnU1orx3D.pdf</t>
  </si>
  <si>
    <t>https://storage.googleapis.com/deytha-prod/payments/fhAe5r7Vv8MY1qtcEazGL8K83U7TVh8MO3XwK37y.pdf</t>
  </si>
  <si>
    <t>2025-12-22 07:05:58</t>
  </si>
  <si>
    <t>2025-10-30 07:05:58</t>
  </si>
  <si>
    <t>TAXI PARA RECOJO DE MATERIAL EN CERCADO DE MOQUEGUA</t>
  </si>
  <si>
    <t>2025-12-26 12:04:43</t>
  </si>
  <si>
    <t>https://storage.googleapis.com/deytha-prod/payments/AQZSQp63dILsejs9ABykbQeQ80DbMvwAeGvhqYzl.pdf</t>
  </si>
  <si>
    <t>https://storage.googleapis.com/deytha-prod/payments/IlkK70MDbm9ca90uNcmYjwz3QOrCgwqDxDvHtg50.pdf</t>
  </si>
  <si>
    <t>2025-11-22 07:05:58</t>
  </si>
  <si>
    <t>MTTO DE IMPRESORA A3  MARCA BROTHER 
LIMPIEZZA DE CABEZAL / BANDEJAS </t>
  </si>
  <si>
    <t>2025-12-26 12:04:40</t>
  </si>
  <si>
    <t>https://storage.googleapis.com/deytha-prod/payments/k05MZxoWtnsOA2HfHcX27XFpo8R9ShM25ODOGKlv.pdf</t>
  </si>
  <si>
    <t>https://storage.googleapis.com/deytha-prod/payments/mHWCJDcIPNAMpFsfsYqB8yiRSpz6T1YRTAftNqwI.pdf</t>
  </si>
  <si>
    <t>2025-12-22 07:05:56</t>
  </si>
  <si>
    <t>2025-12-13 07:05:56</t>
  </si>
  <si>
    <t>SCANEO DE GUIAS DE REMISION  PARA AREA DE CALIDAD  </t>
  </si>
  <si>
    <t>2025-12-26 12:04:33</t>
  </si>
  <si>
    <t>https://storage.googleapis.com/deytha-prod/payments/oF2RZpV56ncYx8DigXSvZ44ioxsykpesCLuRWIb2.pdf</t>
  </si>
  <si>
    <t>https://storage.googleapis.com/deytha-prod/payments/cA3FBtfBoLMyI3Be3MlTnlYGGBAkdRBDK8kpuECx.pdf</t>
  </si>
  <si>
    <t>2025-12-22 07:05:52</t>
  </si>
  <si>
    <t>2025-10-25 07:05:52</t>
  </si>
  <si>
    <t>SERVICIO DE TAXI RERECOJO DE MATERIALES DIA 
25-10 -25</t>
  </si>
  <si>
    <t>2025-12-26 12:04:29</t>
  </si>
  <si>
    <t>https://storage.googleapis.com/deytha-prod/payments/wj5nvUhMHiF8xCX2GCqEYXCKu8hdRlu91AvfLkvY.pdf</t>
  </si>
  <si>
    <t>https://storage.googleapis.com/deytha-prod/payments/x6KJTv0QLNYC5S1T6YgCnig6obPVsw7YW7U5Tc2Q.pdf</t>
  </si>
  <si>
    <t>2025-12-22 07:05:47</t>
  </si>
  <si>
    <t>2025-10-04 07:05:47</t>
  </si>
  <si>
    <t>TAXI PARA RECOJO DE MATERIALES VARIOS RECOJO DE ENCOMIENDAS</t>
  </si>
  <si>
    <t>2025-12-26 12:07:23</t>
  </si>
  <si>
    <t>https://storage.googleapis.com/deytha-prod/payments/OV3BpW6wWsXBbifWC457E7novJeWT7ldntCa9pWS.pdf</t>
  </si>
  <si>
    <t>https://storage.googleapis.com/deytha-prod/payments/UERUXjCqxoXpLGPWHZVMQUQZBPmjYA0ng9seNF4f.pdf</t>
  </si>
  <si>
    <t>2025-12-22 01:03:30</t>
  </si>
  <si>
    <t>2025-11-02 01:03:30</t>
  </si>
  <si>
    <t>TAXI PARA RECOJO DE EPPS PARA PESONAL NUEVO SE REALIZO EL DIA 02 DE NOV 2025</t>
  </si>
  <si>
    <t>2025-12-26 12:05:17</t>
  </si>
  <si>
    <t>https://storage.googleapis.com/deytha-prod/payments/RZ5yUGoLn6G4uc5dNtqHVwimAU903nolktR2GXtM.pdf</t>
  </si>
  <si>
    <t>https://storage.googleapis.com/deytha-prod/payments/IWTKdjt7Av3kTftaegVlr8W7scJIoiycX8nZIrWI.pdf</t>
  </si>
  <si>
    <t>2025-12-22 00:19:25</t>
  </si>
  <si>
    <t>2025-11-10 00:19:25</t>
  </si>
  <si>
    <t>RECOJO DE MATERIAL DE FLORES ENCOMIENDA DE MATERIAL ELECTRICO </t>
  </si>
  <si>
    <t>2025-12-26 12:05:01</t>
  </si>
  <si>
    <t>https://storage.googleapis.com/deytha-prod/payments/YwAuZ6Mm89lQtQnkjgLIuuDjRNQ1K7y2seuAzLFc.pdf</t>
  </si>
  <si>
    <t>https://storage.googleapis.com/deytha-prod/payments/ttWv7k71j9EfKR1T90Ha2s8w6M6KBDEi26wtFfKJ.pdf</t>
  </si>
  <si>
    <t>2025-12-22 00:19:24</t>
  </si>
  <si>
    <t>2025-11-11 00:19:24</t>
  </si>
  <si>
    <t>AREQUIPA EXPRESO MARVISUR EIRL</t>
  </si>
  <si>
    <t>PAGO DE DIFERENTES RECOJO DE ENCOMIENDAS </t>
  </si>
  <si>
    <t>2025-12-26 12:06:19</t>
  </si>
  <si>
    <t>https://storage.googleapis.com/deytha-prod/payments/HlNRwGM7ESbkF8kOmxpPlJSmFsOQrrlAcWmKe0tL.pdf</t>
  </si>
  <si>
    <t>https://storage.googleapis.com/deytha-prod/payments/IHWlS4cgJ4exECTfFrfxCAnICDXUQI3kZSTk9Hr0.pdf</t>
  </si>
  <si>
    <t>RECOJO DE MATERIAL EN SHALOM</t>
  </si>
  <si>
    <t>2025-12-26 12:07:19</t>
  </si>
  <si>
    <t>https://storage.googleapis.com/deytha-prod/payments/oi5WXv9HsVe8uLVqVBqeEii4aF4glSAtFc22Xawn.pdf</t>
  </si>
  <si>
    <t>https://storage.googleapis.com/deytha-prod/payments/ClFd3GtihPESwXIVnIg0JEJcQc1a2PTGDgsHzttb.pdf</t>
  </si>
  <si>
    <t>2025-11-24 00:19:24</t>
  </si>
  <si>
    <t>RECJO DE ENCMIIENDA DE PINTURAS</t>
  </si>
  <si>
    <t>2025-12-26 12:04:50</t>
  </si>
  <si>
    <t>https://storage.googleapis.com/deytha-prod/payments/aJUkiyLZ9d435awsoyUULxbkS2rc2g7eLdzjB0B2.pdf</t>
  </si>
  <si>
    <t>https://storage.googleapis.com/deytha-prod/payments/z0HpFEnXFZmx9dWPRq5IiZUpnhdJ63JKHUvst6jq.pdf</t>
  </si>
  <si>
    <t>2025-11-18 00:19:24</t>
  </si>
  <si>
    <t>AFRENDA PARA PAGO A LA TIERRA / APROBO ING MILENLKO - / FERNANDO CUBAS </t>
  </si>
  <si>
    <t>2025-12-26 12:04:53</t>
  </si>
  <si>
    <t>https://storage.googleapis.com/deytha-prod/payments/gWgtCrE9HaaeCsvkdfF0vdvRm2WJchIVCo6MudnN.pdf</t>
  </si>
  <si>
    <t>https://storage.googleapis.com/deytha-prod/payments/F92WAS6F6MjtQC6RJwGRueNujLLWdtwB2zFPdEmb.pdf</t>
  </si>
  <si>
    <t>2025-11-10 00:19:24</t>
  </si>
  <si>
    <t>TRASLADO DE MATERIALES EN MOQUEGUA</t>
  </si>
  <si>
    <t>2025-12-26 12:04:57</t>
  </si>
  <si>
    <t>https://storage.googleapis.com/deytha-prod/payments/Zf4vwAqd1RCmwVH6h0cpSbJlWLIBDhWJFFOiybK0.pdf</t>
  </si>
  <si>
    <t>https://storage.googleapis.com/deytha-prod/payments/XLcTgMea6dvHEPmjgPUBx4cHyhckFHMwl8eiDpM8.pdf</t>
  </si>
  <si>
    <t>2025-12-22 00:19:23</t>
  </si>
  <si>
    <t>2025-11-20 00:19:23</t>
  </si>
  <si>
    <t>PEAJES PARA CAMIONEATA </t>
  </si>
  <si>
    <t>2025-12-26 12:06:15</t>
  </si>
  <si>
    <t>https://storage.googleapis.com/deytha-prod/payments/3PSXonWvQ1Nlrk7W6ApTVG2LzDydNZiGgNMtHB7J.pdf</t>
  </si>
  <si>
    <t>https://storage.googleapis.com/deytha-prod/payments/sGcL5HqikDRTJCODXIOOQuhT4ZpbIXT0ZutVZUOB.pdf</t>
  </si>
  <si>
    <t>2025-12-19 10:18:21</t>
  </si>
  <si>
    <t>2025-12-19 11:53:17</t>
  </si>
  <si>
    <t>2025-12-20 10:17:00</t>
  </si>
  <si>
    <t>COMPRA DE LLANTAS PARA UNIDAD T9F962</t>
  </si>
  <si>
    <t>2025-12-19 15:07:00</t>
  </si>
  <si>
    <t>https://storage.googleapis.com/deytha-prod/rqf/c2576e1b-9243-4fd4-ac83-43209f4bfa68_COTIZACION 010 NEMCO GROUPS.pdf</t>
  </si>
  <si>
    <t>https://storage.googleapis.com/deytha-prod/bcp_pdfs/shared/1766174848_BCP_HTML.pdf</t>
  </si>
  <si>
    <t>2025-12-18 15:30:46</t>
  </si>
  <si>
    <t>2025-11-26 15:30:46</t>
  </si>
  <si>
    <t>COMPRA DE PERNOS</t>
  </si>
  <si>
    <t>2025-12-26 12:06:01</t>
  </si>
  <si>
    <t>https://storage.googleapis.com/deytha-prod/payments/xFvnoDd81Nrmv7GjI5vvCPPGLnf2YwyDEWUZJot3.pdf</t>
  </si>
  <si>
    <t>https://storage.googleapis.com/deytha-prod/payments/gRlFl436SC3m6aMzNJeRtaclbyiZUVFhwN3pXZCN.pdf</t>
  </si>
  <si>
    <t>2025-11-14 15:30:46</t>
  </si>
  <si>
    <t>PAGO EN EFECTIVO DE DIFERENETS ENCOMIENDAS </t>
  </si>
  <si>
    <t>2025-12-26 12:06:05</t>
  </si>
  <si>
    <t>https://storage.googleapis.com/deytha-prod/payments/xflWFcTJwXLReLLJlS86Mquek7E3sXt1PQuq1PvZ.pdf</t>
  </si>
  <si>
    <t>https://storage.googleapis.com/deytha-prod/payments/OCmipbczh3i3KiUUeagKNnhU2wN0pogNvnwcrMVH.pdf</t>
  </si>
  <si>
    <t>2025-11-27 15:30:46</t>
  </si>
  <si>
    <t>OMBUSTIBLE Y PAGO DE PEJAES PARA PERSONAL Q APOYO A VISITAR A PROVEEDOR A ILO                              </t>
  </si>
  <si>
    <t>2025-12-26 12:06:45</t>
  </si>
  <si>
    <t>https://storage.googleapis.com/deytha-prod/payments/9TaJ0JHtMkj9kU6XU36lDOAHK3iH9N04CWNUBgVQ.pdf</t>
  </si>
  <si>
    <t>https://storage.googleapis.com/deytha-prod/payments/0f25nsM06JIJB3ggGGrJqYSnkO4f2SWsople46JC.pdf</t>
  </si>
  <si>
    <t>2025-10-14 15:30:46</t>
  </si>
  <si>
    <t>TAXI PARA RECOJO DE MATERIALES 
DIA 14 OCTUBRE</t>
  </si>
  <si>
    <t>2025-12-26 12:06:08</t>
  </si>
  <si>
    <t>https://storage.googleapis.com/deytha-prod/payments/v0uvC6eJGP1akoqMJ0vCDCifa6r1OnFuDwr5YSwN.pdf</t>
  </si>
  <si>
    <t>https://storage.googleapis.com/deytha-prod/payments/2RhskLk0fT8u1URcJaBpnKUBijKpwlZhThiurUss.pdf</t>
  </si>
  <si>
    <t>2025-10-12 15:30:46</t>
  </si>
  <si>
    <t>SERVICIO DE TAXI PARA RECOJO DE MATERIALES - 
DIAS 11 OCT / 12 OCT </t>
  </si>
  <si>
    <t>2025-12-26 12:06:48</t>
  </si>
  <si>
    <t>https://storage.googleapis.com/deytha-prod/payments/HXxzToXd5OcoCrVGOL6RY1qPkGxc2ecfq7zFeAye.pdf</t>
  </si>
  <si>
    <t>https://storage.googleapis.com/deytha-prod/payments/u5iLDzGrOnTCDJNYLcuqcCbQqYasQyk1vVGaC6RJ.pdf</t>
  </si>
  <si>
    <t>2025-10-25 15:30:46</t>
  </si>
  <si>
    <t>COMBUSTIBLE </t>
  </si>
  <si>
    <t>2025-12-26 12:06:12</t>
  </si>
  <si>
    <t>https://storage.googleapis.com/deytha-prod/payments/AQqjDnmXtV7TnD4KVhMegygjMa44S3TwRt9JPtwb.pdf</t>
  </si>
  <si>
    <t>https://storage.googleapis.com/deytha-prod/payments/dXCKpbASug0uFpxIkUxfiqunh2gewr2y3PSNpdj2.pdf</t>
  </si>
  <si>
    <t>2025-12-18 15:30:45</t>
  </si>
  <si>
    <t>2025-11-06 15:30:45</t>
  </si>
  <si>
    <t>TAPION GUERRERO Z E.I.R.L.</t>
  </si>
  <si>
    <t>CENA PARA PERSONAL STAFF DIA 06-11-2025 
REUNION UN SAMEGUA</t>
  </si>
  <si>
    <t>2025-12-26 12:06:42</t>
  </si>
  <si>
    <t>https://storage.googleapis.com/deytha-prod/payments/vjkX5NRilIjGThDko599hQML2hK7z7WspY2mFSh6.pdf</t>
  </si>
  <si>
    <t>https://storage.googleapis.com/deytha-prod/payments/13ppuSCVLRLY1OAmDurMpt1XTRluKk4oZF6f4veg.pdf</t>
  </si>
  <si>
    <t>2025-12-17 18:13:04</t>
  </si>
  <si>
    <t>2025-12-18 11:18:56</t>
  </si>
  <si>
    <t>2025-12-17 18:12:50</t>
  </si>
  <si>
    <t>CLÍNICA PREVENTIVA S.A.C.</t>
  </si>
  <si>
    <t>405-5608592-0-52</t>
  </si>
  <si>
    <t>PAGO DE EMO QUISPE MAMANI FRANCISCO,CONDORI CUTIPA DANIEL RICHARD</t>
  </si>
  <si>
    <t>2025-12-18 11:35:00</t>
  </si>
  <si>
    <t>https://storage.googleapis.com/deytha-prod/rqf/7fd8d25d-5e4b-4ee3-9167-dce58423af60_PDF-DOC-E001-166920603147970_DEYFOR_02EMOS (1).pdf</t>
  </si>
  <si>
    <t>https://storage.googleapis.com/deytha-prod/bcp_pdfs/shared/1766075789_BCP_HTML.pdf</t>
  </si>
  <si>
    <t>https://storage.googleapis.com/deytha-prod/rqf/40609/367b3982-7d8f-4fac-a6c9-326e82c9c945_40609.pdf</t>
  </si>
  <si>
    <t>2025-12-02 13:45:38</t>
  </si>
  <si>
    <t>2025-12-18 10:40:49</t>
  </si>
  <si>
    <t>2025-12-09 13:45:00</t>
  </si>
  <si>
    <t>INCOCAL PERU S.A.C.</t>
  </si>
  <si>
    <t>1917434701088   /   CCI- 00219100743470108851</t>
  </si>
  <si>
    <t>Pago RQF-D:405(2 / 2) | SERVICIO DE FABRICACIÓN DE PUERTAS CONTRAPLACADAS INOCAL</t>
  </si>
  <si>
    <t>https://storage.googleapis.com/deytha-prod/payments/SXQoAYlpnIiy5WzFWeBtmMwwvicnOAi46HzwiQeU.pdf</t>
  </si>
  <si>
    <t>2025-12-16 14:42:37</t>
  </si>
  <si>
    <t>2025-12-17 14:42:27</t>
  </si>
  <si>
    <t>VALORIZACION DE ALQUILER DE ANDAMIOS 
2DO DESPACHO
CORRESPONDIENTE AL MES DE NOVIEMBRE</t>
  </si>
  <si>
    <t>2025-12-23 15:28:00</t>
  </si>
  <si>
    <t>https://storage.googleapis.com/deytha-prod/payments/YFV1PPgYue4oG5DBKowzOWgC0LMh83dsbQfNwpth.pdf</t>
  </si>
  <si>
    <t>https://storage.googleapis.com/deytha-prod/rqf/payments/40f929f2-c6c0-448e-95c9-7d44e261bb00_40301.PNG</t>
  </si>
  <si>
    <t>https://storage.googleapis.com/deytha-prod/rqf/40301/1a92548e-1c84-4768-91af-ce60889a3852_40301 - E001-2588 - ALQUILER DE ANDAMIOS SEGUNDO DESPACHO.pdf</t>
  </si>
  <si>
    <t>2025-12-16 17:41:02</t>
  </si>
  <si>
    <t>2025-12-17 17:40:44</t>
  </si>
  <si>
    <t>LLATAS PEREZ NAYDU DEL MILAGRO</t>
  </si>
  <si>
    <t>ALQUILER DE CAMIONETA M8P832 MES DE NOVIEMBRE</t>
  </si>
  <si>
    <t>https://storage.googleapis.com/deytha-prod/payments/M0qCAkjbjnmyqii2g8rSPTcKbylffpsd8yvL08ys.pdf</t>
  </si>
  <si>
    <t>https://storage.googleapis.com/deytha-prod/supplierBills/A95IbOq3qAGRJb1bl4iisoaHGg7OT5NKWUXirheQ.pdf</t>
  </si>
  <si>
    <t>2025-12-16 17:54:04</t>
  </si>
  <si>
    <t>2025-12-17 17:53:48</t>
  </si>
  <si>
    <t xml:space="preserve">GRUPO ELECTRÓGENO CABINADO, POTENCIA
72KW (GEP 100), MARCA CATERPILLAR
(ALQUILER POR 1MES)
CORRESPONDIENTE DEL 27 NOV AL 26 DIC </t>
  </si>
  <si>
    <t>2025-12-23 15:27:00</t>
  </si>
  <si>
    <t>https://storage.googleapis.com/deytha-prod/payments/9ad0hluMsmTx4ZvSYyIpfrTvsfl7Z8rMTa9CHdvg.pdf</t>
  </si>
  <si>
    <t>https://storage.googleapis.com/deytha-prod/rqf/payments/9d0987f2-65e3-4498-88f7-5103a5a56158_40421.PNG</t>
  </si>
  <si>
    <t>https://storage.googleapis.com/deytha-prod/rqf/40421/ac23520d-6c7c-4491-973f-02dd5b6bf582_40421 - F001-454 - ALQUILER DE GRUPO ELECTROGENO.pdf</t>
  </si>
  <si>
    <t>2025-12-17 10:33:51</t>
  </si>
  <si>
    <t>2025-12-18 10:32:41</t>
  </si>
  <si>
    <t>RECOJO DE ENCOMIENDAS 
TUBERIAS 
MATERIAL ELECTRICO</t>
  </si>
  <si>
    <t>2025-12-22 16:26:00</t>
  </si>
  <si>
    <t>https://storage.googleapis.com/deytha-prod/rqf/d3cad3d5-a6d0-4e88-b48f-dd83280ee4eb_COT - RECOJO DE ENCOMIENDAS  - DIC .pdf</t>
  </si>
  <si>
    <t>https://storage.googleapis.com/deytha-prod/rqf/payments/7acfa99a-f5ad-4efd-9e1a-08d5b6ff5711_40535.PNG</t>
  </si>
  <si>
    <t>https://storage.googleapis.com/deytha-prod/rqf/40535/5cf2bcb4-8eb0-49c1-8441-f9903a8554b8_40535 - 2122-00021227 SACO BLANCO TRANS. FLORES.pdf</t>
  </si>
  <si>
    <t>2025-12-17 15:14:14</t>
  </si>
  <si>
    <t>2025-12-27 15:14:05</t>
  </si>
  <si>
    <t xml:space="preserve">ALQUILER RETRO 420 (1) MES DE NOVIEMBRE </t>
  </si>
  <si>
    <t>2026-02-13 19:24:00</t>
  </si>
  <si>
    <t>https://storage.googleapis.com/deytha-prod/payments/hMio1IWRYYuJHYSf812ZAO6KFUmrnREXuKk2cOUf.pdf</t>
  </si>
  <si>
    <t>https://storage.googleapis.com/deytha-prod/rqf/payments/805194e3-5991-4b1a-a324-70cee0699f21_Interbank_2026-02-13 724PM_40562.pdf</t>
  </si>
  <si>
    <t>2025-12-17 16:55:52</t>
  </si>
  <si>
    <t>2025-12-18 16:55:31</t>
  </si>
  <si>
    <t xml:space="preserve">RODILLO STORIKE DE 1.5 TONELADAS MAQUINA
SECA SIN OPERAR (SERVICIO DEL DIA LUNES 01 AL
05 DE DICIEMBRE)
CORRESPONDE A 05 DIAS </t>
  </si>
  <si>
    <t>2025-12-19 17:43:00</t>
  </si>
  <si>
    <t>https://storage.googleapis.com/deytha-prod/payments/Dw6mfuyLWHtgCcezM2OiN9vFoTPjPZVPbQHBE1hh.pdf</t>
  </si>
  <si>
    <t>https://storage.googleapis.com/deytha-prod/bcp_pdfs/shared/1766184268_BCP_HTML.pdf</t>
  </si>
  <si>
    <t>https://storage.googleapis.com/deytha-prod/rqf/40595/7b280a0b-5a20-4563-b521-a705af972cf1_40595 - E001-24 - ALQUILER DE RODILLO DEL 1 AL 5 DIC.pdf</t>
  </si>
  <si>
    <t>2025-12-17 18:19:01</t>
  </si>
  <si>
    <t>2025-12-18 18:18:15</t>
  </si>
  <si>
    <t>HUANCA HUANCA IVONNE VANESSA</t>
  </si>
  <si>
    <t>BONO DE DESEMPEÑO MES DE DICIEMBRE</t>
  </si>
  <si>
    <t>2026-02-26 10:59:00</t>
  </si>
  <si>
    <t>https://storage.googleapis.com/deytha-prod/bcp_pdfs/shared/1772121630_BCP_HTML.pdf</t>
  </si>
  <si>
    <t>https://storage.googleapis.com/deytha-prod/rqf/43f1d544-7838-4d5d-8ac9-9c1242ec59ea_Bono diciembre Ivonne.pdf</t>
  </si>
  <si>
    <t>2025-12-17 14:35:27</t>
  </si>
  <si>
    <t>2025-12-17 14:42:50</t>
  </si>
  <si>
    <t>2025-12-18 14:35:15</t>
  </si>
  <si>
    <t xml:space="preserve">SERVICIO DE INSTALACIÓN DE PARABRISAS POSTERIOR DE CARROCERIA COMIL LAVADO, PULVERIZADO Y SILICONADO/ BUS PUNTOS DE ENGRASE PERNOS DE ENGRASE A 45 GRADOS </t>
  </si>
  <si>
    <t>2025-12-17 15:47:00</t>
  </si>
  <si>
    <t>https://storage.googleapis.com/deytha-prod/rqf/4cefd4ca-fea7-40e7-8c0d-e74b922ed27e_Cotizacion_COT1001-00000257 212.pdf</t>
  </si>
  <si>
    <t>https://storage.googleapis.com/deytha-prod/bcp_pdfs/shared/1766004508_BCP_HTML.pdf</t>
  </si>
  <si>
    <t>https://storage.googleapis.com/deytha-prod/rqf/40556/36c944d4-6ff4-429c-b233-b459b2a5a1b3_20611556579-01-F001-0008658.pdf</t>
  </si>
  <si>
    <t>2025-12-16 14:23:27</t>
  </si>
  <si>
    <t>2025-12-17 10:55:44</t>
  </si>
  <si>
    <t>2025-12-17 14:22:41</t>
  </si>
  <si>
    <t>BOTAS - ZAPTOS - EPPS 
REQ # 37 SSOMA</t>
  </si>
  <si>
    <t>2025-12-17 18:00:00</t>
  </si>
  <si>
    <t>https://storage.googleapis.com/deytha-prod/rqf/d0b5a308-7017-4ece-9949-a7875dee0e81_REQ - EPPS - REQ 37 MALENA.pdf</t>
  </si>
  <si>
    <t>https://storage.googleapis.com/deytha-prod/bcp_pdfs/shared/1766012489_BCP_HTML.pdf</t>
  </si>
  <si>
    <t>https://storage.googleapis.com/deytha-prod/rqf/40295/2459d5f1-2afe-4eee-b55d-e97e665a3572_40295 - E001-15291 - EPPS ZAPATOS - MALENA.pdf</t>
  </si>
  <si>
    <t>2025-12-16 18:20:28</t>
  </si>
  <si>
    <t>2025-12-17 18:20:22</t>
  </si>
  <si>
    <t xml:space="preserve">MATERIALES VARIOS 
EPPS 
REQ # 36 SSOMA 
REQ # 25 MECANICO 
REQ # 8 ADM 
REQ # 03 ESTRUCTURA </t>
  </si>
  <si>
    <t>2026-01-15 17:10:00</t>
  </si>
  <si>
    <t>https://storage.googleapis.com/deytha-prod/rqf/be23c572-36a2-4416-b926-ca0da350bedd_COT - MATERIALES VARIOS - REQ SSOMA Y ADM.pdf</t>
  </si>
  <si>
    <t>https://storage.googleapis.com/deytha-prod/bcp_pdfs/shared/1768515095_BCP_HTML.pdf</t>
  </si>
  <si>
    <t>https://storage.googleapis.com/deytha-prod/rqf/40445/9d5c1609-81e4-4d7e-a735-4de3ca488b38_40445-F007-009373-BLOQUEADOR.ALICATE.OTROS.-FEMAVI-RC..pdf</t>
  </si>
  <si>
    <t>2025-12-16 19:23:12</t>
  </si>
  <si>
    <t>2025-12-05 19:23:12</t>
  </si>
  <si>
    <t>NOVIEMBRE-2025-IR 5TA-DEYFOR-PY28-RG</t>
  </si>
  <si>
    <t>2026-02-23 13:16:08</t>
  </si>
  <si>
    <t>2025-12-16 18:54:55</t>
  </si>
  <si>
    <t>2025-12-05 18:54:55</t>
  </si>
  <si>
    <t>NOVIEMBRE-2025-ONP-DEYFOR-PY28-RG</t>
  </si>
  <si>
    <t>2026-02-23 13:14:32</t>
  </si>
  <si>
    <t>2025-12-16 18:44:26</t>
  </si>
  <si>
    <t>2025-12-05 18:44:26</t>
  </si>
  <si>
    <t>NOVIEMBRE-2025-AFP-DEYFOR-PY28-RG</t>
  </si>
  <si>
    <t>2026-02-23 13:13:35</t>
  </si>
  <si>
    <t>2025-12-16 18:23:02</t>
  </si>
  <si>
    <t>2025-12-05 18:23:02</t>
  </si>
  <si>
    <t>NOVIEMBRE-2025-ESSALUD-DEYFOR-PY28-RG</t>
  </si>
  <si>
    <t>2026-02-23 13:12:04</t>
  </si>
  <si>
    <t>2025-12-16 17:54:44</t>
  </si>
  <si>
    <t>2025-12-05 17:54:44</t>
  </si>
  <si>
    <t>NOVIEMBRE-2025-REM NETAS-DEYFOR-PY28-RG</t>
  </si>
  <si>
    <t>2026-02-23 13:08:42</t>
  </si>
  <si>
    <t>2025-12-16 17:20:18</t>
  </si>
  <si>
    <t>2025-12-05 17:20:18</t>
  </si>
  <si>
    <t>NOVIEMBRE-2025-AFP-EDKA-PY28-RG</t>
  </si>
  <si>
    <t>2026-02-23 13:06:26</t>
  </si>
  <si>
    <t>2025-12-16 15:08:01</t>
  </si>
  <si>
    <t>2025-12-16 16:11:44</t>
  </si>
  <si>
    <t>2025-12-17 15:07:57</t>
  </si>
  <si>
    <t>TARQUI ZAPATA VANESSA</t>
  </si>
  <si>
    <t xml:space="preserve">DESINSTALACION E INSTALACIÓN DE FIBRA POLIFORTE EN BUS DE PLACA T9F-962 // SILICONA SIKAFLEX 
</t>
  </si>
  <si>
    <t>2025-12-23 15:45:00</t>
  </si>
  <si>
    <t>https://storage.googleapis.com/deytha-prod/rqf/payments/d742dd92-f7ae-4a22-b86e-9b4a0f94cdec_40311.PNG</t>
  </si>
  <si>
    <t>https://storage.googleapis.com/deytha-prod/rqf/ec50d1e6-e681-43c1-ada8-1cb6f6213574_Factura-10483916928-E001-972.pdf</t>
  </si>
  <si>
    <t>2025-12-16 15:59:42</t>
  </si>
  <si>
    <t>2025-12-05 15:59:42</t>
  </si>
  <si>
    <t>NOVIEMBRE-2025-ESSALUD-EDKA-PY28-RG</t>
  </si>
  <si>
    <t>2026-02-23 13:05:22</t>
  </si>
  <si>
    <t>2025-12-16 15:32:03</t>
  </si>
  <si>
    <t>2025-12-05 15:32:03</t>
  </si>
  <si>
    <t>NOVIEMBRE-2025-REM NETAS-EDKA-PY28-RG</t>
  </si>
  <si>
    <t>2026-02-23 13:04:22</t>
  </si>
  <si>
    <t>2025-12-16 15:15:00</t>
  </si>
  <si>
    <t>2025-11-15 15:15:00</t>
  </si>
  <si>
    <t>NOVIEMBRE-2025-CTS-EDKA-PY-28-RG</t>
  </si>
  <si>
    <t>2026-02-03 15:02:57</t>
  </si>
  <si>
    <t>2025-12-16 09:27:48</t>
  </si>
  <si>
    <t>2025-12-16 12:37:54</t>
  </si>
  <si>
    <t>2025-12-16 09:27:34</t>
  </si>
  <si>
    <t>MEDICINA EMPRESARIAL DE PREVENCION EN SALUD OCUPACIONAL S.A.C.</t>
  </si>
  <si>
    <t>191-7097635-0-80</t>
  </si>
  <si>
    <t xml:space="preserve">PAGO DE EMO FERNANDEZ MELENDEZ MIGUEL ANGEL,PLASCENCIA ZAVALETA JOE ZACARIAS
</t>
  </si>
  <si>
    <t>2025-12-16 15:53:00</t>
  </si>
  <si>
    <t>https://storage.googleapis.com/deytha-prod/rqf/e29ca579-9ce6-48d5-b395-12024d115db6_COTIZACION LIMA.jpg</t>
  </si>
  <si>
    <t>https://storage.googleapis.com/deytha-prod/bcp_pdfs/shared/1765918468_BCP_HTML.pdf</t>
  </si>
  <si>
    <t>https://storage.googleapis.com/deytha-prod/rqf/40203/7b3083e0-9e0b-49d1-9c76-2e9b3a52348d_20555113731-01-F001-14204.pdf</t>
  </si>
  <si>
    <t>2025-12-16 09:10:33</t>
  </si>
  <si>
    <t>2025-12-16 10:00:12</t>
  </si>
  <si>
    <t>2025-12-05 09:09:53</t>
  </si>
  <si>
    <t>SEM29Y30-2025-REM NETAS-EDKA-PY28-RCC</t>
  </si>
  <si>
    <t>2025-12-05 19:00:00</t>
  </si>
  <si>
    <t>https://storage.googleapis.com/deytha-prod/rqf/59ec0c53-ffdd-4a2b-ba6e-f6a651791644_SEM29y30_17.11_30.11_2025_EDKA_RCC.pdf</t>
  </si>
  <si>
    <t>https://storage.googleapis.com/deytha-prod/rqf/payments/5d8ca386-0d7a-4eff-9591-a0f335a99c68_125970.09.pdf</t>
  </si>
  <si>
    <t>2025-12-15 10:22:12</t>
  </si>
  <si>
    <t>2025-12-15 15:25:51</t>
  </si>
  <si>
    <t>2025-12-16 10:20:56</t>
  </si>
  <si>
    <t xml:space="preserve">Compra de Punta de martillo UG400 BA418M-JS 3 </t>
  </si>
  <si>
    <t>2025-12-22 15:15:00</t>
  </si>
  <si>
    <t>https://storage.googleapis.com/deytha-prod/payments/i94ApCISBKre2wEFVNyqa3LtHBemKJG5IEwYdOtw.pdf</t>
  </si>
  <si>
    <t>https://storage.googleapis.com/deytha-prod/rqf/payments/c44bcf0a-6bc9-41e1-a87b-5b8c36be17e2_Interbank_2025-12-22 315PM_40057.pdf</t>
  </si>
  <si>
    <t>https://storage.googleapis.com/deytha-prod/rqf/40057/19809d15-acb4-479d-b870-a1cd53801eed_PDF-DOC-E001-11810742857013.pdf</t>
  </si>
  <si>
    <t>2025-12-15 11:25:08</t>
  </si>
  <si>
    <t>2025-12-16 11:24:56</t>
  </si>
  <si>
    <t>POR EL ALQUILER DE VOLQUETE SHACMAN DE PLACABHL-878 DEL 01/11/2025 AL 30/11/2025 POR 150 HORAS A RAZON DE 31 DOLARES LA HORA</t>
  </si>
  <si>
    <t>https://storage.googleapis.com/deytha-prod/payments/4fWY3sU1bpKxErY7sPu3sCCAEd3S0L8uBFJ5ebBw.pdf</t>
  </si>
  <si>
    <t>https://storage.googleapis.com/deytha-prod/supplierBills/mzgzxPXca9sgMYu2qvYNQEZZqASCTYDk40PpC25C.pdf</t>
  </si>
  <si>
    <t>2025-12-15 13:53:29</t>
  </si>
  <si>
    <t>2025-12-16 13:53:12</t>
  </si>
  <si>
    <t>ALQUILER DE ANDAMIOS 
1ER DESPACHO
CORRESPONDIENTE AL MES DE NOVIEMBRE</t>
  </si>
  <si>
    <t>2026-01-12 18:10:00</t>
  </si>
  <si>
    <t>https://storage.googleapis.com/deytha-prod/payments/f7VZy3OkBieZZGpw0lXYCtaXaRa0BRzkUXiEi17D.pdf</t>
  </si>
  <si>
    <t>https://storage.googleapis.com/deytha-prod/bcp_pdfs/shared/1768259490_BCP_HTML.pdf</t>
  </si>
  <si>
    <t>https://storage.googleapis.com/deytha-prod/rqf/40124/79a69f62-988d-492e-92a1-f45391952466_E001-2623-40124-ALQUILER DE ANDAMIOS-VALTUS-RICARDO.pdf</t>
  </si>
  <si>
    <t>2025-12-15 14:00:43</t>
  </si>
  <si>
    <t>2025-12-16 14:00:08</t>
  </si>
  <si>
    <t>EPPS PARA PERSONAL EN OBRA 
REQ # 37 - SSOMA 
REQ # 22 - MECANICO
REQ # 23 - MECANICO</t>
  </si>
  <si>
    <t>2025-12-17 17:56:00</t>
  </si>
  <si>
    <t>https://storage.googleapis.com/deytha-prod/rqf/2f0dea36-bdd7-49be-8c10-d463596133e5_COT - EPPS - GUANTES - CHALECOS Y CAPOTINES.pdf</t>
  </si>
  <si>
    <t>https://storage.googleapis.com/deytha-prod/bcp_pdfs/shared/1766012250_BCP_HTML.pdf</t>
  </si>
  <si>
    <t>https://storage.googleapis.com/deytha-prod/rqf/40125/8ec43573-e662-4661-a44f-13d5dcc55df8_40125 - E001-15290 - GUANTES ZAPATOS CAPOTINES.pdf</t>
  </si>
  <si>
    <t>2025-12-13 12:22:04</t>
  </si>
  <si>
    <t>2025-12-15 14:14:03</t>
  </si>
  <si>
    <t>2025-12-14 12:21:41</t>
  </si>
  <si>
    <t>CABLE DESNUDO 4/0 
REQ # 40 ELECTRICO</t>
  </si>
  <si>
    <t>2025-12-23 15:35:00</t>
  </si>
  <si>
    <t>https://storage.googleapis.com/deytha-prod/rqf/1d199663-90a3-4868-a866-7d37d12e61d4_COT - CABLE DESNUDO 4.0 - REQ 40 ELECTRICO.pdf</t>
  </si>
  <si>
    <t>https://storage.googleapis.com/deytha-prod/rqf/payments/9cec437e-783d-47b2-920b-bf86d76374d8_39781.PNG</t>
  </si>
  <si>
    <t>https://storage.googleapis.com/deytha-prod/rqf/39781/0e1a4af6-fa8c-41c8-8731-e9a2c2403c31_39781 - FQQ1-565 - CABLE DESNUDO.pdf</t>
  </si>
  <si>
    <t>2025-12-13 22:45:06</t>
  </si>
  <si>
    <t>2025-12-15 13:45:00</t>
  </si>
  <si>
    <t>alimentación semana 31 del 30-11 al 05-12</t>
  </si>
  <si>
    <t>2025-12-15 20:10:00</t>
  </si>
  <si>
    <t>https://storage.googleapis.com/deytha-prod/rqf/8b087e19-0d22-4fbc-8b05-c1f465ffc83f_Untitled1.pdf</t>
  </si>
  <si>
    <t>https://storage.googleapis.com/deytha-prod/bcp_pdfs/shared/1765847429_BCP_HTML.pdf</t>
  </si>
  <si>
    <t>https://storage.googleapis.com/deytha-prod/rqf/39787/d34c5e86-7216-46ee-9d64-08cae28b6686_Captura de pantalla 2025-12-19 093721.png</t>
  </si>
  <si>
    <t>2025-12-15 12:23:32</t>
  </si>
  <si>
    <t>2025-12-15 12:35:57</t>
  </si>
  <si>
    <t>2025-12-16 12:22:28</t>
  </si>
  <si>
    <t xml:space="preserve">PINTURA RENNER 
REQ # 26 - MECANICO </t>
  </si>
  <si>
    <t>2025-12-15 13:13:00</t>
  </si>
  <si>
    <t>https://storage.googleapis.com/deytha-prod/rqf/0bdfa569-0c15-4b41-89fa-6f27b8ca98dc_COT - REQ 26 MECANICO - PINTURA RENNER.pdf</t>
  </si>
  <si>
    <t>https://storage.googleapis.com/deytha-prod/bcp_pdfs/shared/1765822410_BCP_HTML.pdf</t>
  </si>
  <si>
    <t>https://storage.googleapis.com/deytha-prod/rqf/40095/aafc357e-5fd8-4809-9014-f13b44540c93_40095 - F001-12504 - PINTURA RENNER .pdf</t>
  </si>
  <si>
    <t>2025-12-15 12:00:07</t>
  </si>
  <si>
    <t>2025-12-13 13:02:31</t>
  </si>
  <si>
    <t>2025-12-14 13:02:13</t>
  </si>
  <si>
    <t>PINO MAMANCHURA MIRIAN YULISA</t>
  </si>
  <si>
    <t>430-2591638-0-93</t>
  </si>
  <si>
    <t xml:space="preserve">MATERIALES VARIOS MATERIAL CIVIL - 
REQ # 35 ELECTRICO
REQ # 34 ELECTRICO 
REQ # 40 CIVL </t>
  </si>
  <si>
    <t>2025-12-16 18:52:00</t>
  </si>
  <si>
    <t>https://storage.googleapis.com/deytha-prod/rqf/f9fb0b72-4a23-4fa2-a034-b5fee16b816a_MATERIAL CIVIL Y ELECTRICO - FENOLICO MALLA.pdf</t>
  </si>
  <si>
    <t>https://storage.googleapis.com/deytha-prod/bcp_pdfs/shared/1765929149_BCP_HTML.pdf</t>
  </si>
  <si>
    <t>https://storage.googleapis.com/deytha-prod/rqf/39784/7d037f3d-22a7-465b-86d0-7cdf90d64c6d_39784 - FQQ1-2085 - MATERIAL CIVIL.pdf</t>
  </si>
  <si>
    <t>2025-12-12 17:26:16</t>
  </si>
  <si>
    <t>2025-12-14 23:59:24</t>
  </si>
  <si>
    <t>2025-12-13 17:26:00</t>
  </si>
  <si>
    <t>8983429560269 TITULAR: KARDELY VASQUEZ</t>
  </si>
  <si>
    <t>PASAJE AEREO DE AQP-CAJ FECHA 15/12/2025 PARA JHAN SILVA</t>
  </si>
  <si>
    <t>2025-12-12 17:27:00</t>
  </si>
  <si>
    <t>https://storage.googleapis.com/deytha-prod/rqf/78e51599-cbce-4d90-8578-9a7bd6f0a7f6_Captura de pantalla 2025-12-12 172545.png</t>
  </si>
  <si>
    <t>https://storage.googleapis.com/deytha-prod/rqf/payments/99e15c61-c105-4a9e-89ae-e31470e79fb1_BCP_2025-12-12 527PM_PASAJE JHAN SILVA.pdf</t>
  </si>
  <si>
    <t>https://storage.googleapis.com/deytha-prod/rqf/39744/5ba7a766-9ed6-49f5-8331-8b6d6c8630a1_LA5443246HRJX-3433b502-5b29-46c2-8130-868033b6232d-cuv-bill.pdf</t>
  </si>
  <si>
    <t>2025-12-13 10:19:06</t>
  </si>
  <si>
    <t>2025-12-14 10:18:59</t>
  </si>
  <si>
    <t>MES MOVIEMBRE ESTACION TOTAL MARCA LEYCA TS06-3 R500 PLUS - N- S 1355960 / NIVEL AUTOMATICO MARCA LEYCA NA 332 - N-S 720334457400</t>
  </si>
  <si>
    <t>2026-01-23 20:05:00</t>
  </si>
  <si>
    <t>https://storage.googleapis.com/deytha-prod/payments/PHpJdIR83lD5fBmRDjjjqhLJQsUMCeDorgQQaMs1.pdf</t>
  </si>
  <si>
    <t>https://storage.googleapis.com/deytha-prod/rqf/payments/b97f0420-ba39-4079-8158-e41e080451fe_Interbank_2026-01-23 805PM_39777.pdf</t>
  </si>
  <si>
    <t>https://storage.googleapis.com/deytha-prod/supplierBills/FIp9p4KEienmiwmSDIhYkdbm29TPIRm8YVGzKmNh.pdf</t>
  </si>
  <si>
    <t>2025-12-13 10:58:14</t>
  </si>
  <si>
    <t>2025-12-27 10:58:04</t>
  </si>
  <si>
    <t>ALIMENTACION EN MINA CORRESPONDIENTE AL MES DE NOVIEMBRE (MINA)</t>
  </si>
  <si>
    <t>2026-01-20 16:46:00</t>
  </si>
  <si>
    <t>https://storage.googleapis.com/deytha-prod/payments/zCD9UXRkSTmcydTxyGEn2SbcrHeD2QKpfLaT5VrE.pdf</t>
  </si>
  <si>
    <t>https://storage.googleapis.com/deytha-prod/bcp_pdfs/shared/1768945652_BCP_HTML.pdf</t>
  </si>
  <si>
    <t>https://storage.googleapis.com/deytha-prod/rqf/39778/f9797f09-ba37-4e95-9be8-ba834eaee90c_F001-0005607 Deyfor_I Cjn Nov25.pdf</t>
  </si>
  <si>
    <t>2025-12-12 09:58:37</t>
  </si>
  <si>
    <t>2025-12-12 14:06:00</t>
  </si>
  <si>
    <t>2025-12-13 09:58:19</t>
  </si>
  <si>
    <t>CAJA CHICA # 16</t>
  </si>
  <si>
    <t>2025-12-23 15:38:00</t>
  </si>
  <si>
    <t>https://storage.googleapis.com/deytha-prod/rqf/payments/c2f03a41-dfaa-433c-815d-bc11d6ede92b_39699.PNG</t>
  </si>
  <si>
    <t>2025-12-11 12:32:02</t>
  </si>
  <si>
    <t>2025-12-12 13:21:38</t>
  </si>
  <si>
    <t>2025-12-11 12:31:49</t>
  </si>
  <si>
    <t>PAGO DE EMO PARAROMERO MAMANI, PEREZ,HUARCAYA,SILVA CERDAN</t>
  </si>
  <si>
    <t>2025-12-15 12:40:00</t>
  </si>
  <si>
    <t>https://storage.googleapis.com/deytha-prod/rqf/0605b123-e303-4114-97f2-082db4c01900_PDF-DOC-E001-70720606572922.pdf</t>
  </si>
  <si>
    <t>https://storage.googleapis.com/deytha-prod/bcp_pdfs/shared/1765820489_BCP_HTML.pdf</t>
  </si>
  <si>
    <t>https://storage.googleapis.com/deytha-prod/rqf/39599/76c0c0f0-c4ee-4628-adea-f4ae35db3634_E001-707.pdf</t>
  </si>
  <si>
    <t>2025-12-12 08:39:18</t>
  </si>
  <si>
    <t>2025-12-12 08:41:17</t>
  </si>
  <si>
    <t>https://storage.googleapis.com/deytha-prod/payments/po3hZnup5vW6G6S7Bp3YGeuTa2ByFuuIDTJkxFHB.jpg</t>
  </si>
  <si>
    <t>https://storage.googleapis.com/deytha-prod/payments/ZJXQWOR6KWa40uxCekDcMDDIbljb7d0SmmOHZIU3.jpg</t>
  </si>
  <si>
    <t>2025-12-10 12:31:33</t>
  </si>
  <si>
    <t>2025-12-11 18:08:00</t>
  </si>
  <si>
    <t>2025-12-11 12:31:24</t>
  </si>
  <si>
    <t xml:space="preserve">MATERIALES VARIOS 
REQ # 23 / 23 
AREA MECANICA </t>
  </si>
  <si>
    <t>2025-12-23 15:37:00</t>
  </si>
  <si>
    <t>https://storage.googleapis.com/deytha-prod/rqf/c3e87416-b8d8-4f06-a621-e5d23b90e3ea_COT - REQ MECANICO  22 Y 23 - MATERIALES VARIOS.pdf</t>
  </si>
  <si>
    <t>https://storage.googleapis.com/deytha-prod/rqf/payments/6818c533-0d5e-45e4-9cfa-08398856092d_39445.PNG</t>
  </si>
  <si>
    <t>https://storage.googleapis.com/deytha-prod/rqf/39445/7d009a11-919e-46ef-ad9b-37ff6aec766d_39445 - F007-9193 - MATERIALES VARIOS FEMAVI.pdf</t>
  </si>
  <si>
    <t>2025-12-10 12:41:05</t>
  </si>
  <si>
    <t>2025-12-11 12:40:59</t>
  </si>
  <si>
    <t>EPPS Y MATERIALES VARIOS 
REQ ADM # 07 
REQ MECA # 22</t>
  </si>
  <si>
    <t>2025-12-12 15:26:00</t>
  </si>
  <si>
    <t>https://storage.googleapis.com/deytha-prod/rqf/ded949e1-aa1f-4594-a55a-414ed0e35dc6_COT - MATERIALES Y EPPS REQ ADMINI.pdf</t>
  </si>
  <si>
    <t>https://storage.googleapis.com/deytha-prod/bcp_pdfs/shared/1765571249_BCP_HTML.pdf</t>
  </si>
  <si>
    <t>https://storage.googleapis.com/deytha-prod/rqf/39448/75bcaf9c-a90b-44cf-91e1-312b19e17d07_39448 - E001-15268 - SOLDADURA Y EPPS.pdf</t>
  </si>
  <si>
    <t>2025-12-10 11:46:55</t>
  </si>
  <si>
    <t>2025-12-11 15:58:30</t>
  </si>
  <si>
    <t>2025-12-11 11:46:48</t>
  </si>
  <si>
    <t>COMBUSTIBLE PARA UNIDADES CORRESPONDIENTE DEL DIA 01 DENOV AL 15 NOV</t>
  </si>
  <si>
    <t>2025-12-19 16:35:00</t>
  </si>
  <si>
    <t>https://storage.googleapis.com/deytha-prod/rqf/f0e88be5-ede4-4e79-a6a2-5dc382ff5412_VAL - CONSUMO DE COMBUSTIBLE DEL 1 AL 15 NOV.pdf</t>
  </si>
  <si>
    <t>https://storage.googleapis.com/deytha-prod/bcp_pdfs/shared/1766180189_BCP_HTML.pdf</t>
  </si>
  <si>
    <t>https://storage.googleapis.com/deytha-prod/rqf/39418/079802bd-42f6-4328-9b8e-c6f3bc290dab_39418 - F001-00139363 - COMBUSTIBLE DEL 01 AL 15 NOV 2025.pdf</t>
  </si>
  <si>
    <t>2025-12-10 12:19:16</t>
  </si>
  <si>
    <t>2025-12-11 12:19:13</t>
  </si>
  <si>
    <t>ASOFTEL S.A.C.</t>
  </si>
  <si>
    <t>1914212069050  //   CCI- 00219100262930503552</t>
  </si>
  <si>
    <t xml:space="preserve">REQ ELECTRICO 
ELECTRICO # 40 
MATERIAL PARA CUARTO ELECTRICO </t>
  </si>
  <si>
    <t>2025-12-12 10:17:00</t>
  </si>
  <si>
    <t>https://storage.googleapis.com/deytha-prod/rqf/3343e5dd-f5b6-4991-abcf-8e1c4046c51a_COT - REQ MATERIAL ELECTRICO REQ 40.pdf</t>
  </si>
  <si>
    <t>https://storage.googleapis.com/deytha-prod/bcp_pdfs/shared/1765552649_BCP_HTML.pdf</t>
  </si>
  <si>
    <t>https://storage.googleapis.com/deytha-prod/rqf/39439/81955a59-6935-4025-adde-4a5de71718e3_39439 - F001-485 - MATERIAL ELECTRICO.pdf</t>
  </si>
  <si>
    <t>2025-12-11 11:18:05</t>
  </si>
  <si>
    <t>2025-12-11 11:55:30</t>
  </si>
  <si>
    <t>2025-12-11 11:17:45</t>
  </si>
  <si>
    <t>IPRESS VISION LASER EIRL</t>
  </si>
  <si>
    <t xml:space="preserve"> 350-2611343-0-54 </t>
  </si>
  <si>
    <t xml:space="preserve">PAGO DE EMO PARA GOMEZ DE LA CRUZ WILLIAM
</t>
  </si>
  <si>
    <t>2025-12-15 12:43:00</t>
  </si>
  <si>
    <t>https://storage.googleapis.com/deytha-prod/rqf/de64a39a-916c-4adc-8d9e-eeb9d3a3481a_FACTURA DEYFOR - 06 DE DIC - GOMEZ DE LA CRUZ WILLIAM (1).pdf</t>
  </si>
  <si>
    <t>https://storage.googleapis.com/deytha-prod/bcp_pdfs/shared/1765820670_BCP_HTML.pdf</t>
  </si>
  <si>
    <t>https://storage.googleapis.com/deytha-prod/rqf/39581/47d47b75-2ad6-468c-be46-60c0ac7eb87b_F001-00004020.pdf</t>
  </si>
  <si>
    <t>2025-12-11 11:45:35</t>
  </si>
  <si>
    <t>2025-12-11 11:45:23</t>
  </si>
  <si>
    <t>PAGO DE EMO LEON HANCCO HERNAN ALBERTO</t>
  </si>
  <si>
    <t>2025-12-15 12:30:00</t>
  </si>
  <si>
    <t>https://storage.googleapis.com/deytha-prod/rqf/49a3b73a-5ccc-43e1-b86f-605cb58f5b6b_F002-4156 DEYFOR.pdf</t>
  </si>
  <si>
    <t>https://storage.googleapis.com/deytha-prod/bcp_pdfs/shared/1765819829_BCP_HTML.pdf</t>
  </si>
  <si>
    <t>https://storage.googleapis.com/deytha-prod/rqf/39586/5e445511-ef9e-4db3-9cd5-cd9a8f768e67_F002-0000004156.pdf</t>
  </si>
  <si>
    <t>2025-12-10 09:46:10</t>
  </si>
  <si>
    <t>2025-12-10 12:59:28</t>
  </si>
  <si>
    <t>2025-12-10 09:46:00</t>
  </si>
  <si>
    <t>PAGO DE EMO PARA PAREDES ZAMORA ANGELO</t>
  </si>
  <si>
    <t>2025-12-10 15:41:00</t>
  </si>
  <si>
    <t>https://storage.googleapis.com/deytha-prod/rqf/58314ffd-74b1-43fe-bfd9-0c04cbd7bdc2_F002-4163 DEYFOR.pdf</t>
  </si>
  <si>
    <t>https://storage.googleapis.com/deytha-prod/bcp_pdfs/shared/1765399292_BCP_HTML.pdf</t>
  </si>
  <si>
    <t>https://storage.googleapis.com/deytha-prod/rqf/39390/ac0c8c33-9e22-4884-9726-ebb2b7f29a1e_F002-0000004163.pdf</t>
  </si>
  <si>
    <t>2025-12-10 09:55:46</t>
  </si>
  <si>
    <t>2025-12-10 09:55:28</t>
  </si>
  <si>
    <t>PAGO DE EMO PRADO ESPINOZA CESAR EDILBERTO,MENDOZA CHILQUE ANDRES SEBASTIAN,CHAMBI TULA DIEGO CESAR</t>
  </si>
  <si>
    <t>2025-12-10 15:36:00</t>
  </si>
  <si>
    <t>https://storage.googleapis.com/deytha-prod/rqf/3de952f7-75df-44b6-a5cd-8e0dfbb01d0d_20539477600-01-F002-00019655.pdf</t>
  </si>
  <si>
    <t>https://storage.googleapis.com/deytha-prod/bcp_pdfs/shared/1765399049_BCP_HTML.pdf</t>
  </si>
  <si>
    <t>https://storage.googleapis.com/deytha-prod/rqf/39391/0d29fd07-2543-4467-8a81-f4e043ec4dc2_F002-00019655.pdf</t>
  </si>
  <si>
    <t>2025-12-10 11:08:35</t>
  </si>
  <si>
    <t>2025-11-26 11:08:35</t>
  </si>
  <si>
    <t>COMPRA DE COCODRILLOS PARA TELUROMETRO</t>
  </si>
  <si>
    <t>2025-12-12 08:42:32</t>
  </si>
  <si>
    <t>https://storage.googleapis.com/deytha-prod/payments/jsMfPkf44KJL6c0OXRxGK3rPwNcNiLnhnv2brVua.pdf</t>
  </si>
  <si>
    <t>https://storage.googleapis.com/deytha-prod/payments/TixqkaQQv9hSH3KvrgaUH9BWLO9inMtk0XfdIyPg.pdf</t>
  </si>
  <si>
    <t>2025-11-07 11:08:35</t>
  </si>
  <si>
    <t>TRANSPORTE DE ARQUIPA HACIA MOQUEGUA - DE PLATINAS BARRAS Y TUBOS PAR AREA DE MECANICA</t>
  </si>
  <si>
    <t>2025-12-12 08:41:20</t>
  </si>
  <si>
    <t>https://storage.googleapis.com/deytha-prod/payments/Dlw6uAJ9AkjcNfoGzfMs2abfj7uFMtXigrv0ec3Q.pdf</t>
  </si>
  <si>
    <t>https://storage.googleapis.com/deytha-prod/payments/fUaBtdnPtzXPdcxrvNwEniBIVEdRSmGUjKjx33do.pdf</t>
  </si>
  <si>
    <t>2025-12-10 11:07:07</t>
  </si>
  <si>
    <t>2025-11-24 11:07:07</t>
  </si>
  <si>
    <t>RECOJO DE ENCOMIENDA DESDE AREQUIPA HACIA MOQUEGUA - MATERIAL PARA AREA DE TELECOMUNICACIONES</t>
  </si>
  <si>
    <t>2025-12-12 08:42:35</t>
  </si>
  <si>
    <t>https://storage.googleapis.com/deytha-prod/payments/art14zp6s7DKJqs6XkK3VQr4pX0zgl7x9eJ9f37z.pdf</t>
  </si>
  <si>
    <t>https://storage.googleapis.com/deytha-prod/payments/1uWhVQ5FnOG8cntk2xJi3Nyb7KgcaTdLWs3B368F.pdf</t>
  </si>
  <si>
    <t>2025-12-10 11:07:03</t>
  </si>
  <si>
    <t>2025-11-10 11:07:03</t>
  </si>
  <si>
    <t>RECOJO DE ENCOMIENDA AREA ELECTRICA EN TRASPORTES FLORES</t>
  </si>
  <si>
    <t>2025-12-12 08:42:26</t>
  </si>
  <si>
    <t>https://storage.googleapis.com/deytha-prod/payments/V6uWv5F9ws9MSurbwMMNI5WLjAKH4JbVsfHInbo7.pdf</t>
  </si>
  <si>
    <t>https://storage.googleapis.com/deytha-prod/payments/wlTCmMRtThumBn6sX9QqE9QZlmOGOchkwghb7K0M.pdf</t>
  </si>
  <si>
    <t>2025-11-12 11:07:03</t>
  </si>
  <si>
    <t>CENA PARA PERSONAL STAFF REUNION PARA PRESENTACION DE JEFE DE PROYECTOS
AUTORIZO ING WILMER DIAZ</t>
  </si>
  <si>
    <t>2025-12-12 08:42:23</t>
  </si>
  <si>
    <t>https://storage.googleapis.com/deytha-prod/payments/KveOu77uJbaKGkGy23LISvZimCllwUHTv8oolJgE.pdf</t>
  </si>
  <si>
    <t>https://storage.googleapis.com/deytha-prod/payments/4yFqEyWufJPT46jLSi58A7awO88NrxBtdGvjUUyR.pdf</t>
  </si>
  <si>
    <t>2025-12-10 09:03:18</t>
  </si>
  <si>
    <t>2025-11-11 09:03:18</t>
  </si>
  <si>
    <t>RECOJO DE ENCOMIENDA</t>
  </si>
  <si>
    <t>2025-12-12 08:42:04</t>
  </si>
  <si>
    <t>https://storage.googleapis.com/deytha-prod/payments/7zudyNragmWdT0VKWC07nTekTpo4k96aMw2hpLIs.pdf</t>
  </si>
  <si>
    <t>https://storage.googleapis.com/deytha-prod/payments/tBQmV92tGVYbNJYceZn45CfoMitNAHFv6OesPrkv.pdf</t>
  </si>
  <si>
    <t>2025-11-19 09:03:18</t>
  </si>
  <si>
    <t>COMPRA DE FAJA SPARA RODILLO EN OBRA CUAJONE</t>
  </si>
  <si>
    <t>2025-12-12 08:42:20</t>
  </si>
  <si>
    <t>https://storage.googleapis.com/deytha-prod/payments/dPv50ZaEvOeA6zMiMuWB2SWg7LxOVBNAHgUZnsoB.pdf</t>
  </si>
  <si>
    <t>https://storage.googleapis.com/deytha-prod/payments/nNvpBuMwKV6baQj5NFtWtXjGfFbwCNaQjafxHZZT.pdf</t>
  </si>
  <si>
    <t>2025-11-21 09:03:18</t>
  </si>
  <si>
    <t>REPOCICION DE ESPEJO DE RETROEXCAVADORA </t>
  </si>
  <si>
    <t>2025-12-12 08:42:29</t>
  </si>
  <si>
    <t>https://storage.googleapis.com/deytha-prod/payments/74UOslX45nSwaUxiBr8w4LzCkRt9qMtUI4sXrSzz.pdf</t>
  </si>
  <si>
    <t>https://storage.googleapis.com/deytha-prod/payments/hE1tTKnNuur0VLqKBDnc7PCHhdYsaE9ua4bceQTW.pdf</t>
  </si>
  <si>
    <t>2025-12-10 09:03:17</t>
  </si>
  <si>
    <t>2025-11-26 09:03:17</t>
  </si>
  <si>
    <t>COMPRA DE TERMINALES BADANA - EN AREQUIPA</t>
  </si>
  <si>
    <t>2025-12-12 08:42:17</t>
  </si>
  <si>
    <t>https://storage.googleapis.com/deytha-prod/payments/a9EeyRFjHor4Dc2eREz5biRCIybF0Q8gb03hjHJo.pdf</t>
  </si>
  <si>
    <t>https://storage.googleapis.com/deytha-prod/payments/ouV4RzbbQZeUfkN6BKZzHK6pFqQ5jcTJWMxBR6KI.pdf</t>
  </si>
  <si>
    <t>2025-12-10 09:03:10</t>
  </si>
  <si>
    <t>2025-11-05 09:03:10</t>
  </si>
  <si>
    <t>RECOJO DE ENCOMIENDA DE LIMA HACIA MOQUEGUA </t>
  </si>
  <si>
    <t>2025-12-12 08:41:31</t>
  </si>
  <si>
    <t>https://storage.googleapis.com/deytha-prod/payments/b56uWsfmCia1AfcWqRCamwNUHLnEOcyUleBpRauW.pdf</t>
  </si>
  <si>
    <t>https://storage.googleapis.com/deytha-prod/payments/GDeiWf0JgLuJqyzzqwWdguH1h7Pwa5B2kRvmajv9.pdf</t>
  </si>
  <si>
    <t>2025-11-17 09:03:10</t>
  </si>
  <si>
    <t>COMPRA DE CORREA LISA - PARA EQUIPOS </t>
  </si>
  <si>
    <t>2025-12-12 08:42:10</t>
  </si>
  <si>
    <t>https://storage.googleapis.com/deytha-prod/payments/akOuomU6uMalLIlKQXivyFZnrsariRt75QTkXXek.pdf</t>
  </si>
  <si>
    <t>https://storage.googleapis.com/deytha-prod/payments/ymXwQQgAkhvj9M2HgJvz83Yit9nSI13lcxzWLEi1.pdf</t>
  </si>
  <si>
    <t>2025-11-27 09:03:10</t>
  </si>
  <si>
    <t>RECOJO DE 2 ENCOMIENDAS EN MOQUEGUA</t>
  </si>
  <si>
    <t>2025-12-12 08:42:07</t>
  </si>
  <si>
    <t>https://storage.googleapis.com/deytha-prod/payments/rF5haKBhta2GQ2LPlrfS1SYfjCTvYfbI4Z47jVjF.pdf</t>
  </si>
  <si>
    <t>https://storage.googleapis.com/deytha-prod/payments/Ly98qnBP3Nqm7V1T3cXuhjefvb0BC49rmuqzJ0XY.pdf</t>
  </si>
  <si>
    <t>2025-11-24 09:03:10</t>
  </si>
  <si>
    <t>RECOJO DE MATERIALES ELECTRICOS DESDE LIMA HACIA MOQUEGUA</t>
  </si>
  <si>
    <t>2025-12-12 08:42:13</t>
  </si>
  <si>
    <t>https://storage.googleapis.com/deytha-prod/payments/FNLNUDYhdEc0SY1nRCAbJU33UBvVv8SQyoUjTgEz.pdf</t>
  </si>
  <si>
    <t>https://storage.googleapis.com/deytha-prod/payments/gZHEeyzh6Qqt3WnPeyMRT2gOl5GWmcKp3cW0GA3T.pdf</t>
  </si>
  <si>
    <t>2025-12-10 09:03:09</t>
  </si>
  <si>
    <t>2025-10-03 09:03:09</t>
  </si>
  <si>
    <t>RECOJO D ENCOMEINDA EN TODO CARGO - PINTURAS DESDE LIMA RENNER </t>
  </si>
  <si>
    <t>2025-12-12 08:41:34</t>
  </si>
  <si>
    <t>https://storage.googleapis.com/deytha-prod/payments/YHxx3BL9uem1w1yw5RvapwHjFPKvLkLoAHS5kCJD.pdf</t>
  </si>
  <si>
    <t>https://storage.googleapis.com/deytha-prod/payments/y9f1qQNyrv5OqNPeFEzNEdyppwEK1R6GWiuVDQ2R.pdf</t>
  </si>
  <si>
    <t>2025-12-10 09:03:06</t>
  </si>
  <si>
    <t>2025-11-20 09:03:06</t>
  </si>
  <si>
    <t>COMPRA DE RERFRIGERIO PARA OBRA - EN PAGO DE TIERRA </t>
  </si>
  <si>
    <t>2025-12-12 08:42:00</t>
  </si>
  <si>
    <t>https://storage.googleapis.com/deytha-prod/payments/H1cCELMR31jgxFiLrlO15uJ7tglDwWJwXpkPMWkD.pdf</t>
  </si>
  <si>
    <t>https://storage.googleapis.com/deytha-prod/payments/ciNM5KrtCT5UGPDkn1DMCrf5AkF8DsWnH3VGpvhL.pdf</t>
  </si>
  <si>
    <t>2025-12-10 09:03:05</t>
  </si>
  <si>
    <t>2025-11-01 09:03:05</t>
  </si>
  <si>
    <t>COMPRA DE PINTURA ESMALTE URGENTE PARA CERCO PERIMETRICO</t>
  </si>
  <si>
    <t>2025-12-12 08:41:48</t>
  </si>
  <si>
    <t>https://storage.googleapis.com/deytha-prod/payments/qTEPiM8Uc9eXBTrGdBfCiUR6aLykC0ohVM0CNkwS.pdf</t>
  </si>
  <si>
    <t>https://storage.googleapis.com/deytha-prod/payments/aLGD41WggJFJHAHIUUSTxP2QBTsA3tQKMSYiIQaL.pdf</t>
  </si>
  <si>
    <t>2025-11-07 09:03:05</t>
  </si>
  <si>
    <t>COMPRA DE CUTER Y CINTA MASKINT PARA AREA MECANICA</t>
  </si>
  <si>
    <t>2025-12-12 08:41:51</t>
  </si>
  <si>
    <t>https://storage.googleapis.com/deytha-prod/payments/GaGxIdavgqoBjxQqjOFDA6MRHl2IQ7fWqIxH9V0p.pdf</t>
  </si>
  <si>
    <t>https://storage.googleapis.com/deytha-prod/payments/XFKojYWyEPu6IknM275tjyprn7y5bRcYMBeqVqVX.pdf</t>
  </si>
  <si>
    <t>2025-12-12 08:41:54</t>
  </si>
  <si>
    <t>https://storage.googleapis.com/deytha-prod/payments/GyS9dD6ewIeYkIaswbAS0caDjgPa97JNmvMqvAWK.pdf</t>
  </si>
  <si>
    <t>https://storage.googleapis.com/deytha-prod/payments/Ptve6BhLHS2kc9ZsernzP1rWsakzJiKX7ZSnbtn6.pdf</t>
  </si>
  <si>
    <t>2025-11-19 09:03:05</t>
  </si>
  <si>
    <t>RECOJO DE ENCOMIENDA EN MOQEUGUA DESDE AREQUIPA AREA TELECOMUNICACIONES</t>
  </si>
  <si>
    <t>2025-12-12 08:41:23</t>
  </si>
  <si>
    <t>https://storage.googleapis.com/deytha-prod/payments/4naLpusv91lSQd9Fb768iqpFgZ9OcUqonPmyjpV4.pdf</t>
  </si>
  <si>
    <t>https://storage.googleapis.com/deytha-prod/payments/I83flay8TNt6H8qTsg6m9dDGWJCJxOgVG1pZg5uU.pdf</t>
  </si>
  <si>
    <t>2025-11-20 09:03:05</t>
  </si>
  <si>
    <t>COMPRA DE CINTA AISLANTE EN CAPAMENTO CUAJONE PARA LEVANTAR OBSERVACIONES COMPRA PARA AREA SSOMA</t>
  </si>
  <si>
    <t>2025-12-12 08:41:57</t>
  </si>
  <si>
    <t>https://storage.googleapis.com/deytha-prod/payments/6UGKfkGNK747ogZO9Is4eKGAguD3BTOUDdXELvDP.pdf</t>
  </si>
  <si>
    <t>https://storage.googleapis.com/deytha-prod/payments/X0VEHlQjpgaemekiXfS0maqA6UOG5oTUv3f0DxNd.pdf</t>
  </si>
  <si>
    <t>2025-11-22 09:03:05</t>
  </si>
  <si>
    <t>MTTO DE IMPRESORA DE OBRA CUAJONE - AREA A 3</t>
  </si>
  <si>
    <t>2025-12-12 08:41:26</t>
  </si>
  <si>
    <t>https://storage.googleapis.com/deytha-prod/payments/Luh7N4n8ZfjwrQktEzLJ1hBi47D7uxBpQpfVYsU2.pdf</t>
  </si>
  <si>
    <t>https://storage.googleapis.com/deytha-prod/payments/b8fim8HbsZOl0I4J2gvajxDSL302T2DCzDgm7PIm.pdf</t>
  </si>
  <si>
    <t>2025-11-24 09:03:05</t>
  </si>
  <si>
    <t>CONPRA DE CAJAS DE ARCHIVADORES PARA EL AREA DE CALIDAD</t>
  </si>
  <si>
    <t>2025-12-12 08:41:28</t>
  </si>
  <si>
    <t>https://storage.googleapis.com/deytha-prod/payments/r5Bo1UcGP3zhQw0bUUKOBUv71OGIhJ6T6WgpQdvx.pdf</t>
  </si>
  <si>
    <t>https://storage.googleapis.com/deytha-prod/payments/eFtqXhs3te8ZTh82MHZ6P8z9BGpH9St9f51eNqNI.pdf</t>
  </si>
  <si>
    <t>2025-12-10 09:03:04</t>
  </si>
  <si>
    <t>2025-11-11 09:03:04</t>
  </si>
  <si>
    <t>ENVIO DE ENCOMIENDA</t>
  </si>
  <si>
    <t>2025-12-12 08:41:38</t>
  </si>
  <si>
    <t>https://storage.googleapis.com/deytha-prod/payments/Cxr4yfrPFqsqcprhCbmwZYFhkwDU8BPoTC1xojZM.pdf</t>
  </si>
  <si>
    <t>https://storage.googleapis.com/deytha-prod/payments/389Oxw0NiM1uT2ms2wCT22SqXOdHjZVE1osV4buY.pdf</t>
  </si>
  <si>
    <t>2025-11-03 09:03:04</t>
  </si>
  <si>
    <t>RECOJO DE ENCOMIENDA DESDE ACNA</t>
  </si>
  <si>
    <t>2025-12-12 08:41:41</t>
  </si>
  <si>
    <t>https://storage.googleapis.com/deytha-prod/payments/8MxpYMRJxKUZHXMBRGf3otHCgUmvZGKBE10Sl2OT.pdf</t>
  </si>
  <si>
    <t>https://storage.googleapis.com/deytha-prod/payments/2yehnhIEmiijlPhwIj87cllaFivW2Bos35E1pa9H.pdf</t>
  </si>
  <si>
    <t>2025-12-12 08:41:44</t>
  </si>
  <si>
    <t>https://storage.googleapis.com/deytha-prod/payments/lWhqWBJLany7VdXoc0UtPSZourDYL6avWUVx062q.pdf</t>
  </si>
  <si>
    <t>https://storage.googleapis.com/deytha-prod/payments/4NGpDbMVORclp5Z2RV6MDC6htD0oMTpKa2Xk2tnU.pdf</t>
  </si>
  <si>
    <t>2025-12-05 16:14:25</t>
  </si>
  <si>
    <t>2025-12-06 13:47:55</t>
  </si>
  <si>
    <t>2025-12-06 16:14:19</t>
  </si>
  <si>
    <t>MATERIAL ELECTRICO 
FERRETERIA 
REQ # 39 ELECTRICO</t>
  </si>
  <si>
    <t>2025-12-11 19:34:00</t>
  </si>
  <si>
    <t>https://storage.googleapis.com/deytha-prod/rqf/31934068-006d-4c2c-987c-bdf139954038_COT - REQ 39 ELECTRICO MATERIAL ELECTRICO.pdf</t>
  </si>
  <si>
    <t>https://storage.googleapis.com/deytha-prod/bcp_pdfs/shared/1765499728_BCP_HTML.pdf</t>
  </si>
  <si>
    <t>https://storage.googleapis.com/deytha-prod/rqf/39235/a291559a-d276-407f-b707-86baf3a058a3_39235 - F001-466  - MATERIAL ELECTRICO REQ 40.pdf</t>
  </si>
  <si>
    <t>2025-12-05 16:31:05</t>
  </si>
  <si>
    <t>2025-12-06 16:30:20</t>
  </si>
  <si>
    <t>MANGA TERMOCONTRAIBLE DE 25MM 
REQ # 36 - ELECTRICO</t>
  </si>
  <si>
    <t>2025-12-10 19:03:00</t>
  </si>
  <si>
    <t>https://storage.googleapis.com/deytha-prod/rqf/378eb657-cd32-467c-984a-b3c4ac4491c0_COT - MANGA TERMOCONTRAIBLE LIBRE N 25MM - REQ 36 ELECTRICO.pdf</t>
  </si>
  <si>
    <t>https://storage.googleapis.com/deytha-prod/bcp_pdfs/shared/1765411468_BCP_HTML.pdf</t>
  </si>
  <si>
    <t>https://storage.googleapis.com/deytha-prod/rqf/39245/04927f2f-4738-4f12-a1a2-bacc9490f377_39245 - F001-22906 - MANGA TERMOCONTRAIBLE DE 25 MM.pdf</t>
  </si>
  <si>
    <t>2025-12-05 16:56:39</t>
  </si>
  <si>
    <t>2025-12-06 16:55:59</t>
  </si>
  <si>
    <t xml:space="preserve">EPPS PARA PERSONAL NUEVO 
REQ SSOMA # 35 
REQ ADMINITRATIVO # 08 </t>
  </si>
  <si>
    <t>2025-12-17 17:33:00</t>
  </si>
  <si>
    <t>https://storage.googleapis.com/deytha-prod/rqf/6e8d47e3-2882-495f-b52e-354c9f060bce_COT - EPPS Y PERSONAL  NUEVO REQ SSOMA.pdf</t>
  </si>
  <si>
    <t>https://storage.googleapis.com/deytha-prod/bcp_pdfs/shared/1766010809_BCP_HTML.pdf</t>
  </si>
  <si>
    <t>https://storage.googleapis.com/deytha-prod/rqf/39249/d8093267-f87f-4ed0-9265-e20ad0069fdf_39249 - E001-15300 - EPPS Y MATERIALES VARIOS FEMASUR.pdf</t>
  </si>
  <si>
    <t>2025-12-05 17:59:03</t>
  </si>
  <si>
    <t>2025-12-06 17:54:38</t>
  </si>
  <si>
    <t>MATERIALES MECANICOS 
HERRAMIENTAS 
REQ 
#21 MECANCO 
# 13 MCANICO 
# 23 MECANICO</t>
  </si>
  <si>
    <t>2025-12-12 15:33:00</t>
  </si>
  <si>
    <t>https://storage.googleapis.com/deytha-prod/rqf/bbc8d515-558e-4b48-81b4-d1246220483a_COT - MATERIAL EMCANICO REQ VARIOS.pdf</t>
  </si>
  <si>
    <t>https://storage.googleapis.com/deytha-prod/bcp_pdfs/shared/1765571669_BCP_HTML.pdf</t>
  </si>
  <si>
    <t>https://storage.googleapis.com/deytha-prod/rqf/39261/2d00e16c-1c18-4e6e-b4a2-344ace34f78b_39261 - F007-9128 - MATERIALES VARIOS FEMAVI.pdf</t>
  </si>
  <si>
    <t>2025-12-05 18:37:18</t>
  </si>
  <si>
    <t>245-73196352-0-34</t>
  </si>
  <si>
    <t>2025-12-11 15:02:00</t>
  </si>
  <si>
    <t>https://storage.googleapis.com/deytha-prod/worker/settle/uhtJvSmAAsIFmNm67J7vL3tc4RTnMMOQS3NixplZ.pdf</t>
  </si>
  <si>
    <t>https://storage.googleapis.com/deytha-prod/bcp_pdfs/shared/1765483409_BCP_HTML.pdf</t>
  </si>
  <si>
    <t>2025-12-05 12:18:02</t>
  </si>
  <si>
    <t>2025-12-05 18:31:41</t>
  </si>
  <si>
    <t>2025-11-21 12:16:15</t>
  </si>
  <si>
    <t>PAGO DISTRIBUIDO</t>
  </si>
  <si>
    <t>SEM27Y28-REM NETAS-PY28-DEYFOR-RCC</t>
  </si>
  <si>
    <t>2025-12-05 17:29:00</t>
  </si>
  <si>
    <t>https://storage.googleapis.com/deytha-prod/rqf/914ab3cf-291d-41db-a0be-2c573a45a9b9_Sem27y28_03.11-16_11_2025_REM NETAS_DEYFOR_PY028-RCC.pdf</t>
  </si>
  <si>
    <t>https://storage.googleapis.com/deytha-prod/rqf/payments/41a36684-f658-44a7-aa22-a235ec4932af_39205.pdf</t>
  </si>
  <si>
    <t>2025-12-05 16:19:12</t>
  </si>
  <si>
    <t>2025-12-05 16:37:12</t>
  </si>
  <si>
    <t>2025-12-06 16:18:40</t>
  </si>
  <si>
    <t>Alquiler mes de noviembre del 01/11/2025 al 30/11/2025, comprobante con recibo por honorarios por parte de ZUÑIGA QUISPE LESLIE CAROLINA, deposito al dueño Edwin Guerra</t>
  </si>
  <si>
    <t>2026-02-04 19:41:00</t>
  </si>
  <si>
    <t>https://storage.googleapis.com/deytha-prod/payments/7JsmsOMIhr6TaQ2CJJfERhIlkuA0bSZC6r8YFCCR.pdf</t>
  </si>
  <si>
    <t>https://storage.googleapis.com/deytha-prod/rqf/payments/158ff827-80c5-43b3-b9e1-1f0c9bbb53a6_39237.pdf</t>
  </si>
  <si>
    <t>https://storage.googleapis.com/deytha-prod/supplierBills/jBVS8ZbFBlywhAoz3Gm9TfVEJS2UjjqmRNiL3u3I.pdf</t>
  </si>
  <si>
    <t>2025-12-05 16:26:31</t>
  </si>
  <si>
    <t>2025-12-06 16:26:28</t>
  </si>
  <si>
    <t>SELLO PARA LA AREA ACLAIDAD 
FORMATOS IPERC SSOMA 
FORMMATO PARTE DIARIO 
REQ 
# 25 MECANICO 
# 16 CALIDAD
# 36 SSOMA</t>
  </si>
  <si>
    <t>2025-12-12 15:41:00</t>
  </si>
  <si>
    <t>https://storage.googleapis.com/deytha-prod/rqf/e29a3e06-8547-4956-ac71-564851bd4348_COT - SELLOS Y FORMATOS.pdf</t>
  </si>
  <si>
    <t>https://storage.googleapis.com/deytha-prod/bcp_pdfs/shared/1765572149_BCP_HTML.pdf</t>
  </si>
  <si>
    <t>https://storage.googleapis.com/deytha-prod/rqf/39244/dc11514c-4a11-43d2-b8cf-3cb47499cdf4_39244 - F001-8439 - SELOOS Y FORMATOS AREA SSOMA.pdf</t>
  </si>
  <si>
    <t>2025-12-04 17:03:46</t>
  </si>
  <si>
    <t>2025-12-05 16:10:17</t>
  </si>
  <si>
    <t>2025-12-05 17:03:42</t>
  </si>
  <si>
    <t>CIME PERU S.A.C.</t>
  </si>
  <si>
    <t>200-3005767013</t>
  </si>
  <si>
    <t xml:space="preserve">PARA CAPACITACIÓN Y CERTIFICACIÓN DE 04 OPERADORES DE EQUIPO RETROEXCAVADORA
</t>
  </si>
  <si>
    <t>2025-12-10 16:46:00</t>
  </si>
  <si>
    <t>https://storage.googleapis.com/deytha-prod/payments/MEaaZQKJ3kTRZvz3tkZEH7FOPQS8FFqdqHfI1m4g.pdf</t>
  </si>
  <si>
    <t>https://storage.googleapis.com/deytha-prod/rqf/payments/07f04d63-c397-420d-b8a7-675d679ba0b3_Proveedores_Detalle_10122025.pdf</t>
  </si>
  <si>
    <t>https://storage.googleapis.com/deytha-prod/rqf/39119/03584cfe-c655-4381-8e12-a8063454f033_2. PDF-DOC-E001-3220608026968.pdf</t>
  </si>
  <si>
    <t>2025-12-05 15:01:14</t>
  </si>
  <si>
    <t>2025-12-05 15:30:44</t>
  </si>
  <si>
    <t>2025-12-06 15:01:04</t>
  </si>
  <si>
    <t xml:space="preserve">CERTIFICACIÓN DE 01 INSPECTOR NIVEL II, VT Y PT. </t>
  </si>
  <si>
    <t>https://storage.googleapis.com/deytha-prod/payments/MTDpyUT1IfiUVfQqiAOoCMJcoXiq8YewxnVPrgKD.pdf</t>
  </si>
  <si>
    <t>https://storage.googleapis.com/deytha-prod/rqf/payments/2cca432f-21ac-4ed1-8330-5dafa1b92299_Proveedores_Detalle_10122025.pdf</t>
  </si>
  <si>
    <t>https://storage.googleapis.com/deytha-prod/rqf/39227/19b44fbf-5f34-434c-9ecb-b7a85223f2e0_1. PDF-DOC-E001-3320608026968.pdf</t>
  </si>
  <si>
    <t>USD INTERBANK DOLARES 767-3005548738</t>
  </si>
  <si>
    <t>2025-12-05 15:10:25</t>
  </si>
  <si>
    <t>2025-12-06 15:10:17</t>
  </si>
  <si>
    <t>INGENIEROS ELECTROMECANICOS S.A.</t>
  </si>
  <si>
    <t>SCOTIABANK DOLARES</t>
  </si>
  <si>
    <t xml:space="preserve">000-3234976 </t>
  </si>
  <si>
    <t xml:space="preserve"> 1.- Tratamiento de aceite de transformador de Potencia. 2.- Pruebas eléctricas a transformadores según apliquen. de acuerdo a cotización adjunta.
</t>
  </si>
  <si>
    <t>2026-01-19 15:55:00</t>
  </si>
  <si>
    <t>https://storage.googleapis.com/deytha-prod/payments/427wUuk1Kb6ZHyM2iIOf161hFJfdWJRri7G0Lj1B.pdf</t>
  </si>
  <si>
    <t>https://storage.googleapis.com/deytha-prod/rqf/payments/fb4f9b4c-c931-401a-8023-ff11118ea9c3_Scotiabank_2026-01-19 355PM_39229.pdf</t>
  </si>
  <si>
    <t>https://storage.googleapis.com/deytha-prod/rqf/39229/a397846e-5365-4186-8cc2-9414dab9e9d3_PDF-DOC-E001-290620282818036.pdf</t>
  </si>
  <si>
    <t>2025-12-05 14:13:26</t>
  </si>
  <si>
    <t>2025-12-05 14:31:56</t>
  </si>
  <si>
    <t>2025-12-06 14:13:12</t>
  </si>
  <si>
    <t xml:space="preserve">193-0652795-0-87 </t>
  </si>
  <si>
    <t>MANTTO CAMIONETA CEB-791 (2 COTIZACIONES)</t>
  </si>
  <si>
    <t>2025-12-05 14:52:00</t>
  </si>
  <si>
    <t>https://storage.googleapis.com/deytha-prod/rqf/b15b39a5-3cea-4302-b194-cd56e9b60783_CTZ_SERVICIOS_Z340-77909[1].pdf</t>
  </si>
  <si>
    <t>https://storage.googleapis.com/deytha-prod/bcp_pdfs/shared/1764964348_BCP_HTML.pdf</t>
  </si>
  <si>
    <t>https://storage.googleapis.com/deytha-prod/rqf/39224/0e8d4e89-4496-47a5-94ff-4b75b537a9bb_20100144922-01-F089-00005674.pdf</t>
  </si>
  <si>
    <t>2025-12-04 15:54:19</t>
  </si>
  <si>
    <t>2025-12-05 12:13:55</t>
  </si>
  <si>
    <t>2025-12-05 15:54:01</t>
  </si>
  <si>
    <t>VALORIZACION VOLQUETE MES DE OCTUBRE MARCA SHACMAN MODELO PLACA BHL-87</t>
  </si>
  <si>
    <t>https://storage.googleapis.com/deytha-prod/payments/43RxzR2d0XCWJvx96SV5YG0mj6KGa3WdEiWBgtvj.pdf</t>
  </si>
  <si>
    <t>2025-12-04 16:04:33</t>
  </si>
  <si>
    <t>2025-12-05 16:03:35</t>
  </si>
  <si>
    <t xml:space="preserve">SERVICIO DE ALQUILER DE CAMION BARANDA PLACA: Z7F-746 POR 29 DIAS TRABAJADO MES DE NOVIEMBRE.
</t>
  </si>
  <si>
    <t>https://storage.googleapis.com/deytha-prod/payments/DjuyDHscnqKsRtcMBvevHJ9zQaa6FKSjkSVrPFMv.pdf</t>
  </si>
  <si>
    <t>https://storage.googleapis.com/deytha-prod/supplierBills/HpwhpQW7FuZtSYHR3jFuSQdsNMi1Q5h8D4hnEIjr.pdf</t>
  </si>
  <si>
    <t>2025-12-04 16:31:16</t>
  </si>
  <si>
    <t>2025-12-05 16:31:13</t>
  </si>
  <si>
    <t xml:space="preserve">ALQUILER DE ALMACEN - OFICINA LOGISTICA DEL 23/07 AL 22/10 </t>
  </si>
  <si>
    <t>https://storage.googleapis.com/deytha-prod/payments/BP6G8GqSfdGNQAZfbnqUMsLcsis2iqRqMs4xOVzb.pdf</t>
  </si>
  <si>
    <t>https://storage.googleapis.com/deytha-prod/supplierBills/xF3KutRgUt8frmzi739iePzkQ12MtpeAiQlR2umv.pdf</t>
  </si>
  <si>
    <t>2025-12-04 12:34:01</t>
  </si>
  <si>
    <t>2025-12-05 11:34:11</t>
  </si>
  <si>
    <t>2025-12-05 12:31:22</t>
  </si>
  <si>
    <t>BONO MES DE NOVIEMBRE</t>
  </si>
  <si>
    <t>2026-02-26 10:56:00</t>
  </si>
  <si>
    <t>https://storage.googleapis.com/deytha-prod/rqf/474795e6-215b-4298-91fe-07bd125e49aa_Captura de pantalla 2025-12-04 123054.png</t>
  </si>
  <si>
    <t>https://storage.googleapis.com/deytha-prod/bcp_pdfs/shared/1772121451_BCP_HTML.pdf</t>
  </si>
  <si>
    <t>https://storage.googleapis.com/deytha-prod/rqf/657e83a5-f3bf-4cdc-a23a-6892b364f686_BONO IVONNE HUANCA firmado.pdf</t>
  </si>
  <si>
    <t>2025-12-04 15:27:34</t>
  </si>
  <si>
    <t>2025-12-05 15:27:30</t>
  </si>
  <si>
    <t>ALIMENTACION SEMANA 29 Y 30 DEL 16/11/2025 AL 29/11/2025</t>
  </si>
  <si>
    <t>2025-12-15 20:07:00</t>
  </si>
  <si>
    <t>https://storage.googleapis.com/deytha-prod/rqf/3da64434-b8e8-42c5-aad6-0c48974b05d4_Untitled1.pdf</t>
  </si>
  <si>
    <t>https://storage.googleapis.com/deytha-prod/bcp_pdfs/shared/1765847309_BCP_HTML.pdf</t>
  </si>
  <si>
    <t>https://storage.googleapis.com/deytha-prod/rqf/39101/a7a1f9b0-c502-41a0-bce1-91716217f57b_Captura de pantalla 2025-12-19 093858.png</t>
  </si>
  <si>
    <t>2025-12-04 15:40:32</t>
  </si>
  <si>
    <t>2025-12-08 15:38:46</t>
  </si>
  <si>
    <t>SERV. ALQ. BAÑO EJECUTIVO C/LAVAMANOS UND 2.00 // SERV. ALQ. LAVAMANOS MULTIPLE SUPERTWIN UND 1.00.</t>
  </si>
  <si>
    <t>2025-12-11 11:32:00</t>
  </si>
  <si>
    <t>https://storage.googleapis.com/deytha-prod/payments/W0TRNACIck2NRMnN19gQUiyUd5JAE54kivqqFPNc.pdf</t>
  </si>
  <si>
    <t>https://storage.googleapis.com/deytha-prod/bcp_pdfs/shared/1765470809_BCP_HTML.pdf</t>
  </si>
  <si>
    <t>https://storage.googleapis.com/deytha-prod/rqf/39102/c1210d8d-24fb-4e5f-b7a3-5f2a93de35b2_20507850091-01-F035-10823 3300.pdf</t>
  </si>
  <si>
    <t>2025-12-04 15:42:01</t>
  </si>
  <si>
    <t>2025-12-23 15:41:53</t>
  </si>
  <si>
    <t>SERV. ALQ. BAÑO EJECUTIVO C/LAVAMANOS UND 1 // SERV. ALQ. LAVAMANOS MULTIPLE SUPERTWIN UND 1</t>
  </si>
  <si>
    <t>2025-12-22 15:11:00</t>
  </si>
  <si>
    <t>https://storage.googleapis.com/deytha-prod/payments/BvtgvB8ty3CB9ibVLeEjjwJdfhfwj7436GRXWYe0.pdf</t>
  </si>
  <si>
    <t>https://storage.googleapis.com/deytha-prod/rqf/payments/14a75830-59ed-46db-b4ba-8f06171eeac6_39103.PNG</t>
  </si>
  <si>
    <t>https://storage.googleapis.com/deytha-prod/rqf/39103/397aeebf-48c8-4318-9e4e-1d3e759ebae8_20507850091-01-F035-10835 2100.pdf</t>
  </si>
  <si>
    <t>2025-12-04 15:43:01</t>
  </si>
  <si>
    <t>2025-12-23 15:42:59</t>
  </si>
  <si>
    <t>SERV. ALQ. BAÑO EJECUTIVO C/LAVAMANOS D2 (DAMA) 23/11/2025 - 22/12/2025</t>
  </si>
  <si>
    <t>https://storage.googleapis.com/deytha-prod/payments/jUJzAyQP3efy9xxVYaaIbVZgpEOvN0r8ltxW9rFp.pdf</t>
  </si>
  <si>
    <t>https://storage.googleapis.com/deytha-prod/rqf/payments/4482b029-2a33-4676-b20e-fb797ef2850a_39104.PNG</t>
  </si>
  <si>
    <t>https://storage.googleapis.com/deytha-prod/rqf/39104/1e63a4a7-4bd9-4fef-a839-037c036e0d9a_20507850091-01-F035-10821 1416.pdf</t>
  </si>
  <si>
    <t>2025-12-04 15:44:01</t>
  </si>
  <si>
    <t>2025-12-30 15:43:57</t>
  </si>
  <si>
    <t xml:space="preserve">SERV. ALQ. BAÑO EJECUTIVO C/LAVAMANOS A3 (DAMA) 30/11/2025 - 30/12/2025
</t>
  </si>
  <si>
    <t>2026-01-15 19:06:00</t>
  </si>
  <si>
    <t>https://storage.googleapis.com/deytha-prod/payments/cqdaStTwv8uCZmRqWMGu6pYN9Pa2RPAbKQ0jiIuM.pdf</t>
  </si>
  <si>
    <t>https://storage.googleapis.com/deytha-prod/bcp_pdfs/shared/1768522049_BCP_HTML.pdf</t>
  </si>
  <si>
    <t>https://storage.googleapis.com/deytha-prod/rqf/39105/ca0941f7-57c0-488b-a1db-8ed1b25fee99_20507850091-01-F035-10834 1200.pdf</t>
  </si>
  <si>
    <t>2025-12-04 20:14:26</t>
  </si>
  <si>
    <t>2025-12-04 20:14:25</t>
  </si>
  <si>
    <t xml:space="preserve">ZANGA  CASTRO LUIS BELTRAN </t>
  </si>
  <si>
    <t>430-08941441-0-71</t>
  </si>
  <si>
    <t>https://storage.googleapis.com/deytha-prod/worker/settle/yr0n1et3y7OrzmZONwszfVkOAfSMpCSzrmMhrOLx.pdf</t>
  </si>
  <si>
    <t>2025-12-04 15:15:45</t>
  </si>
  <si>
    <t>2025-12-04 15:26:38</t>
  </si>
  <si>
    <t>2025-12-05 15:14:51</t>
  </si>
  <si>
    <t>METALMARK S.A.</t>
  </si>
  <si>
    <t>215-2334172-0-11 AREQUIPA</t>
  </si>
  <si>
    <t xml:space="preserve">TUBOS DE ACERO  1 1/2 </t>
  </si>
  <si>
    <t>2025-12-04 16:09:00</t>
  </si>
  <si>
    <t>https://storage.googleapis.com/deytha-prod/rqf/7db7e266-7fea-4af1-ac9d-c5be377f54c6_COT - TUBOS ACEROS 1.5 - AREQUIPA REQ MECANICO .jpeg</t>
  </si>
  <si>
    <t>https://storage.googleapis.com/deytha-prod/bcp_pdfs/shared/1764882569_BCP_HTML.pdf</t>
  </si>
  <si>
    <t>https://storage.googleapis.com/deytha-prod/rqf/39100/6d8e6e62-16d1-41a3-9c9f-f55c345ebb17_39100 - F006-00042656 - TUBOS DE 1.5 PULGADA.pdf</t>
  </si>
  <si>
    <t>2025-12-03 12:20:15</t>
  </si>
  <si>
    <t>2025-12-03 18:55:50</t>
  </si>
  <si>
    <t>2025-12-04 12:20:06</t>
  </si>
  <si>
    <t xml:space="preserve">DOSIS PACH X 25KG
REQ ELECTRICO # 36 
</t>
  </si>
  <si>
    <t>2025-12-10 19:58:00</t>
  </si>
  <si>
    <t>https://storage.googleapis.com/deytha-prod/rqf/538c6566-0942-43b0-a50f-7f70fe2d372d_COT - DOSIS PACH X 25KG REQ ELECTRICO 36.pdf</t>
  </si>
  <si>
    <t>https://storage.googleapis.com/deytha-prod/bcp_pdfs/shared/1765414768_BCP_HTML.pdf</t>
  </si>
  <si>
    <t>https://storage.googleapis.com/deytha-prod/rqf/38920/afdc34ea-db4c-4398-82de-83b59cd7d5a2_38920 - FQQ1-536 - DOSIS PACH X 25KG.pdf</t>
  </si>
  <si>
    <t>2025-12-03 15:25:01</t>
  </si>
  <si>
    <t>2025-12-04 15:25:00</t>
  </si>
  <si>
    <t>Alimentación mes de septiembre Moquegua</t>
  </si>
  <si>
    <t>2026-02-25 17:24:00</t>
  </si>
  <si>
    <t>https://storage.googleapis.com/deytha-prod/rqf/payments/76e2128e-f560-482f-8a5b-4bd7b8170b1b_BBVA_2026-02-25 524PM_38934.pdf</t>
  </si>
  <si>
    <t>https://storage.googleapis.com/deytha-prod/supplierBills/9WdSOcHQY9KO18OdoINAtHiYlYhG2xZFlzG2UEG2.pdf</t>
  </si>
  <si>
    <t>2025-12-03 15:53:11</t>
  </si>
  <si>
    <t>2025-12-04 15:53:02</t>
  </si>
  <si>
    <t>Alimentación mes de octubre Moquegua</t>
  </si>
  <si>
    <t>2025-12-19 21:38:00</t>
  </si>
  <si>
    <t>https://storage.googleapis.com/deytha-prod/payments/5T1ddnoZcK4tJPq5WJZeZpEPkdv7yVwZcBv87q7h.pdf</t>
  </si>
  <si>
    <t>https://storage.googleapis.com/deytha-prod/rqf/payments/5a7a2d12-947e-4239-bcae-b5eecccc39c0_BBVA_2025-12-19 938PM_38944.pdf</t>
  </si>
  <si>
    <t>https://storage.googleapis.com/deytha-prod/supplierBills/M0U4MkbyHPcYxQrebfeynqpFovu6nLAX0eF50ywD.pdf</t>
  </si>
  <si>
    <t>2025-12-03 16:08:08</t>
  </si>
  <si>
    <t>2025-12-04 16:07:49</t>
  </si>
  <si>
    <t>Alojamiento en el mes de octubre Moquegua.</t>
  </si>
  <si>
    <t>2026-02-24 19:21:00</t>
  </si>
  <si>
    <t>https://storage.googleapis.com/deytha-prod/payments/GPWiq6LewFf4muLeecDLkBfIDiCFdCrqLzgB7iih.pdf</t>
  </si>
  <si>
    <t>https://storage.googleapis.com/deytha-prod/bcp_pdfs/shared/1771978951_BCP_HTML.pdf</t>
  </si>
  <si>
    <t>https://storage.googleapis.com/deytha-prod/supplierBills/D7wQnMUQDNuQlxinjOAu188HazQzhqTCX5R22fu5.pdf</t>
  </si>
  <si>
    <t>2025-12-03 16:20:36</t>
  </si>
  <si>
    <t>2025-12-04 16:20:03</t>
  </si>
  <si>
    <t>ALQUIER DE 5 TIPOS DE CONTENEDORES 05/11/2025 AL 06/12/2025.</t>
  </si>
  <si>
    <t>2026-01-06 12:35:00</t>
  </si>
  <si>
    <t>https://storage.googleapis.com/deytha-prod/payments/hVxbhdzoJoViblGerzIkZZJuPsRSW4jlRSEDPtOl.pdf</t>
  </si>
  <si>
    <t>https://storage.googleapis.com/deytha-prod/rqf/payments/21da960c-8f3b-4c1b-b888-dd99070e2b07_Scotiabank_2025-01-06 1235PM_38948.pdf</t>
  </si>
  <si>
    <t>https://storage.googleapis.com/deytha-prod/rqf/38948/08bc742c-2c27-435f-a4dd-98393679eca5_PDF-DOC-E001-203 - DEYFOR-21186 (3300).pdf</t>
  </si>
  <si>
    <t>2025-12-03 16:33:50</t>
  </si>
  <si>
    <t>2025-12-04 16:33:47</t>
  </si>
  <si>
    <t>COMPRA DE ARENA GRUESA POR 15M3</t>
  </si>
  <si>
    <t>2025-12-17 15:59:00</t>
  </si>
  <si>
    <t>https://storage.googleapis.com/deytha-prod/rqf/d418e430-2cc2-4c24-8d87-2fdbf5c92558_32.- ORDEN DE COMPRA JHON MARON A3 Arena gruesa.pdf</t>
  </si>
  <si>
    <t>https://storage.googleapis.com/deytha-prod/bcp_pdfs/shared/1766005168_BCP_HTML.pdf</t>
  </si>
  <si>
    <t>https://storage.googleapis.com/deytha-prod/rqf/38950/9a807993-4d5e-4b8c-9a05-1bfe6c71b2ba_ARENA GRUESA.pdf</t>
  </si>
  <si>
    <t>2025-12-03 17:18:35</t>
  </si>
  <si>
    <t>2025-12-04 17:18:28</t>
  </si>
  <si>
    <t>ALOJAMIENTO MES DE SEPTIEMBRE, MOQUEGUA</t>
  </si>
  <si>
    <t>https://storage.googleapis.com/deytha-prod/payments/zFUBtTd3tIg64IHe9a2I0GJeRdyLJrl9a0fYndMB.pdf</t>
  </si>
  <si>
    <t>https://storage.googleapis.com/deytha-prod/bcp_pdfs/shared/1769212818_BCP_HTML.pdf</t>
  </si>
  <si>
    <t>https://storage.googleapis.com/deytha-prod/supplierBills/8f1lZcmJJDHzDj3bSSYH5f6Yt6VOIFIbGGf2ungZ.pdf</t>
  </si>
  <si>
    <t>2025-12-03 17:36:38</t>
  </si>
  <si>
    <t>2025-12-04 17:36:27</t>
  </si>
  <si>
    <t>ALQUIER DE UNIDAD VAN Z5S236 MES DE NOVIEMBRE</t>
  </si>
  <si>
    <t>https://storage.googleapis.com/deytha-prod/payments/V0YiduBDZdTreUvQl6XpgjugiHEUSR0Bv1Z8f6Ou.pdf</t>
  </si>
  <si>
    <t>2025-12-03 17:49:04</t>
  </si>
  <si>
    <t>2025-12-04 17:48:50</t>
  </si>
  <si>
    <t>ALQUILER DE UNIDAD MES DE NOVIEMBRE PLACA Z7A598</t>
  </si>
  <si>
    <t>https://storage.googleapis.com/deytha-prod/payments/ql79vzs4B9utlcYfkgR2pwq1RQoXEsG98Jbo7ZoJ.pdf</t>
  </si>
  <si>
    <t>2025-12-03 18:33:39</t>
  </si>
  <si>
    <t>2025-12-04 18:33:19</t>
  </si>
  <si>
    <t>BEJAR SALDAÑA LUIS BENITO</t>
  </si>
  <si>
    <t>00219419346478707391</t>
  </si>
  <si>
    <t>VALORIZACION DEL MES DE OCTUBRE DE LA CAMIONETA M8P832 DEL 08/10/2025 AL 31/10/2025.</t>
  </si>
  <si>
    <t>2026-01-12 19:51:00</t>
  </si>
  <si>
    <t>https://storage.googleapis.com/deytha-prod/payments/midQ976nE006sZtODWwDeoeqzEyi7iXNQUhMiOhF.pdf</t>
  </si>
  <si>
    <t>https://storage.googleapis.com/deytha-prod/bcp_pdfs/shared/1768265550_BCP_HTML.pdf</t>
  </si>
  <si>
    <t>https://storage.googleapis.com/deytha-prod/supplierBills/v6lAv826TfWaQXBvra4Jn9rs3cIywOzDpSRZRSVt.pdf</t>
  </si>
  <si>
    <t>2025-12-03 11:20:52</t>
  </si>
  <si>
    <t>2025-12-03 17:10:09</t>
  </si>
  <si>
    <t>2025-12-04 11:20:50</t>
  </si>
  <si>
    <t>ALQUILER DE CONTENEDOR TIPO ALMACEN DESDE EL 17/11/2025 AL 16/12/2025</t>
  </si>
  <si>
    <t>https://storage.googleapis.com/deytha-prod/payments/YOAIi4skaLQOPT22JDyuzZkXEd0TAnxFrYZz17vm.pdf</t>
  </si>
  <si>
    <t>https://storage.googleapis.com/deytha-prod/rqf/payments/b77a919c-7fc3-46ee-b538-1e75ce877f56_Scotiabank_2025-01-06 1235PM_38898.pdf</t>
  </si>
  <si>
    <t>https://storage.googleapis.com/deytha-prod/rqf/38898/04a290d7-f19c-41e0-983d-e898081c4e9c_PDF-DOC-E001-202 - DEYFOR-21186 17-16.pdf</t>
  </si>
  <si>
    <t>2025-12-03 11:21:30</t>
  </si>
  <si>
    <t>2025-12-04 11:21:18</t>
  </si>
  <si>
    <t>ALQUILER DE CONTENEDOR TIPO OFICINA DESDE EL 01/11/2025 AL 30/11/2025</t>
  </si>
  <si>
    <t>https://storage.googleapis.com/deytha-prod/payments/Tt8iS8MDRMhVgdpOjg7fW6P4wj9z9OrKFMDxzxsk.pdf</t>
  </si>
  <si>
    <t>https://storage.googleapis.com/deytha-prod/rqf/payments/0848597c-350e-4aff-b076-3844a6b8332d_Scotiabank_2025-01-06 1235PM_38899.pdf</t>
  </si>
  <si>
    <t>https://storage.googleapis.com/deytha-prod/rqf/38899/f0b82e98-480a-4e6c-87e6-2edd8cba1dd9_PDF-DOC-E001-201 - DEYFOR-18409 944.pdf</t>
  </si>
  <si>
    <t>2025-12-03 11:22:22</t>
  </si>
  <si>
    <t>2025-12-13 11:22:18</t>
  </si>
  <si>
    <t>CONTENEDOR PARA COMEDOR, INSTALACION 13/12/2025 A 12/01/2025, PARA BASE A3</t>
  </si>
  <si>
    <t>https://storage.googleapis.com/deytha-prod/payments/jbK4Qvb4U82dDc1RNxH9u57sq9Rhu4boFooIWJEC.pdf</t>
  </si>
  <si>
    <t>https://storage.googleapis.com/deytha-prod/rqf/payments/7ed5b531-8cbe-418b-9439-f107230ccc22_Scotiabank_2025-01-06 1235PM_38900.pdf</t>
  </si>
  <si>
    <t>https://storage.googleapis.com/deytha-prod/rqf/38900/aa0436d9-c74b-437a-a6e8-6e7f1dd86ee2_PDF-DOC-E001-200 - DEYFOR-FO-LO-30550 590.pdf</t>
  </si>
  <si>
    <t>2025-12-03 11:44:55</t>
  </si>
  <si>
    <t>2025-12-04 11:44:50</t>
  </si>
  <si>
    <t xml:space="preserve">ALQUILER DE RODILLO STORIKE DE 1.5 TONELADAS MAQUINA
SECA SIN OPERAR (SERVICIO DEL DIA LUNES 17 AL
22 DE NOVIEMBRE)(24,26 y 27 DE NOVIEMBRE) 
TOTAL 9 DIAS </t>
  </si>
  <si>
    <t>2025-12-10 19:07:00</t>
  </si>
  <si>
    <t>https://storage.googleapis.com/deytha-prod/payments/YFF2hUimT4wtiO4JWJ5qrdGIb1Vm2zMTmykJgBEM.pdf</t>
  </si>
  <si>
    <t>https://storage.googleapis.com/deytha-prod/bcp_pdfs/shared/1765411708_BCP_HTML.pdf</t>
  </si>
  <si>
    <t>https://storage.googleapis.com/deytha-prod/rqf/38902/d4c19cf8-ba06-4521-a833-15d10c47447d_38902 - E001-21 - ALQUILER DE RODILLO.pdf</t>
  </si>
  <si>
    <t>2025-12-03 11:48:26</t>
  </si>
  <si>
    <t>2025-12-04 11:46:52</t>
  </si>
  <si>
    <t>CAJA CHICA # 15</t>
  </si>
  <si>
    <t>2025-12-12 13:35:00</t>
  </si>
  <si>
    <t>https://storage.googleapis.com/deytha-prod/bcp_pdfs/shared/1765564529_BCP_HTML.pdf</t>
  </si>
  <si>
    <t>2025-12-03 12:01:08</t>
  </si>
  <si>
    <t>2025-12-04 12:01:06</t>
  </si>
  <si>
    <t>TRES CUMBRES CONTRATISTAS GENERALES E.I.R.L.</t>
  </si>
  <si>
    <t>540-2057507042</t>
  </si>
  <si>
    <t xml:space="preserve">ALQUILER TARIFA MES AMBULANCIA RURAL TIPO II PLACA EUF-560 MES SETIEMBRE (DEL 01/09/2025 AL 30/09/2025)
</t>
  </si>
  <si>
    <t>https://storage.googleapis.com/deytha-prod/payments/54HOWtUFHJJVLTkBehvywlC4ujgjy8nFUphEj4Vx.pdf</t>
  </si>
  <si>
    <t>2025-12-03 14:49:31</t>
  </si>
  <si>
    <t>2025-12-04 14:49:02</t>
  </si>
  <si>
    <t>MATERIAL ELECTRICO 
REQ # 36 ELECTRICO
REQ # 23 MECANICO</t>
  </si>
  <si>
    <t>2025-12-03 18:19:00</t>
  </si>
  <si>
    <t>https://storage.googleapis.com/deytha-prod/rqf/c5b47cb3-0ef3-4ea9-b0b9-77bf5e623046_COT - MATERIALES POZO TIERRA Y MAS REQ MECANICO Y SSOMA.pdf</t>
  </si>
  <si>
    <t>https://storage.googleapis.com/deytha-prod/bcp_pdfs/shared/1764804034_BCP_HTML.pdf</t>
  </si>
  <si>
    <t>https://storage.googleapis.com/deytha-prod/rqf/38928/a5ef024c-e192-42c8-b521-3a1c53607729_38928 - FQQ1-526 - MATERIALES VARIOS LOPEZ DIC.pdf</t>
  </si>
  <si>
    <t>2025-12-03 10:38:40</t>
  </si>
  <si>
    <t>2025-12-03 16:14:34</t>
  </si>
  <si>
    <t>2025-12-04 10:38:20</t>
  </si>
  <si>
    <t xml:space="preserve">POR SERVICIO DE ALQUILER DE CAMION GRUA DE 7 TN PLACA Z7Z-828 DEL 23/10/25 AL 21/11/25 </t>
  </si>
  <si>
    <t>2026-01-19 13:05:00</t>
  </si>
  <si>
    <t>https://storage.googleapis.com/deytha-prod/payments/KWS5WTHV8u8fHb1VTIT3FJFJwgtqxR3x5uoOQfOn.pdf</t>
  </si>
  <si>
    <t>https://storage.googleapis.com/deytha-prod/rqf/payments/a9482b85-3ba6-4a30-92f9-4c4dcd636e65_Scotiabank_2026-01-19 105PM_38887.pdf</t>
  </si>
  <si>
    <t>https://storage.googleapis.com/deytha-prod/supplierBills/yQOM6FGmc6joXYTVsSX59IkRoonBUxMLdVKgLtug.pdf</t>
  </si>
  <si>
    <t>2025-12-03 09:28:45</t>
  </si>
  <si>
    <t>2025-12-03 14:19:29</t>
  </si>
  <si>
    <t>2025-12-04 09:28:32</t>
  </si>
  <si>
    <t>REQ DE UTILES DE ESCRITORIO PARA DOSSIERES SSOMA Y CALIDAD 
REQ # 36 SSOMA 
REQ # 16 CALIDAD 
RE Q # 23 MECANICO</t>
  </si>
  <si>
    <t>2025-12-12 15:38:00</t>
  </si>
  <si>
    <t>https://storage.googleapis.com/deytha-prod/rqf/7fb77209-ff47-4eb9-8b0f-333d3222b919_COT - REQ DE UTILES DE ESCRITORIO - AREA SSOMA Y CALIDAD.pdf</t>
  </si>
  <si>
    <t>https://storage.googleapis.com/deytha-prod/bcp_pdfs/shared/1765571969_BCP_HTML.pdf</t>
  </si>
  <si>
    <t>https://storage.googleapis.com/deytha-prod/rqf/38865/58b081cc-415a-4782-97fd-a098fd15fd1a_38865 - F001-7277 - UTILES DE ESCRITORIO AREA SSOMA Y CALIDAD.pdf</t>
  </si>
  <si>
    <t>2025-12-03 10:58:56</t>
  </si>
  <si>
    <t>2025-12-04 10:57:32</t>
  </si>
  <si>
    <t>LLANTAS ROADCRUZA LT265/65R17 M/T RA3200 4 UND PARA LA UNIDAD CEB791</t>
  </si>
  <si>
    <t>2025-12-04 16:12:00</t>
  </si>
  <si>
    <t>https://storage.googleapis.com/deytha-prod/rqf/d81d8368-1922-4bf9-bff9-087894805454_COTIZACIOIN_ROADCRUZA_MT[1].pdf</t>
  </si>
  <si>
    <t>https://storage.googleapis.com/deytha-prod/bcp_pdfs/shared/1764882750_BCP_HTML.pdf</t>
  </si>
  <si>
    <t>https://storage.googleapis.com/deytha-prod/rqf/38892/83dc971e-082f-4a02-b9f6-18de26941440_PDF-DOC-E001-1820614979543.pdf</t>
  </si>
  <si>
    <t>2025-12-03 08:57:43</t>
  </si>
  <si>
    <t>2025-12-03 09:21:55</t>
  </si>
  <si>
    <t>2025-12-03 08:57:25</t>
  </si>
  <si>
    <t xml:space="preserve">PAGO DE EMO PARA HUALLPA MAMANI LUIS JAVIER
</t>
  </si>
  <si>
    <t>2025-12-03 16:11:00</t>
  </si>
  <si>
    <t>https://storage.googleapis.com/deytha-prod/rqf/843cc6b8-3f34-48e5-b69f-c375070b547a_val. 54-2025_deyfor HUALLPA MAMANI.xlsx</t>
  </si>
  <si>
    <t>https://storage.googleapis.com/deytha-prod/bcp_pdfs/shared/1764796349_BCP_HTML.pdf</t>
  </si>
  <si>
    <t>https://storage.googleapis.com/deytha-prod/rqf/38850/0ef2c3c3-989d-4220-be71-f5887b1dea7a_PDF-DOC-E001-68620606572922.pdf</t>
  </si>
  <si>
    <t>2025-12-02 16:02:03</t>
  </si>
  <si>
    <t>2025-12-02 13:45:00</t>
  </si>
  <si>
    <t>Pago RQF-D:405(1 / 2) | SERVICIO DE FABRICACIÓN DE PUERTAS CONTRAPLACADAS INOCAL</t>
  </si>
  <si>
    <t>2025-12-02 16:31:00</t>
  </si>
  <si>
    <t>https://storage.googleapis.com/deytha-prod/bcp_pdfs/shared/1764711149_BCP_HTML.pdf</t>
  </si>
  <si>
    <t>2025-12-02 10:26:50</t>
  </si>
  <si>
    <t>DEVOLUCION</t>
  </si>
  <si>
    <t>2025-12-02 10:31:15</t>
  </si>
  <si>
    <t>https://storage.googleapis.com/deytha-prod/payments/LS8xuwdZuWngJlkqLb18jyuEWLmzDN598iyYGGU7.jpg</t>
  </si>
  <si>
    <t>https://storage.googleapis.com/deytha-prod/payments/IW0dYumSM2ulIpfFF1IaPgNoULAITILz8Kgx9Tda.jpg</t>
  </si>
  <si>
    <t>2025-12-01 17:10:48</t>
  </si>
  <si>
    <t>PY-032</t>
  </si>
  <si>
    <t>KAROL JIMENA MELLADO RICRA</t>
  </si>
  <si>
    <t>2025-12-01 18:03:44</t>
  </si>
  <si>
    <t>2025-12-02 17:10:44</t>
  </si>
  <si>
    <t>2025-12-01 17:21:00</t>
  </si>
  <si>
    <t>https://storage.googleapis.com/deytha-prod/payments/ACoT8hAQQXoMZqxzveOtTGMZzHlbQl7gEM6cZipt.pdf</t>
  </si>
  <si>
    <t>https://storage.googleapis.com/deytha-prod/rqf/payments/757da0d7-aec5-4e50-a96d-f753c70198ce_38697.PNG</t>
  </si>
  <si>
    <t>2025-11-30 22:24:57</t>
  </si>
  <si>
    <t>2025-10-04 22:24:57</t>
  </si>
  <si>
    <t>SERVICIO DE RECOJO DE MESAS Y SILLAS EN PROMARTH HACIA SAMEGUA 
SE REALIZO EN UN AMOVIL MOTOCARGA</t>
  </si>
  <si>
    <t>2025-12-01 16:57:27</t>
  </si>
  <si>
    <t>https://storage.googleapis.com/deytha-prod/payments/9JuHC3ohxDQpcmLXHuSmHhj4xxxgIrFTKRsA1tIj.pdf</t>
  </si>
  <si>
    <t>https://storage.googleapis.com/deytha-prod/payments/CJAAksC4k5FhtuQ0KQLrRuFCO2fO2WSJurLBkBqd.pdf</t>
  </si>
  <si>
    <t>2025-11-30 22:13:58</t>
  </si>
  <si>
    <t>2025-10-23 22:13:58</t>
  </si>
  <si>
    <t>RECOJO DE DIFERENTES ENCOMIENDAS Y SE PAGO EN EFECTIVO</t>
  </si>
  <si>
    <t>2025-12-01 16:57:23</t>
  </si>
  <si>
    <t>https://storage.googleapis.com/deytha-prod/payments/QzRkLPjHrRVXYI5ECH8jpiBsrgvD3rS7zWlzX7U1.pdf</t>
  </si>
  <si>
    <t>https://storage.googleapis.com/deytha-prod/payments/MSkeIdo25x0LnUvKS4QyzccFD3H4Wgrq6KKCianb.pdf</t>
  </si>
  <si>
    <t>2025-11-30 22:13:51</t>
  </si>
  <si>
    <t>2025-10-07 22:13:51</t>
  </si>
  <si>
    <t>SERVICIO DE RECOJO DE PINTURA DE LURIN A LA VICTORIO 07-10-25 
TAXI EN LIMA</t>
  </si>
  <si>
    <t>2025-12-01 16:57:07</t>
  </si>
  <si>
    <t>https://storage.googleapis.com/deytha-prod/payments/k3JSbdhMIRzVNeE0JC5niSaQW4qAtGyuMCNcWfDO.pdf</t>
  </si>
  <si>
    <t>https://storage.googleapis.com/deytha-prod/payments/Y0YgRihvQD7uqwA3RN6zp0IJPJsL9Z3fRKFy3K06.pdf</t>
  </si>
  <si>
    <t>RECOJO DE ENCOMIENDA Y TAXI </t>
  </si>
  <si>
    <t>2025-12-01 16:57:20</t>
  </si>
  <si>
    <t>https://storage.googleapis.com/deytha-prod/payments/ut1XDI0jZouPA7U1miRpNUzsclvtXaRsCQZyfxec.pdf</t>
  </si>
  <si>
    <t>https://storage.googleapis.com/deytha-prod/payments/EyxS92MvdgezuZlWdGd1fyxZt46VquWu1NwbaX01.pdf</t>
  </si>
  <si>
    <t>2025-11-30 22:13:50</t>
  </si>
  <si>
    <t>2025-10-13 22:13:50</t>
  </si>
  <si>
    <t>2025-12-01 16:57:15</t>
  </si>
  <si>
    <t>https://storage.googleapis.com/deytha-prod/payments/EA5RJC9VhZldXGI7B6UGpyJtijRFmrLExa7MvVse.pdf</t>
  </si>
  <si>
    <t>https://storage.googleapis.com/deytha-prod/payments/u0fVraL2XYa6OITjJKvTIGKPEb7fnnevsUs7Q3jS.pdf</t>
  </si>
  <si>
    <t>2025-11-30 22:02:32</t>
  </si>
  <si>
    <t>2025-10-13 22:02:32</t>
  </si>
  <si>
    <t>RECOJO DE ENCOMIENDAS -</t>
  </si>
  <si>
    <t>2025-12-01 16:57:11</t>
  </si>
  <si>
    <t>https://storage.googleapis.com/deytha-prod/payments/ivNJpapSaXfBCzSQ1vOmxdezgCo8cjmxpC7P04mg.pdf</t>
  </si>
  <si>
    <t>https://storage.googleapis.com/deytha-prod/payments/iBOmeKN1ytWh77SHvceidmBddLaprJmktLUnSsLI.pdf</t>
  </si>
  <si>
    <t>2025-11-28 18:12:41</t>
  </si>
  <si>
    <t>2025-10-11 18:12:41</t>
  </si>
  <si>
    <t>RECOJO DE DIFERENTES ENCOMIENDAS Q SE PAGARON EN EFECTIVO</t>
  </si>
  <si>
    <t>2025-12-01 16:56:54</t>
  </si>
  <si>
    <t>https://storage.googleapis.com/deytha-prod/payments/ZAOeZxok01i4Izq9Hb8HfK4OD3HT1TjL2O4llrCx.pdf</t>
  </si>
  <si>
    <t>https://storage.googleapis.com/deytha-prod/payments/jaIXoHNYqzHxiOLnV1mQvuTgbwa8IqELj8RqOPhm.pdf</t>
  </si>
  <si>
    <t>2025-10-02 18:12:41</t>
  </si>
  <si>
    <t>COMPRA URGENTE DE UTILES DE ESCRITORIO</t>
  </si>
  <si>
    <t>2025-12-01 16:56:50</t>
  </si>
  <si>
    <t>https://storage.googleapis.com/deytha-prod/payments/2Ia6RkEH990EBbGRmv6ovpbDNL3R44pyJrjIkwRF.pdf</t>
  </si>
  <si>
    <t>https://storage.googleapis.com/deytha-prod/payments/i7h0H5IfBoHouGDMVteuClc8rCsh8uc81pfxcD9z.pdf</t>
  </si>
  <si>
    <t>2025-10-01 18:12:41</t>
  </si>
  <si>
    <t>TAXI PARA RECOJO DE MATERIAL DE CERCADO AL OFCIINAS SAMEGUA DEYFOR</t>
  </si>
  <si>
    <t>2025-12-01 16:56:58</t>
  </si>
  <si>
    <t>https://storage.googleapis.com/deytha-prod/payments/7bdxKBMtw4pXlafBRVMxnUPTyzQZbzA72sNjbnZ4.pdf</t>
  </si>
  <si>
    <t>https://storage.googleapis.com/deytha-prod/payments/w55d2xHx8LBiB0miA2v07KpjWSaG1TXoS9AX93vW.pdf</t>
  </si>
  <si>
    <t>2025-10-17 18:12:41</t>
  </si>
  <si>
    <t>REPARACION DE HORNO PARA SOLDADURA</t>
  </si>
  <si>
    <t>2025-12-01 16:56:46</t>
  </si>
  <si>
    <t>https://storage.googleapis.com/deytha-prod/payments/jdPD41ntTkhRbvqUTdWBnUNmR9fa3RndeE3OF3yW.pdf</t>
  </si>
  <si>
    <t>https://storage.googleapis.com/deytha-prod/payments/Jctxy5rfT5xTobr4T9m32ZwPd1PZLCB5PdyYkC7P.pdf</t>
  </si>
  <si>
    <t>2025-11-28 18:12:39</t>
  </si>
  <si>
    <t>2025-10-30 18:12:39</t>
  </si>
  <si>
    <t>RECOJO DE ENCOMIENDAS </t>
  </si>
  <si>
    <t>2025-12-01 16:56:37</t>
  </si>
  <si>
    <t>https://storage.googleapis.com/deytha-prod/payments/Qr8b7IsSWdrsVS5tT2yiMiNzh6YOlHTqhUdQ1XAx.pdf</t>
  </si>
  <si>
    <t>https://storage.googleapis.com/deytha-prod/payments/GC5twhdeGIum2muUI8xrUBon8plsFv2nFyCzrawP.pdf</t>
  </si>
  <si>
    <t>2025-11-28 18:12:37</t>
  </si>
  <si>
    <t>0025-10-30 18:12:37</t>
  </si>
  <si>
    <t>RECOJO DE ENCOMIENDAS EN FLORES TODO CARGO Y PIZARRAS EN SAN ANTONIO CON CAMIONCITO BARANDA </t>
  </si>
  <si>
    <t>2025-12-01 16:56:34</t>
  </si>
  <si>
    <t>https://storage.googleapis.com/deytha-prod/payments/NDN1dU3L3VeiAbwVkHurWrSEkdHPU3ZQwQRN1b2N.pdf</t>
  </si>
  <si>
    <t>https://storage.googleapis.com/deytha-prod/payments/gSmYQLvl9ScFI0CupYWxCEllLF8dDMKwnBvIbL83.pdf</t>
  </si>
  <si>
    <t>2025-11-27 16:30:18</t>
  </si>
  <si>
    <t>2025-11-28 15:15:24</t>
  </si>
  <si>
    <t>2025-11-28 16:29:59</t>
  </si>
  <si>
    <t>RECOJO DE ENCOMIENDA Q SE PAGA EN EFECTIVO
EMPRESA FLORES</t>
  </si>
  <si>
    <t>2025-11-28 16:30:00</t>
  </si>
  <si>
    <t>https://storage.googleapis.com/deytha-prod/rqf/0419c063-1fa0-463e-bb8f-05b05c7f6f91_COT - RECOJO DE ENCOMIENDAS.pdf</t>
  </si>
  <si>
    <t>https://storage.googleapis.com/deytha-prod/bcp_pdfs/shared/1764365548_BCP_HTML.pdf</t>
  </si>
  <si>
    <t>https://storage.googleapis.com/deytha-prod/rqf/38360/f5a3e3bb-984c-48e2-886f-96f68c88520a_38360 - F024-43352 - ENCOMIENDA FLORES.pdf</t>
  </si>
  <si>
    <t>2025-11-27 16:40:28</t>
  </si>
  <si>
    <t>2025-11-28 16:39:39</t>
  </si>
  <si>
    <t>215-1170271-0-35</t>
  </si>
  <si>
    <t xml:space="preserve">RECOJO DE ENCOMIENDAS DE MARVISUR 
02 GUIAS 
</t>
  </si>
  <si>
    <t>2025-11-28 16:27:00</t>
  </si>
  <si>
    <t>https://storage.googleapis.com/deytha-prod/rqf/358c8584-c85d-453f-8fae-07e3d83948ac_COT - RECOJO DE ENCOMIENDAS - MARVISUR.pdf</t>
  </si>
  <si>
    <t>https://storage.googleapis.com/deytha-prod/bcp_pdfs/shared/1764365368_BCP_HTML.pdf</t>
  </si>
  <si>
    <t>https://storage.googleapis.com/deytha-prod/rqf/38364/022b7f88-cf1e-4201-91d7-489d003301b0_38364 - F020-77957 - ENCOMIENDAS MARVISUR.pdf</t>
  </si>
  <si>
    <t>2025-11-27 22:22:43</t>
  </si>
  <si>
    <t>2025-10-30 22:22:43</t>
  </si>
  <si>
    <t>TRASLADO DE TUBERIAS DE DIFERENTES UNIDADES DESDE ILO HACIA MOQEUGUA CHEN CHEN </t>
  </si>
  <si>
    <t>2025-12-01 16:56:17</t>
  </si>
  <si>
    <t>https://storage.googleapis.com/deytha-prod/payments/g2l3d8SQLjNlf1R46Zq2lbrQcNQOaECqq3c20j8H.pdf</t>
  </si>
  <si>
    <t>https://storage.googleapis.com/deytha-prod/payments/QE0iG2RJrchg8hiCxTAycNkkHMOc9MiCRQeBJ1uY.pdf</t>
  </si>
  <si>
    <t>2025-10-29 22:22:43</t>
  </si>
  <si>
    <t>TAXI PARA LLEVAR PINTURA RENNER AL CHEN CHEN IDA Y VUELTA </t>
  </si>
  <si>
    <t>2025-12-01 16:56:25</t>
  </si>
  <si>
    <t>https://storage.googleapis.com/deytha-prod/payments/hmiydXaE6e9OFfJKFwTZ6KRjDO8DqdLZIpIthybS.pdf</t>
  </si>
  <si>
    <t>https://storage.googleapis.com/deytha-prod/payments/rITnQGXueu1J8oZ1h1IsPkBEQT2Ued7bT1YICvkf.pdf</t>
  </si>
  <si>
    <t>2025-10-21 22:22:43</t>
  </si>
  <si>
    <t>TRASLADO EN CAMION BRANDA MATERIAL DE VIGAS DE JHONCITO HACIA SAMEGUA OFICINAS DEYFOR </t>
  </si>
  <si>
    <t>2025-12-01 16:56:29</t>
  </si>
  <si>
    <t>https://storage.googleapis.com/deytha-prod/payments/w9LYX2xG8oRLMeuc2N9Mg5I6SxK9Y7GFjAAKr80t.pdf</t>
  </si>
  <si>
    <t>https://storage.googleapis.com/deytha-prod/payments/xt1LwRFMbqubx4f40SDZ3wYNEgkM9A47fwGUpEfH.pdf</t>
  </si>
  <si>
    <t>2025-10-27 22:22:43</t>
  </si>
  <si>
    <t>RECOJO DE PINTURA RENNER EN TRANSPORTES TODO CARGO HACIA CHEN  CHEN TALLER ARENADO</t>
  </si>
  <si>
    <t>2025-12-01 16:56:41</t>
  </si>
  <si>
    <t>https://storage.googleapis.com/deytha-prod/payments/c0cwHX6ngMmHnVneZcUOi47fxA5dxrfjcOLulpoO.pdf</t>
  </si>
  <si>
    <t>https://storage.googleapis.com/deytha-prod/payments/9uz2WAKa5gO8QmLl0HhWUJOrfyjtB3GycbWGEb2c.pdf</t>
  </si>
  <si>
    <t>2025-11-27 22:22:42</t>
  </si>
  <si>
    <t>2025-10-18 22:22:42</t>
  </si>
  <si>
    <t>COMPRA DE TORNILLO TIRAFLON 3/8 * 2"</t>
  </si>
  <si>
    <t>2025-12-01 16:55:52</t>
  </si>
  <si>
    <t>https://storage.googleapis.com/deytha-prod/payments/rwSoLaPRqU4vGcLf0sfVk9VirdrPjf2pKoea0Fmr.pdf</t>
  </si>
  <si>
    <t>https://storage.googleapis.com/deytha-prod/payments/uxBaFmsb3VI4kNNUW3OPSztYx4Xx8WKHQwRHG5vW.pdf</t>
  </si>
  <si>
    <t>2025-10-15 22:22:42</t>
  </si>
  <si>
    <t>COMPRA DE CINTAS ROJAS PARA ROTULAR HERRAMIENTAS </t>
  </si>
  <si>
    <t>2025-12-01 16:55:57</t>
  </si>
  <si>
    <t>https://storage.googleapis.com/deytha-prod/payments/89OFleLGKFDJlRmnEcJKqGxb10QJGzvSQdJ77mV7.pdf</t>
  </si>
  <si>
    <t>https://storage.googleapis.com/deytha-prod/payments/DZksCWnfkWmnzzYv1OpVPnR3tNj1xprI8rOPKtCC.pdf</t>
  </si>
  <si>
    <t>2025-10-29 22:22:42</t>
  </si>
  <si>
    <t>COMPRA DE LIQUIDO DE RADIOADOR - PARA GRUPO ELECTROGENO </t>
  </si>
  <si>
    <t>2025-12-01 16:56:01</t>
  </si>
  <si>
    <t>https://storage.googleapis.com/deytha-prod/payments/8H1iIml8rTBuPr603VPVMAjsI5l7vRw2X88cLJHB.pdf</t>
  </si>
  <si>
    <t>https://storage.googleapis.com/deytha-prod/payments/Bj4Y5rPnOy8bo0unkg4CSQWhpWGPuMjCELVFO734.pdf</t>
  </si>
  <si>
    <t>2025-10-22 22:22:42</t>
  </si>
  <si>
    <t>COMPRA DE GASEOSAS PARA REFRIGERIOS </t>
  </si>
  <si>
    <t>2025-12-01 16:56:04</t>
  </si>
  <si>
    <t>https://storage.googleapis.com/deytha-prod/payments/vBVAFnkpCUIVTq97pkSY5v18eASxMlOwap0qYK1h.pdf</t>
  </si>
  <si>
    <t>https://storage.googleapis.com/deytha-prod/payments/gzUoob5piL2svkT8JegZoU4mzrCkL125ssKrav76.pdf</t>
  </si>
  <si>
    <t>2025-10-26 22:22:42</t>
  </si>
  <si>
    <t>TAXI PARA RECOJO DE CAHLECOS CENTRO COMERCIAL MOQUEGUIANITA HACIA SAMEGUA DIA 26-10-25</t>
  </si>
  <si>
    <t>2025-12-01 16:56:08</t>
  </si>
  <si>
    <t>https://storage.googleapis.com/deytha-prod/payments/xBRyQcgjCWJ0P8X29fqWSyea7OIshbDhP8lYtruh.pdf</t>
  </si>
  <si>
    <t>https://storage.googleapis.com/deytha-prod/payments/P9YQV9P1zG1EMchciBjn9FgrBU1zVguenRCG2jfP.pdf</t>
  </si>
  <si>
    <t>2025-10-16 22:22:42</t>
  </si>
  <si>
    <t>REINTEGRO DE TAXI REGRESO A OFICINA SE FUE ALA CLINICA </t>
  </si>
  <si>
    <t>2025-12-01 16:56:12</t>
  </si>
  <si>
    <t>https://storage.googleapis.com/deytha-prod/payments/CLsr5BLfTVKF3eW7naPBZVzpkSginV9BMZ71zasG.pdf</t>
  </si>
  <si>
    <t>https://storage.googleapis.com/deytha-prod/payments/SH4XKK6OMrXXIVFCUOiz3JdUlMm2za0Aocnh6Vd3.pdf</t>
  </si>
  <si>
    <t>2025-11-27 22:22:41</t>
  </si>
  <si>
    <t>2025-10-21 22:22:41</t>
  </si>
  <si>
    <t>SERVICIO DE RECOJO DE PINTURA LURIN RENNNER HACI ALA VICTORIA  EN LA CUIDAD DE LIMA</t>
  </si>
  <si>
    <t>2025-12-01 16:55:29</t>
  </si>
  <si>
    <t>https://storage.googleapis.com/deytha-prod/payments/vlz51mq2DkotGtHCbJEeLX3dWYpDjzMxG5z8W5rR.pdf</t>
  </si>
  <si>
    <t>https://storage.googleapis.com/deytha-prod/payments/cEW4Iae18VtOdjVMGfvXEWJS2EFrXEIQx2HLFUhz.pdf</t>
  </si>
  <si>
    <t>2025-11-27 22:22:40</t>
  </si>
  <si>
    <t>2025-10-05 22:22:40</t>
  </si>
  <si>
    <t>2025-12-01 16:55:24</t>
  </si>
  <si>
    <t>https://storage.googleapis.com/deytha-prod/payments/LUk94FqSR2YXsza0nzb6DDvVSkGZ3pH9j1C3kGR3.pdf</t>
  </si>
  <si>
    <t>https://storage.googleapis.com/deytha-prod/payments/gMtkgPfmrVH8aXxmJ3jrMwYS2WTDRVHLzzAwUdgF.pdf</t>
  </si>
  <si>
    <t>2025-10-13 22:22:40</t>
  </si>
  <si>
    <t>2025-12-01 16:55:39</t>
  </si>
  <si>
    <t>https://storage.googleapis.com/deytha-prod/payments/H7drwRiI1hmgJBeic2tnXXKYHlNwR79gddezfzjr.pdf</t>
  </si>
  <si>
    <t>https://storage.googleapis.com/deytha-prod/payments/uSEkcf0hB9HtJcLKm1m1isS8tujnwLaso55EQ8xp.pdf</t>
  </si>
  <si>
    <t>2025-10-24 22:22:40</t>
  </si>
  <si>
    <t>CENA PARA PERSONAL STAFF</t>
  </si>
  <si>
    <t>2025-12-01 16:55:43</t>
  </si>
  <si>
    <t>https://storage.googleapis.com/deytha-prod/payments/5IKDKP1D6KCiQdpFQfEJV1yefre2F3VBCy7EBDv6.pdf</t>
  </si>
  <si>
    <t>https://storage.googleapis.com/deytha-prod/payments/jVdX9ci23K82Gqpm90E2u3qrNXM6uhXjsffPWwcH.pdf</t>
  </si>
  <si>
    <t>2025-10-20 22:22:40</t>
  </si>
  <si>
    <t>REPARACION DE MANGUERA PARA MAQUIMA AMARILLA </t>
  </si>
  <si>
    <t>2025-12-01 16:55:34</t>
  </si>
  <si>
    <t>https://storage.googleapis.com/deytha-prod/payments/iblRIoyuof8AugqXG6wsCoDn0QKfUz6nzdAQ2fiQ.pdf</t>
  </si>
  <si>
    <t>https://storage.googleapis.com/deytha-prod/payments/lT5LHbMnWPNVQFRZ9VEq2bHVPMTAxs9VmepGtT7c.pdf</t>
  </si>
  <si>
    <t>2025-10-28 22:22:40</t>
  </si>
  <si>
    <t>RECOJO D E ENCOMIENDA DE ILO MOQUEGUA </t>
  </si>
  <si>
    <t>2025-12-01 16:55:48</t>
  </si>
  <si>
    <t>https://storage.googleapis.com/deytha-prod/payments/kVSubTSGKqlYyV9e9rYMbD1BI8BaJyyHywcggp9c.pdf</t>
  </si>
  <si>
    <t>https://storage.googleapis.com/deytha-prod/payments/hnNSdgvmD9m60DJrzqpO3uqGj8lhGEydAf8uYDvX.pdf</t>
  </si>
  <si>
    <t>2025-11-27 22:22:39</t>
  </si>
  <si>
    <t>2025-10-24 22:22:39</t>
  </si>
  <si>
    <t>ZEGARRA QUISPE YOVANA GINA</t>
  </si>
  <si>
    <t>UTILES DE ESCRITORIO PARA OFICINA</t>
  </si>
  <si>
    <t>2025-12-01 16:55:20</t>
  </si>
  <si>
    <t>https://storage.googleapis.com/deytha-prod/payments/NB1M9FLEGXZA1fWBDOi1X5GfxYJzbuUHvcQmHEMW.pdf</t>
  </si>
  <si>
    <t>https://storage.googleapis.com/deytha-prod/payments/e15VGCONC0ZF1hxz9eUnX2YK82dorXDXtRdnaB9R.pdf</t>
  </si>
  <si>
    <t>2025-11-27 14:46:44</t>
  </si>
  <si>
    <t>2025-11-27 15:40:19</t>
  </si>
  <si>
    <t>2025-11-28 14:46:34</t>
  </si>
  <si>
    <t xml:space="preserve">REQUERIMIENTO # 22 MECANICO 
PINTURA RENNER </t>
  </si>
  <si>
    <t>2025-11-27 16:46:00</t>
  </si>
  <si>
    <t>https://storage.googleapis.com/deytha-prod/rqf/82a9b78a-d39f-4b58-aabf-cbefdd4e6bcc_COT - PINTURA RENNER - REQ 22 MECANICO.pdf</t>
  </si>
  <si>
    <t>https://storage.googleapis.com/deytha-prod/bcp_pdfs/shared/1764280048_BCP_HTML.pdf</t>
  </si>
  <si>
    <t>https://storage.googleapis.com/deytha-prod/rqf/38346/2b0c330d-6dae-4a8a-986b-3cd85e406f12_38346 - F001-12377 - PINTURA RENNER.pdf</t>
  </si>
  <si>
    <t>2025-11-27 14:53:29</t>
  </si>
  <si>
    <t>2025-11-28 14:53:21</t>
  </si>
  <si>
    <t>COT - TERMINAL DE COMPRESION - 
REQ 36 ELECTRICO</t>
  </si>
  <si>
    <t>2025-11-27 16:42:00</t>
  </si>
  <si>
    <t>https://storage.googleapis.com/deytha-prod/rqf/57c8f816-723e-4d50-9e85-a8d8d535f228_COT - TERMINAL DE COMPRESION - REQ 36 ELECTRICO.pdf</t>
  </si>
  <si>
    <t>https://storage.googleapis.com/deytha-prod/rqf/payments/a410710f-49ab-4512-b335-7523efc146b8_1764279809_BCP_HTML.pdf</t>
  </si>
  <si>
    <t>https://storage.googleapis.com/deytha-prod/rqf/38351/a10f3713-d1fe-48fd-b8f6-dbff7832614b_38351 - F001-22751 - MATERIAL ELECTRICO ELECTRORAYO.pdf</t>
  </si>
  <si>
    <t>2025-11-27 15:03:01</t>
  </si>
  <si>
    <t>2025-11-28 15:02:56</t>
  </si>
  <si>
    <t>CORNEJO AYALA GLADIS FELIPA</t>
  </si>
  <si>
    <t xml:space="preserve">SERVICIO DE ARENADO Y PINTADO DE: 08 TUBOS DE 4''X6,
12 PLATINAS 4''X6, 04 CANALES 4''X6, 01 PLATINA DE 3''X6,
20 PLATINAS 3/4X6, 62 TUBOS DE 2''X6 TOTAL 119 MTS2
</t>
  </si>
  <si>
    <t>2025-11-28 13:00:00</t>
  </si>
  <si>
    <t>https://storage.googleapis.com/deytha-prod/payments/83pANCgRJDleTzfWQLg7YZRjdpwo8v0begS8t9ww.pdf</t>
  </si>
  <si>
    <t>https://storage.googleapis.com/deytha-prod/bcp_pdfs/shared/1764352888_BCP_HTML.pdf</t>
  </si>
  <si>
    <t>https://storage.googleapis.com/deytha-prod/rqf/38355/4c07d083-3887-4b00-97c0-7142f802f401_38355 - E001-96 - SERVICIO DE ARENADO Y PINTADO.pdf</t>
  </si>
  <si>
    <t>2025-11-27 11:04:01</t>
  </si>
  <si>
    <t>2025-11-27 11:12:48</t>
  </si>
  <si>
    <t>2025-11-28 11:03:44</t>
  </si>
  <si>
    <t>Cambio de parabrisas lado derecho,  bus T9F962.</t>
  </si>
  <si>
    <t>2025-11-27 12:42:00</t>
  </si>
  <si>
    <t>https://storage.googleapis.com/deytha-prod/rqf/17436f7e-d65d-41fb-a015-887e15ffac78_doc15261020251119195914.pdf</t>
  </si>
  <si>
    <t>https://storage.googleapis.com/deytha-prod/bcp_pdfs/shared/1764265409_BCP_HTML.pdf</t>
  </si>
  <si>
    <t>https://storage.googleapis.com/deytha-prod/rqf/38321/1d6c3e60-39b7-42e1-9282-08b90edb04d3_20611556579-01-F001-0008493.pdf</t>
  </si>
  <si>
    <t>2025-11-24 18:59:32</t>
  </si>
  <si>
    <t>2025-11-26 13:11:52</t>
  </si>
  <si>
    <t>2025-11-26 09:59:00</t>
  </si>
  <si>
    <t xml:space="preserve">ZAPATOS STAFF 
YESSICA
NELSON 
IVONNE
ADJUTNO RECIBOS EL CUAL SIEMPRE SE RINDIO CON ELLO PERSONAL STAFF </t>
  </si>
  <si>
    <t>2025-11-28 16:33:00</t>
  </si>
  <si>
    <t>https://storage.googleapis.com/deytha-prod/rqf/47e3085b-d8dc-4bef-879e-9f48886ff72a_COT - ZAPATOS DE SEGURIDAD - STAFF.pdf</t>
  </si>
  <si>
    <t>https://storage.googleapis.com/deytha-prod/bcp_pdfs/shared/1764365908_BCP_HTML.pdf</t>
  </si>
  <si>
    <t>https://storage.googleapis.com/deytha-prod/rqf/37963/de922876-2b5a-4c43-b25d-12922fdc5968_37963 - RECIBOS INTERNOS - ZAPATOS STAFF.pdf</t>
  </si>
  <si>
    <t>2025-11-24 16:52:08</t>
  </si>
  <si>
    <t>2025-11-24 17:22:28</t>
  </si>
  <si>
    <t>2025-11-25 16:51:42</t>
  </si>
  <si>
    <t>P &amp; P DISMAT MEDIC E.I.R.L.</t>
  </si>
  <si>
    <t>215-7121958-0-84</t>
  </si>
  <si>
    <t xml:space="preserve">MATERIAL SSOMA - 
REQ # 33 </t>
  </si>
  <si>
    <t>2025-11-25 16:30:00</t>
  </si>
  <si>
    <t>https://storage.googleapis.com/deytha-prod/rqf/669ae409-2f0c-4c5f-bfad-600132d34cd4_COT - MATERIALES SSOMA - REQ 33.pdf</t>
  </si>
  <si>
    <t>https://storage.googleapis.com/deytha-prod/rqf/payments/bbbf066e-e1f6-4dc2-b8cf-c2754af47bcc_37925.PNG</t>
  </si>
  <si>
    <t>https://storage.googleapis.com/deytha-prod/rqf/37925/c0cc60c0-7c9a-469d-b1e3-13a08a731249_37925 - F001-18308 - FARMACEITICO - SSOMA.pdf</t>
  </si>
  <si>
    <t>2025-11-24 17:04:23</t>
  </si>
  <si>
    <t>2025-11-25 17:02:57</t>
  </si>
  <si>
    <t>SG NORMAS TECNICAS EMPLEADAS A LA CALIDAD S.R.L.</t>
  </si>
  <si>
    <t xml:space="preserve">MANOMETRO 
CON GLICERINA DE 400 / 800 PSI 
</t>
  </si>
  <si>
    <t>2025-11-25 16:32:00</t>
  </si>
  <si>
    <t>https://storage.googleapis.com/deytha-prod/rqf/e9f1a937-b443-43a6-abe6-63a6b0ec4c55_COT - MANOMETROS.pdf</t>
  </si>
  <si>
    <t>https://storage.googleapis.com/deytha-prod/rqf/payments/a6b64967-3b4f-4a1d-ad3f-5867c5a6a361_37926.PNG</t>
  </si>
  <si>
    <t>https://storage.googleapis.com/deytha-prod/rqf/37926/7ac54e19-974a-4537-a2b5-7411380d9ba3_37926 - F001-15258 - MANOMETROS CON CALIBRACION.pdf</t>
  </si>
  <si>
    <t>2025-11-24 11:18:58</t>
  </si>
  <si>
    <t>2025-11-24 16:32:11</t>
  </si>
  <si>
    <t>2025-11-25 11:18:45</t>
  </si>
  <si>
    <t>ARAGCU PERU S.A.C.</t>
  </si>
  <si>
    <t>191-2486540-1-74</t>
  </si>
  <si>
    <t>CONECTOR ANTICORONA CABLE-CABLE DERIVACIÓN EN T
12.5-14.6
REQ #34 - ELECTRICO</t>
  </si>
  <si>
    <t>2025-11-27 11:41:00</t>
  </si>
  <si>
    <t>https://storage.googleapis.com/deytha-prod/rqf/335ef777-65a4-4c36-9046-099cddfe9702_COT - CONECTOR ANTICORONA CABLE-CABLE DERIVACIÓN EN T.pdf</t>
  </si>
  <si>
    <t>https://storage.googleapis.com/deytha-prod/bcp_pdfs/shared/1764261749_BCP_HTML.pdf</t>
  </si>
  <si>
    <t>https://storage.googleapis.com/deytha-prod/rqf/37872/e36de8fe-63c4-4b51-887a-6cf836a44e7c_37872 -FACTURA- N° FF001-881 ARAGCU CONECTOR ANTICORONA.pdf</t>
  </si>
  <si>
    <t>2025-11-24 11:24:16</t>
  </si>
  <si>
    <t>2025-11-25 11:23:43</t>
  </si>
  <si>
    <t>SONEPAR PERU S.A.C.</t>
  </si>
  <si>
    <t xml:space="preserve">215-1184073-1-59 </t>
  </si>
  <si>
    <t>LUMINARIA EMERGENCIA LED SENALIZ SALIDA 2 FAROS 24W 220-240V 3000LM IP66 
REQ  # 37 - ELECTRICO</t>
  </si>
  <si>
    <t>2025-11-27 11:36:00</t>
  </si>
  <si>
    <t>https://storage.googleapis.com/deytha-prod/rqf/d6b611af-c4ab-4eb9-9944-49d1b4f8f5e0_COT - LUZ DE EMERGENCIA.pdf</t>
  </si>
  <si>
    <t>https://storage.googleapis.com/deytha-prod/bcp_pdfs/shared/1764261449_BCP_HTML.pdf</t>
  </si>
  <si>
    <t>https://storage.googleapis.com/deytha-prod/rqf/37875/539be282-c2bd-4b9c-b7c7-d025d97db843_37875-FF30-107023-LUMINARIA-SONEPAR.-RC.pdf</t>
  </si>
  <si>
    <t>2025-11-24 14:27:46</t>
  </si>
  <si>
    <t>2025-11-25 14:27:28</t>
  </si>
  <si>
    <t>VAL.ORIZACION 
 CONSUMO DE COMBUSTIBLE DEL 24 AL 31 OCTUBRE</t>
  </si>
  <si>
    <t>2025-12-04 18:18:00</t>
  </si>
  <si>
    <t>https://storage.googleapis.com/deytha-prod/rqf/fc710ea0-598a-4349-a4ce-125d058c4abe_COT - VAL. CONSUMO DE COMBUSTIBLE DEL 24 AL 31 OCTUBRE.pdf</t>
  </si>
  <si>
    <t>https://storage.googleapis.com/deytha-prod/bcp_pdfs/shared/1764890379_BCP_HTML.pdf</t>
  </si>
  <si>
    <t>https://storage.googleapis.com/deytha-prod/rqf/37898/74bccf72-594b-4bf5-95f0-3b59e15f570e_37898 - F001-138784 - ABASTECIMIENTOS DE UNIDADES DEL 24 al 31 de Octubre.pdf</t>
  </si>
  <si>
    <t>2025-11-22 16:41:07</t>
  </si>
  <si>
    <t>2025-11-24 15:37:14</t>
  </si>
  <si>
    <t>2025-11-23 16:40:58</t>
  </si>
  <si>
    <t xml:space="preserve">VALORIZACION DE COMBUSTIBLE 
CONSUMO CORRESPONDIENTE DEL 
13 AL 23 OCTUBRE </t>
  </si>
  <si>
    <t>2025-12-04 18:15:00</t>
  </si>
  <si>
    <t>https://storage.googleapis.com/deytha-prod/rqf/14565dae-dcaa-438c-8be9-eaa9773c51b1_COT - VAL DE COMBUSTIBLE DEL 13 AL 23 OCTUBRE.pdf</t>
  </si>
  <si>
    <t>https://storage.googleapis.com/deytha-prod/bcp_pdfs/shared/1764890189_BCP_HTML.pdf</t>
  </si>
  <si>
    <t>https://storage.googleapis.com/deytha-prod/rqf/37822/b86c6a8d-ada9-4a36-a00a-18995afdd843_37822 - F001-138731 - ABASTECIMIENTOS DE UNIDADES DEL 13 al 23 de Octubre.pdf</t>
  </si>
  <si>
    <t>2025-11-24 08:27:13</t>
  </si>
  <si>
    <t>2025-11-25 08:26:35</t>
  </si>
  <si>
    <t>AUTOPROYECT E.I.R.L</t>
  </si>
  <si>
    <t>215-94525645-0-44</t>
  </si>
  <si>
    <t xml:space="preserve">COTIZACION DE MATERIALES ELECTRICOS 
REQ 36 ELECTRICO 
SE PIDE DIFERENCIA DE MONTO DE COTIZACION YA QUE TEENMOS EL CODIGO 33884 UN MATERIAL ES QUE ESTE MISMO PROVEEDOR NO NOS ENTREGO POR FALTA DE STOP, POR LO TANTO, SE TOMA COMO SALDO A FAVOR DICHO CODIGO PARA ESTA NUEVA COTIZACION </t>
  </si>
  <si>
    <t>2025-11-25 18:37:00</t>
  </si>
  <si>
    <t>https://storage.googleapis.com/deytha-prod/rqf/6cac33de-59f4-4716-8f76-5cd19cba67d1_COT - MATERIALES ELEC REQ 36 - CABLE DESNUDO VARIILLA.pdf</t>
  </si>
  <si>
    <t>https://storage.googleapis.com/deytha-prod/bcp_pdfs/shared/1764113968_BCP_HTML.pdf</t>
  </si>
  <si>
    <t>https://storage.googleapis.com/deytha-prod/rqf/37835/0fb159e1-45ae-478a-be63-b5e4a57a21c8_37835 - F001-2571  - AUTOPROYECT.pdf</t>
  </si>
  <si>
    <t>2025-11-24 12:24:51</t>
  </si>
  <si>
    <t>GUZMAN ROLDAN PEDRO PAUL</t>
  </si>
  <si>
    <t>2025-11-28 19:34:00</t>
  </si>
  <si>
    <t>https://storage.googleapis.com/deytha-prod/worker/settle/cV6GM2dbI9GHBccaPic2YHKAc9PBu6hpMggCrJmF.pdf</t>
  </si>
  <si>
    <t>https://storage.googleapis.com/deytha-prod/rqf/payments/9d136392-7947-4882-b40a-f3a09bcca909_BCP_2025-11-28 734PM_Liquidaciones.pdf</t>
  </si>
  <si>
    <t>2025-11-22 07:20:22</t>
  </si>
  <si>
    <t>2025-11-22 14:14:27</t>
  </si>
  <si>
    <t>2025-11-23 07:20:14</t>
  </si>
  <si>
    <t>2025-11-24 18:01:00</t>
  </si>
  <si>
    <t>https://storage.googleapis.com/deytha-prod/payments/9grjaL5WTzLJRrRq3onFkGriMlCIwEtpG2iaEOJi.pdf</t>
  </si>
  <si>
    <t>https://storage.googleapis.com/deytha-prod/bcp_pdfs/shared/1764025349_BCP_HTML.pdf</t>
  </si>
  <si>
    <t>https://storage.googleapis.com/deytha-prod/rqf/37813/8ea35d2a-0ee4-4554-8958-15b7efe09de8_37813 - E001-19 - SERVICIO DE ALQUILER DE RODILLO STORIKE DE 1.5 TONELADAS MAQUINA SECA SIN OPERAR (SERVICIO DEL DIA LUNES 10 AL 15 DE NOVIEMBRE) PARA FRENTE DE TRABAJO D2.pdf</t>
  </si>
  <si>
    <t>2025-11-22 07:46:00</t>
  </si>
  <si>
    <t>2025-11-23 07:45:00</t>
  </si>
  <si>
    <t xml:space="preserve">MTTO PREVENTIVO 
MTTO GENERAL DE GENERADOR A GASOLINA 
DE FRENTE DE TRABAJO A3 </t>
  </si>
  <si>
    <t>2025-11-25 16:13:00</t>
  </si>
  <si>
    <t>https://storage.googleapis.com/deytha-prod/payments/GQUpi26PaJhAwCYg47fP6gD8OG6yZy0f9Pf4akk6.pdf</t>
  </si>
  <si>
    <t>https://storage.googleapis.com/deytha-prod/rqf/payments/5219b8b0-5525-4f4c-b1ce-6ece48ba3757_37814.PNG</t>
  </si>
  <si>
    <t>https://storage.googleapis.com/deytha-prod/rqf/37814/93b7a269-e6a7-41de-9ad5-cc45e288d19a_37814 - F001-3039 - MTTO DE GENERADOR.pdf</t>
  </si>
  <si>
    <t>2025-11-22 07:51:15</t>
  </si>
  <si>
    <t>2025-11-23 07:51:07</t>
  </si>
  <si>
    <t xml:space="preserve">UTILES DE OFICINA 
TINTAS IMPRESORA EDSON 
PAPEL BOND A3 
</t>
  </si>
  <si>
    <t>2025-11-25 16:27:00</t>
  </si>
  <si>
    <t>https://storage.googleapis.com/deytha-prod/rqf/4cd28a7c-9654-4067-9140-c90c66285491_COT - UTILES - TINTAS - PAPEL A3.pdf</t>
  </si>
  <si>
    <t>https://storage.googleapis.com/deytha-prod/rqf/payments/bc943e9b-ab0c-4837-b6f3-86617867dd1f_37815.PNG</t>
  </si>
  <si>
    <t>https://storage.googleapis.com/deytha-prod/rqf/37815/107017c3-b6bb-4c94-a9e0-9a5370149c12_37815 - F001-00007238 - UTILES DE ESCRITORIO.pdf</t>
  </si>
  <si>
    <t>2025-11-22 08:48:21</t>
  </si>
  <si>
    <t>2025-11-23 08:47:50</t>
  </si>
  <si>
    <t>Orden de Abastecimiento formato tamaño A6 original y dos
copias (original a color copias un color) numerado solo engomado -
DE 50 HOJAS</t>
  </si>
  <si>
    <t>2025-11-25 16:16:00</t>
  </si>
  <si>
    <t>https://storage.googleapis.com/deytha-prod/rqf/f9b4c73f-ea07-463d-9ec9-33580d2aa828_COT - VALES DE COMBUSTIBLE DEYFOR.pdf</t>
  </si>
  <si>
    <t>https://storage.googleapis.com/deytha-prod/bcp_pdfs/shared/1764105448_BCP_HTML.pdf</t>
  </si>
  <si>
    <t>https://storage.googleapis.com/deytha-prod/rqf/37816/93491ec0-93cb-48cf-81af-33878f5091e5_37816 - F001-8333 - FORMATO EN A6 ORIGINAL Y 2 COPIAS.pdf</t>
  </si>
  <si>
    <t>2025-11-22 10:24:05</t>
  </si>
  <si>
    <t>2025-11-23 10:23:26</t>
  </si>
  <si>
    <t>ACT CORPORACION E.I.R.L.</t>
  </si>
  <si>
    <t>2100390935   / CCI- 00912220210039093539</t>
  </si>
  <si>
    <t xml:space="preserve">RECARGA DE BIDONES DE AGUA
PARA PERSONAL EN OBRA </t>
  </si>
  <si>
    <t>2025-12-01 18:25:00</t>
  </si>
  <si>
    <t>https://storage.googleapis.com/deytha-prod/rqf/aeb19cb7-a3bd-4002-8955-6f3bb22b54f6_COT - AGUA AWA MOQUEGUA.pdf</t>
  </si>
  <si>
    <t>https://storage.googleapis.com/deytha-prod/rqf/payments/6bfb7953-c8c8-49d6-a84a-536f074578d5_37817.pdf</t>
  </si>
  <si>
    <t>https://storage.googleapis.com/deytha-prod/rqf/37817/55b0f647-7006-425e-a29b-6c9e8597425e_37817 - E001-214 - AGUA DE MESA EN BIDONES.pdf</t>
  </si>
  <si>
    <t>2025-11-22 10:35:38</t>
  </si>
  <si>
    <t>2025-11-23 10:35:23</t>
  </si>
  <si>
    <t xml:space="preserve">MATERIAL ELECTRICO 
REQ # 37 
</t>
  </si>
  <si>
    <t>2025-11-24 17:49:00</t>
  </si>
  <si>
    <t>https://storage.googleapis.com/deytha-prod/rqf/87ad3772-ed45-41ef-af9f-ba8b0bd80d15_COT - REQ NUM 37 MATERIAL ELECTRICO.pdf</t>
  </si>
  <si>
    <t>https://storage.googleapis.com/deytha-prod/rqf/payments/38fcf5f9-9c11-4af2-9fa7-1c29c1b005d6_37818.PNG</t>
  </si>
  <si>
    <t>https://storage.googleapis.com/deytha-prod/rqf/37818/68ffcb62-335d-4922-8716-1e064a791f60_37818 - F001-447 - MATERIALE ELECTRICO.pdf</t>
  </si>
  <si>
    <t>2025-11-22 11:28:15</t>
  </si>
  <si>
    <t>2025-11-23 11:27:51</t>
  </si>
  <si>
    <t xml:space="preserve">MATERIAL VARIOS 
EPPS 
REQ # ADMI 07 / 06 </t>
  </si>
  <si>
    <t>2025-12-12 15:19:00</t>
  </si>
  <si>
    <t>https://storage.googleapis.com/deytha-prod/rqf/f4014e8b-3cfb-438b-94f3-3cf373843b12_COT - EPPS Y MATERIALES VARIOS - REQ ADM 6 Y 7.pdf</t>
  </si>
  <si>
    <t>https://storage.googleapis.com/deytha-prod/bcp_pdfs/shared/1765570770_BCP_HTML.pdf</t>
  </si>
  <si>
    <t>https://storage.googleapis.com/deytha-prod/rqf/37819/33be9fec-3601-4fce-ba63-6b7e0ad80133_37819 - E001-15269 - EPPS Y MAS.pdf</t>
  </si>
  <si>
    <t>2025-11-19 21:20:01</t>
  </si>
  <si>
    <t>2025-11-22 09:11:54</t>
  </si>
  <si>
    <t>2025-11-30 12:19:56</t>
  </si>
  <si>
    <t xml:space="preserve">ALQUILER DE MINIVAN DE PLACA Z7A598 CORRESPONDIENTE AL PERIODO OCTUBRE 2025
</t>
  </si>
  <si>
    <t>2026-02-27 15:43:00</t>
  </si>
  <si>
    <t>https://storage.googleapis.com/deytha-prod/payments/hI01k1BigY2fkpAt7KKQaB5qQ15GeturdAkFYaC6.pdf</t>
  </si>
  <si>
    <t>https://storage.googleapis.com/deytha-prod/bcp_pdfs/shared/1772225071_BCP_HTML.pdf</t>
  </si>
  <si>
    <t>https://storage.googleapis.com/deytha-prod/supplierBills/PzuilXRzfuxwZCK5Hedq87Pa5CHCDP8YpB5o89Us.pdf</t>
  </si>
  <si>
    <t>2025-11-21 19:19:36</t>
  </si>
  <si>
    <t>2025-11-22 00:26:49</t>
  </si>
  <si>
    <t>2025-11-23 10:19:27</t>
  </si>
  <si>
    <t>BUSINESS AND FAST COMPANY S.A.C.</t>
  </si>
  <si>
    <t>430-9847388-0-97</t>
  </si>
  <si>
    <t xml:space="preserve">REQ # 36 
PARTE ELECTRICA 
MATERIALES PARA POZO TIERRA </t>
  </si>
  <si>
    <t>2025-11-24 18:21:00</t>
  </si>
  <si>
    <t>https://storage.googleapis.com/deytha-prod/rqf/ecf84da9-c492-4124-b4da-e4efca6680ec_COT - REQ 36 PARTE ELECTRICA MATERIAL PARA POZO TIERRA.pdf</t>
  </si>
  <si>
    <t>https://storage.googleapis.com/deytha-prod/rqf/payments/f62c92d7-c266-4d93-926a-e9b89ba4852d_37800.PNG</t>
  </si>
  <si>
    <t>https://storage.googleapis.com/deytha-prod/rqf/37800/1dd4340b-dbf2-46d2-bcee-269906e3df7f_37800 - F002-392 - BENTONITA Y CABLES.pdf</t>
  </si>
  <si>
    <t>2025-11-21 19:24:55</t>
  </si>
  <si>
    <t>2025-11-23 10:24:44</t>
  </si>
  <si>
    <t>CEMENTO FRONTERA IP
REQ CIVIL 
REQ # 38 CIVIL</t>
  </si>
  <si>
    <t>2025-12-17 18:04:00</t>
  </si>
  <si>
    <t>https://storage.googleapis.com/deytha-prod/rqf/7544c4ba-6390-4b27-abb0-17282d812043_COT - CEMENTO REQ 38 CIVIL.pdf</t>
  </si>
  <si>
    <t>https://storage.googleapis.com/deytha-prod/bcp_pdfs/shared/1766012729_BCP_HTML.pdf</t>
  </si>
  <si>
    <t>https://storage.googleapis.com/deytha-prod/rqf/37803/3733762a-f49f-405c-9bb2-993b24f37474_37803-FQQ1-002106 -CEMENETO - MADERA PINO.pdf</t>
  </si>
  <si>
    <t>2025-11-19 18:12:47</t>
  </si>
  <si>
    <t>2025-11-22 00:19:07</t>
  </si>
  <si>
    <t>2025-11-21 09:12:41</t>
  </si>
  <si>
    <t xml:space="preserve">ALQUILER DE MINIVAN TOYOTA HIACE PLACA Z5S236 CORRESPONDIENTE AL PERIODO SEPTIEMBRE 2025
</t>
  </si>
  <si>
    <t>https://storage.googleapis.com/deytha-prod/payments/nPITiRGxfNfddkau94RPN0cxh7W40EiOuKOPiPtZ.pdf</t>
  </si>
  <si>
    <t>https://storage.googleapis.com/deytha-prod/supplierBills/Arezs1Wk6zWVy1N9bQC8DzYmcVYIxi1X7d3jIbMX.pdf</t>
  </si>
  <si>
    <t>2025-11-19 21:01:58</t>
  </si>
  <si>
    <t>2025-11-21 12:01:43</t>
  </si>
  <si>
    <t>MES OCTUBRE ESTACION TOTAL MARCA LEYCA TS06-3 R500 PLUS - N- S 1355960 / NIVEL AUTOMATICO MARCA LEYCA NA 332 - N-S 720334457400</t>
  </si>
  <si>
    <t>2026-01-23 20:08:00</t>
  </si>
  <si>
    <t>https://storage.googleapis.com/deytha-prod/payments/mj203LsqH66rvUZlzr0m1udbrIcOtOiz7q8Ty3zj.pdf</t>
  </si>
  <si>
    <t>https://storage.googleapis.com/deytha-prod/rqf/payments/ff4817ec-dfc3-4a58-8b0a-f3a704e99cc1_Interbank_2026-01-23 808PM_37342.pdf</t>
  </si>
  <si>
    <t>https://storage.googleapis.com/deytha-prod/supplierBills/GmMWV996lMPqMD3uWjvPQWTdwHEBe1QCtBlk4Wd9.pdf</t>
  </si>
  <si>
    <t>2025-11-19 21:12:49</t>
  </si>
  <si>
    <t>2025-11-30 12:12:47</t>
  </si>
  <si>
    <t>ALQUILER DE CAMIONETA TOYOTA HILUX DE PLACA Z7T860 CORRESPONDIENTE AL PERIODO 01-10-25 AL 09-10-25</t>
  </si>
  <si>
    <t>2026-02-27 15:51:00</t>
  </si>
  <si>
    <t>https://storage.googleapis.com/deytha-prod/payments/CN5336LZaZp9BM9O975SjEOlipRJL3VpwQHGqwgq.pdf</t>
  </si>
  <si>
    <t>https://storage.googleapis.com/deytha-prod/bcp_pdfs/shared/1772225490_BCP_HTML.pdf</t>
  </si>
  <si>
    <t>https://storage.googleapis.com/deytha-prod/supplierBills/jY6CAOjrWEBAfz8ry3LA62UYM66b2OhWckG7g0hH.pdf</t>
  </si>
  <si>
    <t>2025-11-19 21:16:13</t>
  </si>
  <si>
    <t>2025-11-30 12:16:12</t>
  </si>
  <si>
    <t xml:space="preserve">ALQUILER DE MINIVAN Z5S236 CORRESPONDIENTE AL PERIODO OCTUBRE 2025 </t>
  </si>
  <si>
    <t>2026-02-27 15:48:00</t>
  </si>
  <si>
    <t>https://storage.googleapis.com/deytha-prod/payments/Vgi70iR2c8yhKlv03ek5bSwtKxnQVitOXgTDG0yg.pdf</t>
  </si>
  <si>
    <t>https://storage.googleapis.com/deytha-prod/bcp_pdfs/shared/1772225368_BCP_HTML.pdf</t>
  </si>
  <si>
    <t>https://storage.googleapis.com/deytha-prod/supplierBills/MIxeT40CSMp5A32ZJ7DuOq1JZ3K5iuUxnSCLvn3h.pdf</t>
  </si>
  <si>
    <t>2025-11-19 21:31:18</t>
  </si>
  <si>
    <t>2025-11-21 12:31:17</t>
  </si>
  <si>
    <t>Alquiler mes de septiembre del 01/10/2025 al 30/10/2025, comprobante con recibo por honorarios por parte de ZUÑIGA QUISPE LESLIE CAROLINA
Deposito a la cuenta del proveedor Yhonatan Guerra</t>
  </si>
  <si>
    <t>2026-02-13 18:46:00</t>
  </si>
  <si>
    <t>https://storage.googleapis.com/deytha-prod/payments/USnK5vJPoRcvZbbiViSeQFUrW9NEaDbjWezQsL01.pdf</t>
  </si>
  <si>
    <t>https://storage.googleapis.com/deytha-prod/rqf/payments/a770701a-15f9-4f85-868a-fd3c1c5f014a_BBVA_2026-02-13 646PM_37346.pdf</t>
  </si>
  <si>
    <t>https://storage.googleapis.com/deytha-prod/supplierBills/7ONdA5XKNGwN5aiWe1ONBnm8RXgqyA7htQthRZ7o.pdf</t>
  </si>
  <si>
    <t>2025-11-21 18:30:03</t>
  </si>
  <si>
    <t>2025-11-23 09:29:58</t>
  </si>
  <si>
    <t>2025-11-27 19:45:00</t>
  </si>
  <si>
    <t>https://storage.googleapis.com/deytha-prod/payments/dQUIBIGwQoRQBN5ycU1Pf0AIhXKlpbhgS9Ot2Ua1.pdf</t>
  </si>
  <si>
    <t>https://storage.googleapis.com/deytha-prod/bcp_pdfs/shared/1764290788_BCP_HTML.pdf</t>
  </si>
  <si>
    <t>https://storage.googleapis.com/deytha-prod/rqf/37757/5e605211-f589-4e45-a584-11f0dc9c6c2d_37757 - E001-1408 - SERVICIO DE ALQUILER DE VIBROAPISONADOR WEBER  -  SERVICIO DE ALQUILER DE RODILLO CHUPETERO.pdf</t>
  </si>
  <si>
    <t>2025-11-21 18:57:03</t>
  </si>
  <si>
    <t>2025-11-23 09:56:53</t>
  </si>
  <si>
    <t>INGENIERIA SERVICIOS Y SUMINISTROS CON CAB S.R.L. - ISERSUM - CON CAB S.R.L</t>
  </si>
  <si>
    <t xml:space="preserve">SERVICIO DE ALQUILE DE TELUROMETRO 
POR LOS DIAS 
20 - 21 Y 22 DE NOV </t>
  </si>
  <si>
    <t>2025-11-24 19:02:00</t>
  </si>
  <si>
    <t>https://storage.googleapis.com/deytha-prod/payments/qd67RUhOgjYZzLtL2Py6K5mj8x0TgSZelcBF7LHk.pdf</t>
  </si>
  <si>
    <t>https://storage.googleapis.com/deytha-prod/bcp_pdfs/shared/1764029009_BCP_HTML.pdf</t>
  </si>
  <si>
    <t>https://storage.googleapis.com/deytha-prod/rqf/37788/89e6a82f-7f57-428a-b8ad-84136b7e5c39_37788 - E001-815 - SERVICIO DE ALQUILER DE EQUIPO TELUROMETRO.pdf</t>
  </si>
  <si>
    <t>2025-11-21 19:00:05</t>
  </si>
  <si>
    <t>2025-11-23 09:59:54</t>
  </si>
  <si>
    <t>REG 
AGUA PARA OBRA</t>
  </si>
  <si>
    <t>2025-11-25 16:19:00</t>
  </si>
  <si>
    <t>https://storage.googleapis.com/deytha-prod/rqf/294bf754-2cc1-456c-aa10-97c01719d7eb_COT - AGUA TULUN - 30 BIDONES.pdf</t>
  </si>
  <si>
    <t>https://storage.googleapis.com/deytha-prod/rqf/payments/77a6167a-f21e-477e-ac50-69d1c2300326_37790.PNG</t>
  </si>
  <si>
    <t>https://storage.googleapis.com/deytha-prod/rqf/37790/e4394969-9bb4-484b-acd5-b4673c81f2ec_37790 - E001-368 - AGUA PARA OBRA BIDONES.pdf</t>
  </si>
  <si>
    <t>2025-11-21 19:05:43</t>
  </si>
  <si>
    <t>2025-11-23 10:05:17</t>
  </si>
  <si>
    <t>2025-11-27 19:48:00</t>
  </si>
  <si>
    <t>https://storage.googleapis.com/deytha-prod/payments/R1wjzbjafueGMAFo2qo8oh9NybhwyNUblXtDUjio.pdf</t>
  </si>
  <si>
    <t>https://storage.googleapis.com/deytha-prod/bcp_pdfs/shared/1764290908_BCP_HTML.pdf</t>
  </si>
  <si>
    <t>https://storage.googleapis.com/deytha-prod/rqf/37793/aaadd31c-1dbf-4b5c-ae56-2a0cf2c1fdb5_37793 - F001-432 - SERVICIO DE ALQUILER DE GRUPO ELECTROGENO.pdf</t>
  </si>
  <si>
    <t>D Y E DISTRIBUCION FERRETERA COMERCIAL DEL SUR E.I.R.L.</t>
  </si>
  <si>
    <t xml:space="preserve"> 430-2612076-039</t>
  </si>
  <si>
    <t>2025-11-21 19:28:19</t>
  </si>
  <si>
    <t>2025-11-23 10:26:43</t>
  </si>
  <si>
    <t>ADITIVO TORGHEL PARA POZO TIERRA 
FRENTE D2 
REQ # 36 ELECTRICO</t>
  </si>
  <si>
    <t>2025-11-29 11:36:00</t>
  </si>
  <si>
    <t>https://storage.googleapis.com/deytha-prod/rqf/5820c5be-882b-4c9d-a207-d4780f3a0a43_COT - TORGHEL ADITIVO REQ ELECTRICO.pdf</t>
  </si>
  <si>
    <t>https://storage.googleapis.com/deytha-prod/bcp_pdfs/shared/1764434248_BCP_HTML.pdf</t>
  </si>
  <si>
    <t>https://storage.googleapis.com/deytha-prod/rqf/37807/53027c9b-9e3b-42a9-bbca-35742a218126_37807 - FQQ1-521 - DOSIS QUIMICA THORGEL X 5kg.pdf</t>
  </si>
  <si>
    <t>2025-11-18 17:13:20</t>
  </si>
  <si>
    <t>2025-11-21 19:31:17</t>
  </si>
  <si>
    <t>2025-11-19 17:13:07</t>
  </si>
  <si>
    <t>2026-01-09 17:52:00</t>
  </si>
  <si>
    <t>https://storage.googleapis.com/deytha-prod/payments/wxs4ufq3jYAhrTqDIjTmHNxI8DspFDhQofqmjw0Q.pdf</t>
  </si>
  <si>
    <t>https://storage.googleapis.com/deytha-prod/rqf/payments/cb0d79a5-76bf-41e8-a167-91aeb86b1bfe_Captura de pantalla 2026-01-18 012413.jpg</t>
  </si>
  <si>
    <t>https://storage.googleapis.com/deytha-prod/supplierBills/gsGEx20X7jpTD9St90uoSYW5rTOXoxFeAcQSkpQw.pdf</t>
  </si>
  <si>
    <t>2025-11-18 17:28:30</t>
  </si>
  <si>
    <t>2025-11-19 17:28:28</t>
  </si>
  <si>
    <t>https://storage.googleapis.com/deytha-prod/payments/sOHWVX2uotKG6e5IOjIs1lAklhDhTvI2ndIcS3Ld.pdf</t>
  </si>
  <si>
    <t>2025-11-19 17:18:55</t>
  </si>
  <si>
    <t>2025-11-20 17:18:54</t>
  </si>
  <si>
    <t>SERVICIO DE ALQUILER DE CAMION BARANDA PLACA:Z7F-746 POR 30 DIAS TRABAJADO MES DE SEPTIEMBRE</t>
  </si>
  <si>
    <t>https://storage.googleapis.com/deytha-prod/payments/w5J9R9BYRj8A4KyxlnROWcV6SwmjlQ5Q5Jx9SF0Q.pdf</t>
  </si>
  <si>
    <t>2025-11-19 17:56:33</t>
  </si>
  <si>
    <t>2025-11-20 17:55:56</t>
  </si>
  <si>
    <t>MES SEPTIEMBRE ESTACION TOTAL MARCA LEYCA TS06-3 R500 PLUS - N- S 1355960 / NIVEL AUTOMATICO MARCA LEYCA NA 332 - N-S 720334457400</t>
  </si>
  <si>
    <t>2026-01-08 11:55:00</t>
  </si>
  <si>
    <t>https://storage.googleapis.com/deytha-prod/payments/mbsoOQsqG3Dew5LQEGtwvUHBYLCoYKJxoeLMRszN.pdf</t>
  </si>
  <si>
    <t>https://storage.googleapis.com/deytha-prod/rqf/payments/72b6d9f5-91df-49fe-97c4-332467adb9ca_Interbank_2025-01-08 1155AM_37326.pdf</t>
  </si>
  <si>
    <t>https://storage.googleapis.com/deytha-prod/supplierBills/6tSzmAugDYPea0RNu9cMmFXE3viKWvqfwMYUoq8w.pdf</t>
  </si>
  <si>
    <t>2025-11-19 18:07:32</t>
  </si>
  <si>
    <t>2025-11-20 18:06:28</t>
  </si>
  <si>
    <t xml:space="preserve">ALQUILER DE CAMIONETA TOYOTA HILUX DE PLACA Z7T860 CORRESPONDIENTE AL PERIODO JULIO 2025
</t>
  </si>
  <si>
    <t>https://storage.googleapis.com/deytha-prod/payments/OGScbn2PpFlTn0wPbQd3akNdl4jNzlbeAexow957.pdf</t>
  </si>
  <si>
    <t>https://storage.googleapis.com/deytha-prod/supplierBills/TDZFL28ndLElpsJfWIURuwprYopaDufEO3BfB6bY.pdf</t>
  </si>
  <si>
    <t>2025-11-21 18:39:51</t>
  </si>
  <si>
    <t>2025-11-23 09:39:32</t>
  </si>
  <si>
    <t xml:space="preserve">MATERIAL ELECTRICO 
REQ # 34 
REQ # 36 </t>
  </si>
  <si>
    <t>2025-11-24 15:49:00</t>
  </si>
  <si>
    <t>https://storage.googleapis.com/deytha-prod/rqf/86a3279d-3ab2-4c6f-b346-6ec9ec8c8657_COT - MATERIAL ELECTRICO REQ 34 -36.pdf</t>
  </si>
  <si>
    <t>https://storage.googleapis.com/deytha-prod/rqf/payments/6dc8717b-61ec-47f4-9edb-fec0868c7298_37762.PNG</t>
  </si>
  <si>
    <t>https://storage.googleapis.com/deytha-prod/rqf/37762/e00740c0-63ef-4c27-a529-39dc92c00661_37762 - F001-461 - ASOFTEL REQ ELECTRICO.pdf</t>
  </si>
  <si>
    <t>2025-11-21 18:50:33</t>
  </si>
  <si>
    <t>2025-11-15 18:50:33</t>
  </si>
  <si>
    <t>NOVIEMBRE-2025-CTS-DEYFOR-PY28</t>
  </si>
  <si>
    <t>2026-02-23 13:02:46</t>
  </si>
  <si>
    <t>2025-11-19 21:46:44</t>
  </si>
  <si>
    <t>2025-11-21 12:07:43</t>
  </si>
  <si>
    <t>2025-11-21 12:46:35</t>
  </si>
  <si>
    <t>ALIMENTACION SEMANA 02/11/2025 - 08/11/2025 MOQUEGUA</t>
  </si>
  <si>
    <t>2025-11-24 20:04:00</t>
  </si>
  <si>
    <t>https://storage.googleapis.com/deytha-prod/rqf/b510c699-5a52-4feb-9c52-fa3a8d318a5f_Untitled1.pdf</t>
  </si>
  <si>
    <t>https://storage.googleapis.com/deytha-prod/rqf/payments/e1f66c7a-8b94-4d13-944b-8aa6739fc75a_37347.PNG</t>
  </si>
  <si>
    <t>https://storage.googleapis.com/deytha-prod/rqf/37347/ef182c1a-4df5-438e-bd0a-26d56c286372_Captura de pantalla 2025-12-10 123509.png</t>
  </si>
  <si>
    <t>2025-11-19 21:49:16</t>
  </si>
  <si>
    <t>2025-11-21 12:49:10</t>
  </si>
  <si>
    <t>ALIMENTACION SEMANA 09/11/2025 - 15/11/2025 MOQUEGUA</t>
  </si>
  <si>
    <t>2025-11-21 19:54:00</t>
  </si>
  <si>
    <t>https://storage.googleapis.com/deytha-prod/rqf/42d7d81b-6ed6-4fab-9a26-3c82a4ada65e_SEMANA 28.pdf</t>
  </si>
  <si>
    <t>https://storage.googleapis.com/deytha-prod/bcp_pdfs/shared/1763772869_BCP_HTML.pdf</t>
  </si>
  <si>
    <t>https://storage.googleapis.com/deytha-prod/rqf/37348/f3b1d3d7-cc57-463e-b8b8-5c8baa88059b_Captura de pantalla 2025-12-10 123556.png</t>
  </si>
  <si>
    <t>2025-11-20 12:41:33</t>
  </si>
  <si>
    <t>MCD</t>
  </si>
  <si>
    <t>JAQUELINE DEL ROCIO VASQUEZ VASQUEZ</t>
  </si>
  <si>
    <t>2025-11-21 10:36:19</t>
  </si>
  <si>
    <t>2025-11-20 13:41:31</t>
  </si>
  <si>
    <t>PAGO POR EMO DE MARON ALVARADO MIGUEL ANGEL</t>
  </si>
  <si>
    <t>2025-11-21 11:28:00</t>
  </si>
  <si>
    <t>https://storage.googleapis.com/deytha-prod/rqf/afdeb5e2-3e9e-44bc-8355-c7043bca749c_F002-4106 DEYFOR.pdf</t>
  </si>
  <si>
    <t>https://storage.googleapis.com/deytha-prod/rqf/payments/5ff4761e-2cf7-46bf-be50-e9ccd5c26de4_37473.PNG</t>
  </si>
  <si>
    <t>https://storage.googleapis.com/deytha-prod/rqf/37473/32f34664-958b-4a8d-ba8a-ed8baaef1212_F002-4106 DEYFOR.pdf</t>
  </si>
  <si>
    <t>2025-11-21 09:31:02</t>
  </si>
  <si>
    <t>2025-11-21 10:30:54</t>
  </si>
  <si>
    <t>000-0408745    CCI 009-417-000000408745-78</t>
  </si>
  <si>
    <t>PAGO POR EMO DE CHILO CHIQUE MARCO ANTONIO</t>
  </si>
  <si>
    <t>2025-11-21 19:32:00</t>
  </si>
  <si>
    <t>https://storage.googleapis.com/deytha-prod/rqf/541e0e15-29c6-46d7-af6c-22a7393de327_PDF-DOC-E001-502720605114980 (1).pdf</t>
  </si>
  <si>
    <t>https://storage.googleapis.com/deytha-prod/rqf/payments/133f791c-e819-4d16-a553-a9239d611ada_Scotiabank_ANGE 2.pdf</t>
  </si>
  <si>
    <t>https://storage.googleapis.com/deytha-prod/rqf/37623/4faca3f6-7069-43f8-87e6-2135c4c76b9c_....pdf</t>
  </si>
  <si>
    <t>2025-11-18 17:05:45</t>
  </si>
  <si>
    <t>2025-11-21 08:52:23</t>
  </si>
  <si>
    <t>2025-11-19 17:05:26</t>
  </si>
  <si>
    <t>2025-12-05 16:49:00</t>
  </si>
  <si>
    <t>https://storage.googleapis.com/deytha-prod/payments/nHTMZrE9wIlFFjuUOCulORx1yfwLo7bsBFaOJP4F.pdf</t>
  </si>
  <si>
    <t>https://storage.googleapis.com/deytha-prod/bcp_pdfs/shared/1764971428_BCP_HTML.pdf</t>
  </si>
  <si>
    <t>https://storage.googleapis.com/deytha-prod/supplierBills/rxVs2iv574jrADI4tq6V9c8SGJpFO779cyZJGNVa.pdf</t>
  </si>
  <si>
    <t>2025-11-18 17:10:02</t>
  </si>
  <si>
    <t>2025-11-19 17:09:53</t>
  </si>
  <si>
    <t>2025-12-19 21:28:00</t>
  </si>
  <si>
    <t>https://storage.googleapis.com/deytha-prod/payments/t0CogUQcXVbq6urdDoNuSF5ROs62x4l7KG7jtFhi.pdf</t>
  </si>
  <si>
    <t>https://storage.googleapis.com/deytha-prod/bcp_pdfs/shared/1766197769_BCP_HTML.pdf</t>
  </si>
  <si>
    <t>https://storage.googleapis.com/deytha-prod/supplierBills/pw9GVypk1XoDFR1lTLW3HpdOHzqK0iluEc868dvn.pdf</t>
  </si>
  <si>
    <t>2025-11-18 16:32:07</t>
  </si>
  <si>
    <t>2025-11-21 08:32:24</t>
  </si>
  <si>
    <t>2025-11-19 16:32:04</t>
  </si>
  <si>
    <t>SERV. ALQ. BAÑO EJECUTIVO C/LAVAMANOS - SERV. ALQ. LAVAMANOS MULTIPLE SUPERTWIN D2</t>
  </si>
  <si>
    <t>2025-12-11 11:25:00</t>
  </si>
  <si>
    <t>https://storage.googleapis.com/deytha-prod/payments/SXQ9H6kDZW17gPUolP69ZIYEgx0ByJr26mEseqos.pdf</t>
  </si>
  <si>
    <t>https://storage.googleapis.com/deytha-prod/bcp_pdfs/shared/1765470392_BCP_HTML.pdf</t>
  </si>
  <si>
    <t>https://storage.googleapis.com/deytha-prod/rqf/37201/afafd03f-1fc9-4911-b2a8-35a6d04c5bd2_20507850091-01-F035-10822 3300.pdf</t>
  </si>
  <si>
    <t>2025-11-17 15:40:09</t>
  </si>
  <si>
    <t>2025-11-21 08:21:23</t>
  </si>
  <si>
    <t>2025-11-18 15:40:03</t>
  </si>
  <si>
    <t>HUANACO MACUAGA TEODORO JESUS</t>
  </si>
  <si>
    <t>001108140211497373  CCI-01181400021149737314</t>
  </si>
  <si>
    <t xml:space="preserve">SERVICIO Y DOCUMENTACION PARA HOMOLOGACION EN POSICION 6G PROCESO SMAW
</t>
  </si>
  <si>
    <t>2025-11-27 15:57:00</t>
  </si>
  <si>
    <t>https://storage.googleapis.com/deytha-prod/rqf/payments/34d18ce2-bf8e-42d3-bb1d-ee867b95db99_(BBVA)_consulta_de_pagos_masivos (10).pdf</t>
  </si>
  <si>
    <t>https://storage.googleapis.com/deytha-prod/rqf/4c11886b-9305-469a-afde-e4dcb1348eab_10046454401-R01-E001-67.pdf</t>
  </si>
  <si>
    <t>2025-11-20 17:26:07</t>
  </si>
  <si>
    <t>2025-11-20 18:50:18</t>
  </si>
  <si>
    <t>2025-11-07 17:25:33</t>
  </si>
  <si>
    <t>SEM25Y26-2025-REM NETAS-PY28-RCC</t>
  </si>
  <si>
    <t>2025-11-07 19:00:00</t>
  </si>
  <si>
    <t>https://storage.googleapis.com/deytha-prod/rqf/e4c771d8-3eab-4450-bcea-835e2969e4f1_Sem25y26_20.10-02.11_2025_REM NETAS_PY028_RCC.pdf</t>
  </si>
  <si>
    <t>https://storage.googleapis.com/deytha-prod/rqf/payments/60829543-000a-4394-b3ed-3849f9d9bb19_89627.22.pdf</t>
  </si>
  <si>
    <t>2025-11-19 16:36:49</t>
  </si>
  <si>
    <t>2025-11-20 17:30:54</t>
  </si>
  <si>
    <t>2025-11-20 16:36:21</t>
  </si>
  <si>
    <t>ALIMENTACION EN MINA CORRESPONDIENTE AL MES DE OCTUBRE (MINA)</t>
  </si>
  <si>
    <t>2025-12-23 11:31:00</t>
  </si>
  <si>
    <t>https://storage.googleapis.com/deytha-prod/payments/QwZxJgvMnx8lNWaYy4TekiRzZWh7D41ty5pAboEv.pdf</t>
  </si>
  <si>
    <t>https://storage.googleapis.com/deytha-prod/rqf/payments/0d6027cd-11b5-4edf-82cf-43b7ee1dceb6_37309.PNG</t>
  </si>
  <si>
    <t>https://storage.googleapis.com/deytha-prod/supplierBills/M2aycSJJVTMUKAHzgS4GdLUKbuOeZRKEf7LFhl1r.pdf</t>
  </si>
  <si>
    <t>2025-11-19 16:55:54</t>
  </si>
  <si>
    <t>2025-11-20 16:55:45</t>
  </si>
  <si>
    <t>COMPRA DE 120 M3 DE TIERRA DE CHACRA PARA PROYCTO, YA ENTREGADO A OBRA.</t>
  </si>
  <si>
    <t>2025-12-17 16:07:00</t>
  </si>
  <si>
    <t>https://storage.googleapis.com/deytha-prod/payments/pFf0mnkdM0BH1FbL9kvfx2bE1k58CnnDjdXfdWiR.pdf</t>
  </si>
  <si>
    <t>https://storage.googleapis.com/deytha-prod/bcp_pdfs/shared/1766005708_BCP_HTML.pdf</t>
  </si>
  <si>
    <t>https://storage.googleapis.com/deytha-prod/rqf/37315/888f4d77-0d65-43ef-99c9-21efc64cdce6_1140.pdf</t>
  </si>
  <si>
    <t>2025-11-20 16:54:29</t>
  </si>
  <si>
    <t>2025-11-06 16:54:29</t>
  </si>
  <si>
    <t>OCTUBRE-2025-ESSALUD-EDKA-PY28-RG</t>
  </si>
  <si>
    <t>2026-02-23 13:01:01</t>
  </si>
  <si>
    <t>2025-11-19 14:54:47</t>
  </si>
  <si>
    <t>2025-11-20 16:52:27</t>
  </si>
  <si>
    <t>2025-11-20 14:54:18</t>
  </si>
  <si>
    <t>ZEBALLOS ARANA VALENTIN FRANCISCO</t>
  </si>
  <si>
    <t>COCHERA BUS EN LA CIUDAD DE MOQUEGUA.</t>
  </si>
  <si>
    <t>2025-12-17 19:09:00</t>
  </si>
  <si>
    <t>https://storage.googleapis.com/deytha-prod/rqf/c26c430e-7834-4fc8-a470-27b2fb0c06ea_Cochera.pdf</t>
  </si>
  <si>
    <t>https://storage.googleapis.com/deytha-prod/bcp_pdfs/shared/1766016629_BCP_HTML.pdf</t>
  </si>
  <si>
    <t>https://storage.googleapis.com/deytha-prod/rqf/76071f29-d74f-4a98-beb2-46c17170efdf_RHE10044029451E00122.pdf</t>
  </si>
  <si>
    <t>2025-11-19 16:13:37</t>
  </si>
  <si>
    <t>2025-11-20 16:13:32</t>
  </si>
  <si>
    <t>2025-12-04 18:04:00</t>
  </si>
  <si>
    <t>https://storage.googleapis.com/deytha-prod/payments/pZ0IICldVZN0CvC2HOGbxZr3NYpwnjv0tSKILsPv.pdf</t>
  </si>
  <si>
    <t>https://storage.googleapis.com/deytha-prod/bcp_pdfs/shared/1764889528_BCP_HTML.pdf</t>
  </si>
  <si>
    <t>https://storage.googleapis.com/deytha-prod/supplierBills/KS6IVi8jK1tycJU6Ed7H53sNjX3yvu6z6myFKwfr.pdf</t>
  </si>
  <si>
    <t>2025-11-20 16:25:41</t>
  </si>
  <si>
    <t>2025-11-06 16:25:41</t>
  </si>
  <si>
    <t>OCTUBRE-2025-REM NETAS-EDKA-PY28-RG</t>
  </si>
  <si>
    <t>2025-11-20 16:13:42</t>
  </si>
  <si>
    <t>2025-11-06 16:13:42</t>
  </si>
  <si>
    <t>OCTUBRE-2025-AFP-EDKA-PY28-RG</t>
  </si>
  <si>
    <t>2026-02-23 12:59:57</t>
  </si>
  <si>
    <t>2025-11-18 15:13:48</t>
  </si>
  <si>
    <t>2025-11-20 15:18:33</t>
  </si>
  <si>
    <t>2025-11-19 15:13:25</t>
  </si>
  <si>
    <t>ALQUILER DE CONTENEDOR TIPO ALMACEN CON REPISAS / ALQUILER DE CONTENEDOR TIPO OFICINA / ALQUILER DE CONTENEDOR TIPO ALMACEN VACIO / ALQUILER DE CONTENEDOR TIPO OFICINA ALQUILER DE CONTENEDOR TIPO ALMACEN CON REPISAS, DESDE EL 06/10/2025 AL 05/11/2025</t>
  </si>
  <si>
    <t>2025-12-03 19:52:00</t>
  </si>
  <si>
    <t>https://storage.googleapis.com/deytha-prod/payments/UzPLH6hN8fI2ij2Y3LxnLnRixtJ3y8RZBVnWT7HV.pdf</t>
  </si>
  <si>
    <t>https://storage.googleapis.com/deytha-prod/rqf/payments/d512ae13-f8d9-45a1-bfea-1cadabe7f44f_CADEL DICIEMBRE.pdf</t>
  </si>
  <si>
    <t>https://storage.googleapis.com/deytha-prod/supplierBills/28yLTFeilJkUun7Sq70FO5VMkxNSpOFeTaKzBbZT.pdf</t>
  </si>
  <si>
    <t>2025-11-19 14:38:09</t>
  </si>
  <si>
    <t>2025-11-20 14:38:06</t>
  </si>
  <si>
    <t>ZAPANA COLQUEHUANCA JOSE LUIS</t>
  </si>
  <si>
    <t xml:space="preserve">TRASLADO DE VIGILANTES DE CUAJONE - MOQUEGUA  </t>
  </si>
  <si>
    <t>2025-11-27 11:01:00</t>
  </si>
  <si>
    <t>https://storage.googleapis.com/deytha-prod/rqf/567919b3-0a77-4ec6-ac98-2cd29222361f_6ta SEMANA.pdf</t>
  </si>
  <si>
    <t>https://storage.googleapis.com/deytha-prod/bcp_pdfs/shared/1764259348_BCP_HTML.pdf</t>
  </si>
  <si>
    <t>https://storage.googleapis.com/deytha-prod/rqf/37289/e1bf8079-8186-4562-bbaa-d166eb1d5143_Vigilancia último.pdf</t>
  </si>
  <si>
    <t>2025-11-20 14:03:48</t>
  </si>
  <si>
    <t>2025-11-20 14:03:00</t>
  </si>
  <si>
    <t>DAMOS SAC</t>
  </si>
  <si>
    <t>0011-0137-0200706663</t>
  </si>
  <si>
    <t xml:space="preserve">Pago RQF-D:403(1 / 2) | COT DE PUERTAS CONTRAPLACADAS 
D2 
A3 </t>
  </si>
  <si>
    <t>2025-11-21 10:01:00</t>
  </si>
  <si>
    <t>https://storage.googleapis.com/deytha-prod/payments/LR9Q1uAsdJoBrtzKcpfpefOrrdFQpdoUpilUKrWe.pdf</t>
  </si>
  <si>
    <t>https://storage.googleapis.com/deytha-prod/rqf/payments/448a6044-73b2-48d0-adc1-346ae455b306_ec9d34e2-8713-4e13-ac16-d2590378a28e_BBVA_2025-11-21 1001AM_37489.pdf</t>
  </si>
  <si>
    <t>https://storage.googleapis.com/deytha-prod/rqf/37489/ec92430b-2108-4b64-9923-60d5035ce22d_37498 - DEVOLUCION DE DEPOSITO.jpg</t>
  </si>
  <si>
    <t>2025-11-20 14:05:38</t>
  </si>
  <si>
    <t>2025-11-21 14:05:16</t>
  </si>
  <si>
    <t>COT 
IMPRESORA A3 
AREA CALIDAD</t>
  </si>
  <si>
    <t>2025-11-20 19:48:00</t>
  </si>
  <si>
    <t>https://storage.googleapis.com/deytha-prod/rqf/2218fa8d-139c-49bf-add9-edff5cfd550c_COT - IMPRESORA A3 - NOV AREA CALIDAD.pdf</t>
  </si>
  <si>
    <t>https://storage.googleapis.com/deytha-prod/rqf/payments/1111d668-631b-45ca-83ed-10aa6246a3bd_BCP_2025-11-20 748PM_37491.pdf</t>
  </si>
  <si>
    <t>https://storage.googleapis.com/deytha-prod/rqf/37491/83ac0f49-31ef-41ef-8a0c-13c2163c18fa_37491 - F003-9626 - IMPRESORA  A3.pdf</t>
  </si>
  <si>
    <t>2025-11-20 15:07:28</t>
  </si>
  <si>
    <t>2025-11-06 15:07:28</t>
  </si>
  <si>
    <t>OCTUBRE-2025-IR 5TA-DEYFOR-PY28-RG</t>
  </si>
  <si>
    <t>2026-02-23 12:58:25</t>
  </si>
  <si>
    <t>2025-11-20 11:47:40</t>
  </si>
  <si>
    <t>2025-11-06 11:47:40</t>
  </si>
  <si>
    <t>OCTUBRE-2025-ONP-DEYFOR-PY28-RG</t>
  </si>
  <si>
    <t>2026-02-23 12:55:26</t>
  </si>
  <si>
    <t>2025-11-20 11:23:34</t>
  </si>
  <si>
    <t>2025-11-06 11:23:34</t>
  </si>
  <si>
    <t>OCTUBRE-2025-AFP-DEYFOR-PY28-RG</t>
  </si>
  <si>
    <t>2026-02-23 12:53:31</t>
  </si>
  <si>
    <t>2025-11-20 10:45:42</t>
  </si>
  <si>
    <t>2025-11-06 10:45:42</t>
  </si>
  <si>
    <t>OCTUBRE-2025-ESSALUD-DEYFOR-PY28-RG</t>
  </si>
  <si>
    <t>2026-02-23 12:51:56</t>
  </si>
  <si>
    <t>2025-11-20 10:22:12</t>
  </si>
  <si>
    <t>2025-11-06 10:22:12</t>
  </si>
  <si>
    <t>OCTUBRE-2025-REM NETAS-DEYFOR-PY-28-RG</t>
  </si>
  <si>
    <t>2025-11-18 14:45:25</t>
  </si>
  <si>
    <t>2025-11-19 23:11:58</t>
  </si>
  <si>
    <t>2025-12-11 14:44:33</t>
  </si>
  <si>
    <t>POR SERVICIO DE ALQUILER DE CAMION GRUA 7 TN PLACA Z7Z-828 DEL 25/09/2025 AL 22/10/2025</t>
  </si>
  <si>
    <t>2025-12-16 12:52:00</t>
  </si>
  <si>
    <t>https://storage.googleapis.com/deytha-prod/payments/Qkri93gtIXNRRtbh9euUjR50N7ApZ5NDFuRt46l2.pdf</t>
  </si>
  <si>
    <t>https://storage.googleapis.com/deytha-prod/rqf/payments/917106fc-8039-4504-b189-359aebe1b734_Scotiabank_2025-12-16 1252PM_37175.pdf</t>
  </si>
  <si>
    <t>https://storage.googleapis.com/deytha-prod/supplierBills/JQAfm6R9n1C43zgwpa9V8Izi30UnnXGFZSwY4Bkp.pdf</t>
  </si>
  <si>
    <t>2025-11-19 13:07:18</t>
  </si>
  <si>
    <t>2025-11-19 14:18:38</t>
  </si>
  <si>
    <t>2025-11-19 14:07:09</t>
  </si>
  <si>
    <t xml:space="preserve">PAGO POR EMO DE APAZA ASQUI JONATAN GUILLERMO Y CHECALLA ARIVILCA	VLADIMIR HUGO
</t>
  </si>
  <si>
    <t>2025-11-19 14:56:00</t>
  </si>
  <si>
    <t>https://storage.googleapis.com/deytha-prod/rqf/cf5ac5a4-1432-4da4-a4ea-6ff91a15aed1_val. 49-2025_DEYFOR.xlsx</t>
  </si>
  <si>
    <t>https://storage.googleapis.com/deytha-prod/rqf/payments/c3a5d74a-fa67-4c85-a50b-c00b2e600741_37286.PNG</t>
  </si>
  <si>
    <t>https://storage.googleapis.com/deytha-prod/rqf/37286/8fa11540-063b-4d6d-8532-a04d70f27426_PDF-DOC-E001-63720606572922.pdf</t>
  </si>
  <si>
    <t>2025-11-19 09:11:47</t>
  </si>
  <si>
    <t xml:space="preserve">DEVOLUCION DE CAJA CHICA
</t>
  </si>
  <si>
    <t>2025-11-19 09:15:44</t>
  </si>
  <si>
    <t>https://storage.googleapis.com/deytha-prod/payments/3VkqjHtjC9oXEBXzlACx99ixwI9tRkaCLkdIfdHc.pdf</t>
  </si>
  <si>
    <t>https://storage.googleapis.com/deytha-prod/payments/FUK8tMjpCPDzQmUXFDTCGUqAyizqMRg6pWRQGLyJ.pdf</t>
  </si>
  <si>
    <t>2025-11-18 17:38:26</t>
  </si>
  <si>
    <t>2025-11-18 18:34:05</t>
  </si>
  <si>
    <t>2025-11-19 17:37:47</t>
  </si>
  <si>
    <t>2026-01-09 20:21:00</t>
  </si>
  <si>
    <t>https://storage.googleapis.com/deytha-prod/payments/T5x2mSTe246B8a0sljKcMfYWdXe9jz7v7pZFGSe6.pdf</t>
  </si>
  <si>
    <t>https://storage.googleapis.com/deytha-prod/rqf/payments/b5936839-9ac3-448a-a66e-3bed3b45e591_37226-37217-38398.pdf</t>
  </si>
  <si>
    <t>https://storage.googleapis.com/deytha-prod/rqf/37217/41fe98a3-bce5-443b-8eac-ec525d633c5e_PDF-DOC-E001-10710742857013.pdf</t>
  </si>
  <si>
    <t>2025-11-18 17:40:01</t>
  </si>
  <si>
    <t>2025-11-19 17:39:49</t>
  </si>
  <si>
    <t>ALQUILER DE RETROEXCAVADORA MES DE SEPTIEMBRE 310SQ</t>
  </si>
  <si>
    <t>2026-01-30 17:55:00</t>
  </si>
  <si>
    <t>https://storage.googleapis.com/deytha-prod/payments/DybkD6WtTfbgWIUcEMHpS6VNUX97H6HEw6K7LwGe.pdf</t>
  </si>
  <si>
    <t>https://storage.googleapis.com/deytha-prod/rqf/payments/8c6108d4-e457-460f-9b1b-51bd2273fcc0_Interbank_2026-01-30 555PM_37219.pdf</t>
  </si>
  <si>
    <t>https://storage.googleapis.com/deytha-prod/rqf/37219/4eef7182-a2f9-417e-bb34-24dcce12ade9_PDF-DOC-E001-11910742857013.pdf</t>
  </si>
  <si>
    <t>2025-11-18 17:41:37</t>
  </si>
  <si>
    <t>2025-11-19 17:40:35</t>
  </si>
  <si>
    <t>2026-01-20 12:53:00</t>
  </si>
  <si>
    <t>https://storage.googleapis.com/deytha-prod/payments/BdBhdnQbdyBu7Va89IJ9DHbSuWyr0tjfXWNfvTUe.pdf</t>
  </si>
  <si>
    <t>https://storage.googleapis.com/deytha-prod/rqf/payments/e1614215-2e9a-41fe-b369-d5da0dddca55_37220.pdf</t>
  </si>
  <si>
    <t>https://storage.googleapis.com/deytha-prod/rqf/37220/9d628952-9e79-4b1f-b6fe-330979fd3e1b_PDF-DOC-E001-12610742857013.pdf</t>
  </si>
  <si>
    <t>2025-11-18 17:45:17</t>
  </si>
  <si>
    <t>2025-11-19 17:44:59</t>
  </si>
  <si>
    <t>REGULARIZACIÓN SALDO 50% DEL SERVICIO DE ALQUILER DE EXCAVADORA, MARCA: JOHN DEERE, MODELO:350GLC, SERIE:1F9350GXCJD808170</t>
  </si>
  <si>
    <t>2025-12-05 16:14:00</t>
  </si>
  <si>
    <t>https://storage.googleapis.com/deytha-prod/payments/rAZmg6ToRSgqC5pqzenSLt5JVJTJv902dUraITES.pdf</t>
  </si>
  <si>
    <t>https://storage.googleapis.com/deytha-prod/rqf/payments/5b5b7e48-eacb-4de2-89e8-cd91d885690a_37221.pdf</t>
  </si>
  <si>
    <t>https://storage.googleapis.com/deytha-prod/supplierBills/efaIPifRYwVkbUwbemdb9rAexLcQ1SR5ExX7b0Yg.pdf</t>
  </si>
  <si>
    <t>2025-11-18 18:25:38</t>
  </si>
  <si>
    <t>2025-11-19 18:22:38</t>
  </si>
  <si>
    <t>FALLA EN EL SISTEMA ERP AL NO FIGURAR IGV, SE INGRESA NUEVAMENTE VALORIZACION Y FACTURA PARA REGULARIZACION DE PAGO, ES EL IGV DEL CODIGO 28335, ES DEL ALQUILER DE UNA RETROEXCAVADORA.</t>
  </si>
  <si>
    <t>https://storage.googleapis.com/deytha-prod/payments/GpBJdRzhiz2QVnc1RV2BBvQa9q6xG5GQ4Q5MtE7o.pdf</t>
  </si>
  <si>
    <t>https://storage.googleapis.com/deytha-prod/rqf/payments/d0a25e1b-cf90-4556-b7ff-8b5b6e073a72_37226-37217-38398.pdf</t>
  </si>
  <si>
    <t>https://storage.googleapis.com/deytha-prod/supplierBills/e6gInzdUxPYBDNPfClOqLzmJnXh3NUQSf9VYUDYR.pdf</t>
  </si>
  <si>
    <t>2025-11-18 17:37:04</t>
  </si>
  <si>
    <t>2025-11-18 17:57:44</t>
  </si>
  <si>
    <t>2025-11-19 17:36:48</t>
  </si>
  <si>
    <t>2025-11-27 17:39:00</t>
  </si>
  <si>
    <t>https://storage.googleapis.com/deytha-prod/payments/dx0R3Pnuvx36lAiIYQ7QLu2eopoWJVYtNutWZDkG.pdf</t>
  </si>
  <si>
    <t>https://storage.googleapis.com/deytha-prod/rqf/payments/20056705-1e5a-4188-85d0-c07411717969_37216.pdf</t>
  </si>
  <si>
    <t>https://storage.googleapis.com/deytha-prod/supplierBills/3qVbx1JyiZZJTKEuESTOhFI7b9J4O4ofXH4GVIxJ.pdf</t>
  </si>
  <si>
    <t>2025-11-18 13:16:32</t>
  </si>
  <si>
    <t>2025-11-18 13:29:43</t>
  </si>
  <si>
    <t>2025-11-18 14:16:15</t>
  </si>
  <si>
    <t xml:space="preserve">PAGO POR EMO DE RETIRO PARA LIMACHE ATENCIO ANTONY ALEX	</t>
  </si>
  <si>
    <t>2025-11-18 16:06:00</t>
  </si>
  <si>
    <t>https://storage.googleapis.com/deytha-prod/rqf/bb00816b-1c4e-4370-98b2-435abd624e8f_PDF-DOC-E001-493420605114980 (1) (1).pdf</t>
  </si>
  <si>
    <t>https://storage.googleapis.com/deytha-prod/rqf/payments/30e9bac1-4759-41f8-95ab-7d57b084734b_Scotiabank_2025-11-18 406PM_37170.pdf</t>
  </si>
  <si>
    <t>https://storage.googleapis.com/deytha-prod/rqf/37170/46d79c88-f7ee-42c2-a231-b34edff5a118_E001-4934.pdf</t>
  </si>
  <si>
    <t>2025-11-18 13:21:45</t>
  </si>
  <si>
    <t>2025-11-18 14:21:37</t>
  </si>
  <si>
    <t>PAGO POR EMO DE AGUILAR TUNI PAUL ALONZO</t>
  </si>
  <si>
    <t>2025-11-18 14:56:00</t>
  </si>
  <si>
    <t>https://storage.googleapis.com/deytha-prod/rqf/6471fd04-1b3a-41ad-89f9-c24e506d61a6_20539477600-01-F002-00019453 (1).pdf</t>
  </si>
  <si>
    <t>https://storage.googleapis.com/deytha-prod/rqf/payments/e3de19a5-372b-4328-b57e-aa4031606ee0_37171.PNG</t>
  </si>
  <si>
    <t>https://storage.googleapis.com/deytha-prod/rqf/37171/9530bf8d-25ac-4a9d-97da-754af6402dd4_F002-00019453.pdf</t>
  </si>
  <si>
    <t>2025-11-18 09:17:38</t>
  </si>
  <si>
    <t>2025-11-18 10:37:20</t>
  </si>
  <si>
    <t>2025-11-18 09:17:34</t>
  </si>
  <si>
    <t>PAGO DE EMO TERRONES AYAY JAIME ORLNADO</t>
  </si>
  <si>
    <t>2025-11-18 11:19:00</t>
  </si>
  <si>
    <t>https://storage.googleapis.com/deytha-prod/rqf/payments/1dfe0fc3-7411-4556-9174-3300099fea86_37132.PNG</t>
  </si>
  <si>
    <t>https://storage.googleapis.com/deytha-prod/rqf/37132/64312ac2-1375-43cc-b67d-079c73a2cd5c_20539477600-01-F002-00019437 (1).pdf</t>
  </si>
  <si>
    <t>2025-11-18 09:29:31</t>
  </si>
  <si>
    <t>2025-11-18 09:29:21</t>
  </si>
  <si>
    <t>PAGO DE EMO RAMOS AGUADO JOSE NELSON</t>
  </si>
  <si>
    <t>2025-11-18 11:15:00</t>
  </si>
  <si>
    <t>https://storage.googleapis.com/deytha-prod/rqf/d119d643-bd06-4e7f-994d-bd4d20671a60_LIMA 18.jpg</t>
  </si>
  <si>
    <t>https://storage.googleapis.com/deytha-prod/rqf/payments/5aeb1bcb-5b33-4c10-8cd2-baf2a1fcc739_37134.PNG</t>
  </si>
  <si>
    <t>https://storage.googleapis.com/deytha-prod/rqf/37134/a9eeac4d-0cc7-4229-b24a-b4cf7bd689ee_20555113731-01-F001-13115 (1).pdf</t>
  </si>
  <si>
    <t>2025-11-18 10:27:34</t>
  </si>
  <si>
    <t>2025-11-18 11:27:29</t>
  </si>
  <si>
    <t>PAGO POR EMO PARA MARTINEZ PERALTA RAFAEL PIERO ALEXANDER</t>
  </si>
  <si>
    <t>2025-11-18 11:04:00</t>
  </si>
  <si>
    <t>https://storage.googleapis.com/deytha-prod/rqf/af32461e-83f7-4d71-89b6-ed4c70cbca0b_F002-4090 DEYFOR.pdf</t>
  </si>
  <si>
    <t>https://storage.googleapis.com/deytha-prod/rqf/payments/b93b0c35-bf3c-485b-8636-46e1906a9cfb_37144.PNG</t>
  </si>
  <si>
    <t>https://storage.googleapis.com/deytha-prod/rqf/37144/26d584a7-56cc-4ef5-9ca4-668be803110c_F002-0000004090.pdf</t>
  </si>
  <si>
    <t>2025-11-17 17:18:22</t>
  </si>
  <si>
    <t>2025-11-17 17:18:21</t>
  </si>
  <si>
    <t xml:space="preserve">LIMACHE ATENCIO ANTONY ALEX </t>
  </si>
  <si>
    <t>430-08272316-0-88</t>
  </si>
  <si>
    <t>2025-11-24 20:22:00</t>
  </si>
  <si>
    <t>https://storage.googleapis.com/deytha-prod/worker/settle/Y6ZYTInoTcjLqQX0gkt0sRsOxsSospGhFKV3UZuN.pdf</t>
  </si>
  <si>
    <t>https://storage.googleapis.com/deytha-prod/rqf/payments/08b6fcbe-6aa3-4376-8aa4-27b03d92891f_BCP_2025-11-24 822PM_Liquidaciones.pdf</t>
  </si>
  <si>
    <t>2025-11-17 16:33:26</t>
  </si>
  <si>
    <t>2025-10-01 16:33:26</t>
  </si>
  <si>
    <t>SERVICIO DE MOVILIDAD DE CUAJONE HACIA MOQUEGUA PERSONAL CONDUCTOR </t>
  </si>
  <si>
    <t>2025-11-18 20:00:46</t>
  </si>
  <si>
    <t>https://storage.googleapis.com/deytha-prod/payments/OSn9Og3pYzr14IlC8VeV7T7B85tfilDeYAp4eKUj.pdf</t>
  </si>
  <si>
    <t>https://storage.googleapis.com/deytha-prod/payments/CtC43KNHw4ZkfZq6iRjbzkYSOEMXJ9p2PhTqjEo7.pdf</t>
  </si>
  <si>
    <t>2025-11-17 16:33:21</t>
  </si>
  <si>
    <t>2025-10-15 16:33:21</t>
  </si>
  <si>
    <t>TRANSPORTE DE AREQUIPA MOQUEGUA DE 3 PAQUTES DE TUBO</t>
  </si>
  <si>
    <t>2025-11-18 20:00:27</t>
  </si>
  <si>
    <t>https://storage.googleapis.com/deytha-prod/payments/baU9HJXdhR7k3rcf5FjvdrBfm8BmqrkHyfx2QSgT.pdf</t>
  </si>
  <si>
    <t>https://storage.googleapis.com/deytha-prod/payments/AFm9ehPsODrIatIyOzFqg45NzbZSRG5UYuoW1lCp.pdf</t>
  </si>
  <si>
    <t>2025-11-17 11:00:59</t>
  </si>
  <si>
    <t>2025-11-17 14:23:31</t>
  </si>
  <si>
    <t>2025-11-17 11:00:44</t>
  </si>
  <si>
    <t>PAGO DE EMO SUCLLA VALDEZ ALESKEY IBRAIM ,SOSA CUENTAS NILL ANTHONY</t>
  </si>
  <si>
    <t>2025-11-17 16:58:00</t>
  </si>
  <si>
    <t>https://storage.googleapis.com/deytha-prod/rqf/a2757f33-6aac-47f9-9f23-8517e33cf918_F002-4088 DEYFOR.pdf</t>
  </si>
  <si>
    <t>https://storage.googleapis.com/deytha-prod/rqf/payments/fa11d9fb-6dc0-42c4-a9b5-1c3d569e4fb3_37033.PNG</t>
  </si>
  <si>
    <t>https://storage.googleapis.com/deytha-prod/rqf/37033/5ac951d2-abc4-46c7-b352-0e0293b98673_F002-0000004088.pdf</t>
  </si>
  <si>
    <t>2025-11-17 10:21:55</t>
  </si>
  <si>
    <t>2025-11-17 10:24:51</t>
  </si>
  <si>
    <t>2025-11-17 10:21:46</t>
  </si>
  <si>
    <t>INSTITUTO MEDICO EN SALUD OCUPACIONAL SOY DIABETICO EIRL</t>
  </si>
  <si>
    <t>475-9745853-0-36</t>
  </si>
  <si>
    <t>PAGO DE EMO LOPEZ CORDERO ALEJANDRO SELEER</t>
  </si>
  <si>
    <t>2025-11-17 11:02:00</t>
  </si>
  <si>
    <t>https://storage.googleapis.com/deytha-prod/rqf/7d8053b3-74bd-4672-a98a-fe17edafd1dc_PAGO PIURA.jpg</t>
  </si>
  <si>
    <t>https://storage.googleapis.com/deytha-prod/rqf/payments/303e335c-7408-4985-aad7-51ade500360e_37027.PNG</t>
  </si>
  <si>
    <t>https://storage.googleapis.com/deytha-prod/rqf/37027/606245b4-3545-41d1-89a4-dde44301fa5c_F001-8397 (1) (2).pdf</t>
  </si>
  <si>
    <t>2025-11-15 18:38:24</t>
  </si>
  <si>
    <t>M Y M INGENIERIA Y GEOTECNIA S.R.L.</t>
  </si>
  <si>
    <t>430-77956905-0-60</t>
  </si>
  <si>
    <t>2025-11-14 17:59:35</t>
  </si>
  <si>
    <t>2025-11-15 17:58:58</t>
  </si>
  <si>
    <t xml:space="preserve">Alquiler de equipo telurometro MTD20KWE marca
Megabras incluye certificado de calibracion </t>
  </si>
  <si>
    <t>2025-11-17 18:42:00</t>
  </si>
  <si>
    <t>https://storage.googleapis.com/deytha-prod/payments/rBNBo0N0BQ0ZK1wvyB7190px18RQ1LLJVCr6b8X5.pdf</t>
  </si>
  <si>
    <t>https://storage.googleapis.com/deytha-prod/rqf/payments/0043dce6-877c-461a-8796-f53aa1d0d46d_36988.PNG</t>
  </si>
  <si>
    <t>https://storage.googleapis.com/deytha-prod/rqf/36988/c1a5e92d-7d02-4f98-8b3b-d82fce170190_36988 - E001-812 - SERVICO DE ALQUILER DE TELUROMETRO.pdf</t>
  </si>
  <si>
    <t>2025-11-14 18:19:19</t>
  </si>
  <si>
    <t>2025-11-15 18:19:07</t>
  </si>
  <si>
    <t xml:space="preserve">DOSIS TORGHEL 
MALLA RACHET 
ROLLO DE PLASTICO 
REQ # 35 ELECTRICO 
REQ # 07 ADM </t>
  </si>
  <si>
    <t>2025-11-24 19:13:00</t>
  </si>
  <si>
    <t>https://storage.googleapis.com/deytha-prod/rqf/c7da5759-04f6-4de7-8951-0732964e79fd_COT - TORGHEL Y MALLAS Y ROLLO DE PLASTICO.pdf</t>
  </si>
  <si>
    <t>https://storage.googleapis.com/deytha-prod/bcp_pdfs/shared/1764029669_BCP_HTML.pdf</t>
  </si>
  <si>
    <t>https://storage.googleapis.com/deytha-prod/rqf/36991/ac8a3951-7cb9-45c8-9ced-c0209a1d7429_36991 - FQQ1-516 - ADITIVOS PARA POZO TIERRA.pdf</t>
  </si>
  <si>
    <t>2025-11-15 08:27:47</t>
  </si>
  <si>
    <t>2025-11-16 08:27:06</t>
  </si>
  <si>
    <t xml:space="preserve">ALQUILER DE BUS PARA TRASLADO DE PERSONAL MOQUEGUA - CUAJONE 
POR 5 DIAS </t>
  </si>
  <si>
    <t>2025-11-17 19:09:00</t>
  </si>
  <si>
    <t>https://storage.googleapis.com/deytha-prod/payments/GRxh9n7ZNn3qMu9Jy29zDwVzb2tWQXfKDs4NLHqn.pdf</t>
  </si>
  <si>
    <t>https://storage.googleapis.com/deytha-prod/rqf/payments/ec3c96ff-e78b-4afb-b2c4-676773edcaed_37002.PNG</t>
  </si>
  <si>
    <t>https://storage.googleapis.com/deytha-prod/rqf/37002/c64cf7b6-2760-4b97-a8d7-713821832221_37002 - F002-984  - ALQUILER DE BUS.pdf</t>
  </si>
  <si>
    <t>2025-11-14 17:21:23</t>
  </si>
  <si>
    <t>2025-11-15 17:49:28</t>
  </si>
  <si>
    <t>2025-11-15 17:21:10</t>
  </si>
  <si>
    <t>MATERIALES ELECTRICO 
REQ # 35 - ELECTRICO</t>
  </si>
  <si>
    <t>2025-11-17 19:37:00</t>
  </si>
  <si>
    <t>https://storage.googleapis.com/deytha-prod/rqf/d55aa909-4c04-48e7-a07c-4cbfbf973512_COT - MATERAILES ELECTRICOS REQ 35.pdf</t>
  </si>
  <si>
    <t>https://storage.googleapis.com/deytha-prod/rqf/payments/7163a0f0-521a-40c5-834f-7230d897f4c8_36979.PNG</t>
  </si>
  <si>
    <t>https://storage.googleapis.com/deytha-prod/rqf/36979/42f3bae0-4652-4b91-8bd7-5df9db1e2a99_36979 - F001-458 - MAT ELECTRICO ASOFTEL.pdf</t>
  </si>
  <si>
    <t>2025-11-14 17:24:00</t>
  </si>
  <si>
    <t>2025-11-15 17:23:51</t>
  </si>
  <si>
    <t>UTILES DE ESCRITORIO 
AREA CALIDAD 
REQ 15 CALIDAD 
REQ RESIDENCIA 24</t>
  </si>
  <si>
    <t>2025-11-17 19:02:00</t>
  </si>
  <si>
    <t>https://storage.googleapis.com/deytha-prod/rqf/11cad216-f8ed-4160-b188-88238f603bd2_COT - UTILES DE ESCRITORIO AREA CALIDAD.pdf</t>
  </si>
  <si>
    <t>https://storage.googleapis.com/deytha-prod/rqf/payments/3fd89d75-f906-453e-81b4-159b5fdd4615_36980.PNG</t>
  </si>
  <si>
    <t>https://storage.googleapis.com/deytha-prod/rqf/36980/0e6087d2-248e-4e15-bef1-bd66be7d1da7_36980 - F001-7225 - UTILES DE ESCRITORIO.pdf</t>
  </si>
  <si>
    <t>2025-11-14 17:29:28</t>
  </si>
  <si>
    <t>2025-11-15 17:28:51</t>
  </si>
  <si>
    <t>TRAJES DESCAARTABLES Y GUANTES HUFLEX 
REQ # 34 SSOMA 
REQ # 07 ADM</t>
  </si>
  <si>
    <t>2025-11-17 19:33:00</t>
  </si>
  <si>
    <t>https://storage.googleapis.com/deytha-prod/rqf/172dda01-7e76-4193-9dc6-18a76531a2ce_COT - TRAJES Y GUANTES MOQUEGUA.pdf</t>
  </si>
  <si>
    <t>https://storage.googleapis.com/deytha-prod/rqf/payments/d120e415-a12d-4db7-82c9-5f85741e09de_36981.PNG</t>
  </si>
  <si>
    <t>https://storage.googleapis.com/deytha-prod/rqf/36981/bec0097c-b41d-4e47-b9dd-28c981344b2c_36981 - FQQ1-511 - GUANTES Y TRAJES.pdf</t>
  </si>
  <si>
    <t>2025-11-14 17:34:41</t>
  </si>
  <si>
    <t>2025-11-15 17:34:08</t>
  </si>
  <si>
    <t>ADITIVOS PARA POZO TIERRA 
SAL INDUSTRIAL 
CEMENTO CONDUCTIVO</t>
  </si>
  <si>
    <t>2025-11-24 21:04:00</t>
  </si>
  <si>
    <t>https://storage.googleapis.com/deytha-prod/rqf/38d61922-494e-4c5a-a6a0-780973a41018_COT - SAL Y CEMENTO REQ 35.pdf</t>
  </si>
  <si>
    <t>https://storage.googleapis.com/deytha-prod/rqf/payments/1f8fefd2-2749-43ba-ab74-997fb87a99d3_36683.PNG</t>
  </si>
  <si>
    <t>https://storage.googleapis.com/deytha-prod/rqf/36983/d5ec5905-e190-4290-87c8-0b777b7b7913_36983 - F002-393 - SAL Y CEMENTO.pdf</t>
  </si>
  <si>
    <t>2025-11-14 17:49:52</t>
  </si>
  <si>
    <t>2025-11-15 17:49:49</t>
  </si>
  <si>
    <t>AISLADOR POLIMERICO TIPO SUSPENSION STGS - 72.5- CL6 - SILICON TECHNOLOGY
REQ # 27 ELECTRICO</t>
  </si>
  <si>
    <t>2025-11-17 19:16:00</t>
  </si>
  <si>
    <t>https://storage.googleapis.com/deytha-prod/rqf/8356edb7-3c26-4348-b1f8-786d924c4c60_COT - AISLADOR   REQ 27 ELECTRICO.pdf</t>
  </si>
  <si>
    <t>https://storage.googleapis.com/deytha-prod/rqf/payments/15481312-8f4a-4fa5-8c85-31dc736ab9f1_36985.PNG</t>
  </si>
  <si>
    <t>https://storage.googleapis.com/deytha-prod/rqf/36985/89cbf5d2-7a91-4f6b-9871-d4716044459d_36985 - F001-871 - AISLADOR POLIMERICO TIPO SUSPENSION.pdf</t>
  </si>
  <si>
    <t>2025-11-14 17:15:28</t>
  </si>
  <si>
    <t>2025-11-15 17:15:06</t>
  </si>
  <si>
    <t>PINTURA OXIBAR AA 
AMARILLO RAL 1002</t>
  </si>
  <si>
    <t>2025-11-17 19:21:00</t>
  </si>
  <si>
    <t>https://storage.googleapis.com/deytha-prod/rqf/8ab6ee94-08af-4e78-afb7-be5b55ebc2a2_COT - PINTURA RENNER - OXIBAR AA AMARILLO RAL 1002.pdf</t>
  </si>
  <si>
    <t>https://storage.googleapis.com/deytha-prod/rqf/payments/da8dde26-5eac-4aa9-acf9-a543608caa4a_36978.PNG</t>
  </si>
  <si>
    <t>https://storage.googleapis.com/deytha-prod/rqf/36978/c7de4cb4-9242-4506-a101-8a77642db96c_36978 - F001-12273 - PINTURA RENNER.pdf</t>
  </si>
  <si>
    <t>2025-11-13 16:33:09</t>
  </si>
  <si>
    <t>2025-11-13 18:18:32</t>
  </si>
  <si>
    <t>2025-11-14 16:32:31</t>
  </si>
  <si>
    <t xml:space="preserve">REQ 
MATERIALES VARIOS AREA MECANICA 
REQ # 07 ADM
REQ # 05 TELECOMUNICACION </t>
  </si>
  <si>
    <t>2025-11-25 19:07:00</t>
  </si>
  <si>
    <t>https://storage.googleapis.com/deytha-prod/payments/qKxlqs0Q8DXPjw45l5P7QuAGWAvJPwxZZwvvU4i8.pdf</t>
  </si>
  <si>
    <t>https://storage.googleapis.com/deytha-prod/rqf/payments/eea3f588-a881-4a68-bcb9-d68381a569d7_36853.PNG</t>
  </si>
  <si>
    <t>https://storage.googleapis.com/deytha-prod/rqf/36853/72bbd864-b4a5-480b-be66-efdf42900d0b_36853 - F001-19190 - MATERIAL MECANICO DIFERCO.pdf</t>
  </si>
  <si>
    <t>2025-11-13 15:03:21</t>
  </si>
  <si>
    <t>2025-11-13 16:14:41</t>
  </si>
  <si>
    <t>2025-11-13 15:03:20</t>
  </si>
  <si>
    <t>PAGO DE EMO FIÑO ALMONTE CARLOS EDUARDO</t>
  </si>
  <si>
    <t>2025-11-13 17:34:00</t>
  </si>
  <si>
    <t>https://storage.googleapis.com/deytha-prod/payments/LOSUHG8V7SxYXTP7cNN9Ef7A2m7W3INMVz29BGDh.pdf</t>
  </si>
  <si>
    <t>https://storage.googleapis.com/deytha-prod/rqf/payments/8b1b0b5a-8400-44f2-ac3d-f9833a67e96f_36831.PNG</t>
  </si>
  <si>
    <t>https://storage.googleapis.com/deytha-prod/supplierBills/rQVF4OX3Yss5wMK4IgE5dsOdr7rt82N8dJpHg1W1.pdf</t>
  </si>
  <si>
    <t>2025-11-13 15:53:16</t>
  </si>
  <si>
    <t>2025-11-13 15:53:09</t>
  </si>
  <si>
    <t>PAGO DE EMO CHURA AROAPAZA JESUS CRISTIAN</t>
  </si>
  <si>
    <t>2025-11-13 17:10:00</t>
  </si>
  <si>
    <t>https://storage.googleapis.com/deytha-prod/payments/uP4i36XIzDV7QQVVjFhrvJ2UJ2CkZbxvRwLMiK5C.xlsx</t>
  </si>
  <si>
    <t>https://storage.googleapis.com/deytha-prod/rqf/payments/36a70cc2-52e5-4c11-a3c5-4df462f48c75_36846.PNG</t>
  </si>
  <si>
    <t>https://storage.googleapis.com/deytha-prod/rqf/36846/2f5cb7bd-9118-4cb1-a7a7-746eb2f95540_PDF-DOC-E001-63020606572922.pdf</t>
  </si>
  <si>
    <t>2025-11-12 18:22:44</t>
  </si>
  <si>
    <t>2025-11-13 14:45:20</t>
  </si>
  <si>
    <t>2025-11-14 09:22:36</t>
  </si>
  <si>
    <t>RASH PERU S.A.C.</t>
  </si>
  <si>
    <t>193-1115038-0-09 - MOQUEGUA</t>
  </si>
  <si>
    <t>COT 
CELULARES SMART
PARA AREA DE ADMINISTRACION MOQUEGUA / JEFE DE PROYECTO</t>
  </si>
  <si>
    <t>2025-11-18 16:28:00</t>
  </si>
  <si>
    <t>https://storage.googleapis.com/deytha-prod/payments/Y7YTxbCzJvlywKHKHScc7OuLEZpnzvK94sN65VfW.pdf</t>
  </si>
  <si>
    <t>https://storage.googleapis.com/deytha-prod/rqf/payments/84047df1-234f-4be5-9c3a-c12ef97937ec_36773.PNG</t>
  </si>
  <si>
    <t>https://storage.googleapis.com/deytha-prod/rqf/36773/48482928-1ed6-4ecb-8e7e-f0b51477fc3f_36773 - F001-046765 - CELULARES STAFF.pdf</t>
  </si>
  <si>
    <t>2025-11-13 10:21:24</t>
  </si>
  <si>
    <t>2025-11-13 13:06:56</t>
  </si>
  <si>
    <t>2025-11-13 10:21:15</t>
  </si>
  <si>
    <t xml:space="preserve">PAGO DE EMO QQUEHUE MACCAPA EDWIN
</t>
  </si>
  <si>
    <t>2025-11-13 16:05:00</t>
  </si>
  <si>
    <t>https://storage.googleapis.com/deytha-prod/payments/jB7g4TAS0ADnXJb6R6wYvCp0ufYDV4aRbGgvTn9E.pdf</t>
  </si>
  <si>
    <t>https://storage.googleapis.com/deytha-prod/paymentBills/xkbeiM2Unnx5W0pusr1027ORJdT7rwoZAKoqKqnb.png</t>
  </si>
  <si>
    <t>https://storage.googleapis.com/deytha-prod/supplierBills/Cwsil1VipnvQQ1GKRu7vNNMmeZ8moxyFpBuXqd9Q.pdf</t>
  </si>
  <si>
    <t>2025-10-24 12:19:23</t>
  </si>
  <si>
    <t>PY-033</t>
  </si>
  <si>
    <t>ROMERO ROJAS KAROL MARLENE</t>
  </si>
  <si>
    <t>2025-11-13 12:26:52</t>
  </si>
  <si>
    <t>2025-10-15 00:00:00</t>
  </si>
  <si>
    <t>LA POSITIVA SEGUROS Y REASEGUROS S.A.</t>
  </si>
  <si>
    <t>Pago RQF-D:394(1 / 2) | ABONO DE DOS CUOTAS PARA LA PÓLIZA CAR DEL PROYECTO PY-028</t>
  </si>
  <si>
    <t>2025-11-27 11:23:00</t>
  </si>
  <si>
    <t>https://storage.googleapis.com/deytha-prod/payments/gpjEDp8Q95H7ghv4TgbJz3cFyNijxg6Ee3Xk0hCU.pdf</t>
  </si>
  <si>
    <t>https://storage.googleapis.com/deytha-prod/rqf/payments/cde6b40a-e7f9-441c-a62f-648c69149035_BCP_2025-11-27 1123AM_35083.pdf</t>
  </si>
  <si>
    <t>https://storage.googleapis.com/deytha-prod/rqf/35083/7de3dbec-cfa0-457c-9b44-7b3c089c99b8_F040- 00505000.pdf</t>
  </si>
  <si>
    <t>2025-11-15 00:00:00</t>
  </si>
  <si>
    <t>Pago RQF-D:394(2 / 2) | ABONO DE DOS CUOTAS PARA LA PÓLIZA CAR DEL PROYECTO PY-028</t>
  </si>
  <si>
    <t>https://storage.googleapis.com/deytha-prod/bcp_pdfs/shared/1767661840_BCP_HTML.pdf</t>
  </si>
  <si>
    <t>https://storage.googleapis.com/deytha-prod/rqf/35084/f6da50da-7ccf-4ba1-bafc-1b747754dc02_F038- 00270669.pdf</t>
  </si>
  <si>
    <t>2025-09-17 22:57:35</t>
  </si>
  <si>
    <t>2025-11-13 12:21:01</t>
  </si>
  <si>
    <t>2025-10-06 17:56:00</t>
  </si>
  <si>
    <t xml:space="preserve">Pago RQF-D:373(2 / 2) | LUMINARIAS HERMETICAS 
INTERIRO 
EXTERIOR </t>
  </si>
  <si>
    <t>2025-11-14 20:33:00</t>
  </si>
  <si>
    <t>https://storage.googleapis.com/deytha-prod/payments/34iwKGvrCZKm6RlAYYyhdzf9dj2U4Gm6XxrzA9uM.pdf</t>
  </si>
  <si>
    <t>https://storage.googleapis.com/deytha-prod/rqf/payments/654e675b-e964-4a01-ba56-8bfa9e1bc6a2_31085.PNG</t>
  </si>
  <si>
    <t>https://storage.googleapis.com/deytha-prod/rqf/31085/3adb2df2-939a-4b29-84bd-b8e1c0601360_31085 - 31084 - F001-447 - LUMINARIAS.pdf</t>
  </si>
  <si>
    <t>2025-11-04 14:51:14</t>
  </si>
  <si>
    <t>2025-11-05 14:51:11</t>
  </si>
  <si>
    <t>2025-11-27 19:42:00</t>
  </si>
  <si>
    <t>https://storage.googleapis.com/deytha-prod/payments/HaBh9CkGzoSuAxbj2aEU8F2e3STDhOGT6RKwU86F.pdf</t>
  </si>
  <si>
    <t>https://storage.googleapis.com/deytha-prod/bcp_pdfs/shared/1764290615_BCP_HTML.pdf</t>
  </si>
  <si>
    <t>2025-11-09 21:52:44</t>
  </si>
  <si>
    <t>2025-11-11 12:52:33</t>
  </si>
  <si>
    <t>COT 
MATERIALES VARIOS 
 REQ #07 ADM 
REQ # 31 ELECTRICO</t>
  </si>
  <si>
    <t>2025-12-12 15:30:00</t>
  </si>
  <si>
    <t>https://storage.googleapis.com/deytha-prod/payments/9KFyekJ07ZYO6t9rMHmvOUU2FuPMSRehQ8OG0L2H.pdf</t>
  </si>
  <si>
    <t>https://storage.googleapis.com/deytha-prod/bcp_pdfs/shared/1765571489_BCP_HTML.pdf</t>
  </si>
  <si>
    <t>https://storage.googleapis.com/deytha-prod/rqf/36366/4cf69a94-442c-4a0d-a845-af4e49e0a7fe_36366 - F007-9127 - MATERIALES VARIOS Y EPPS AREA MECANICA.pdf</t>
  </si>
  <si>
    <t>2025-11-09 22:40:08</t>
  </si>
  <si>
    <t>2025-11-21 13:39:50</t>
  </si>
  <si>
    <t>C - 
COT - MATERIALES VARIOS ELECTRICOS REQ # 34 
SE VENCE EL PAGO EL 21 DE NOV</t>
  </si>
  <si>
    <t>2025-11-24 15:02:00</t>
  </si>
  <si>
    <t>https://storage.googleapis.com/deytha-prod/payments/UZCF70tXN1tDY78f0FohnqPWa8GEQdwuZbJz0gun.pdf</t>
  </si>
  <si>
    <t>https://storage.googleapis.com/deytha-prod/rqf/payments/2da9de42-8c7d-4d30-a05c-b2d5499de5f2_36367.PNG</t>
  </si>
  <si>
    <t>https://storage.googleapis.com/deytha-prod/rqf/36367/8b59b651-14b7-4a25-9365-7654403287f9_36367 - F001-000437 - MATERIAL ELECTRICO.pdf</t>
  </si>
  <si>
    <t>2025-11-09 22:48:19</t>
  </si>
  <si>
    <t>2025-11-11 13:48:13</t>
  </si>
  <si>
    <t xml:space="preserve">COT - LAMINADO Y TROQUELADO DE PIZARRAS Y SELLO PARA AREA CALIDAD
</t>
  </si>
  <si>
    <t>2025-11-14 12:23:00</t>
  </si>
  <si>
    <t>https://storage.googleapis.com/deytha-prod/payments/0a9SbFDJGHPFoKeVE0x5h5vWGVHoixM5ZSWFXKbW.pdf</t>
  </si>
  <si>
    <t>https://storage.googleapis.com/deytha-prod/rqf/payments/44072448-72aa-4438-8fed-528c5ec9ff6b_36368.PNG</t>
  </si>
  <si>
    <t>https://storage.googleapis.com/deytha-prod/rqf/36368/bf444e70-a507-4dca-b26d-2020cc7f3974_36368 - F001-8288 - STICKER REFLECTIVO  LOGOS.pdf</t>
  </si>
  <si>
    <t>2025-11-09 23:05:05</t>
  </si>
  <si>
    <t>2025-11-11 14:04:43</t>
  </si>
  <si>
    <t>R - 
EPPS PERSONAL DE INGRESO 
Y EPPS PARA OBRA
REQ # 06 / 07 ADM</t>
  </si>
  <si>
    <t>2025-11-19 19:53:00</t>
  </si>
  <si>
    <t>https://storage.googleapis.com/deytha-prod/payments/Ccu9x0w7yKh8unX3esOH36Il3uKb6Qdlfd4cMIlf.pdf</t>
  </si>
  <si>
    <t>https://storage.googleapis.com/deytha-prod/rqf/payments/ea4d170b-44b7-4f20-8928-01cb1422d2ad_36369.PNG</t>
  </si>
  <si>
    <t>https://storage.googleapis.com/deytha-prod/rqf/36369/1e1a8b12-11d8-4220-b8df-9ad7de0dce38_36369 - E001-15129 - EPPS MALENA.pdf</t>
  </si>
  <si>
    <t>2025-11-12 17:45:58</t>
  </si>
  <si>
    <t>DS-002</t>
  </si>
  <si>
    <t>OSCAR FERNANDO CUEVA  MUÑOZ</t>
  </si>
  <si>
    <t>HEREDIA SARMIENTO JORGE LUIS</t>
  </si>
  <si>
    <t>2025-11-12 17:53:42</t>
  </si>
  <si>
    <t>2025-11-12 18:03:54</t>
  </si>
  <si>
    <t xml:space="preserve">PAGO DE MANTENIMIENTO DE CAMIONETA CEB-791 </t>
  </si>
  <si>
    <t>2025-11-12 18:01:00</t>
  </si>
  <si>
    <t>https://storage.googleapis.com/deytha-prod/payments/1QRxFc4vdelKTctJZIu0HvP0ey47KcWuFP2s4scz.pdf</t>
  </si>
  <si>
    <t>https://storage.googleapis.com/deytha-prod/paymentBills/06vUfsJxanSRM0klT6aIXuhjQ2LDniYUL2bMIcdE.png</t>
  </si>
  <si>
    <t>2025-11-12 11:40:31</t>
  </si>
  <si>
    <t>2025-11-12 12:01:25</t>
  </si>
  <si>
    <t>2025-11-13 11:40:09</t>
  </si>
  <si>
    <t>SERVICIO DE REPARACION DE FIBRA DE VIDRIO BUS T9F962</t>
  </si>
  <si>
    <t>2025-11-12 14:25:00</t>
  </si>
  <si>
    <t>https://storage.googleapis.com/deytha-prod/payments/SV7IhHWvgG8QKRyPOX2wfv12aQK6BqFb77WZQqG5.pdf</t>
  </si>
  <si>
    <t>https://storage.googleapis.com/deytha-prod/paymentBills/M8Cu5b636PHQQSjNNX7HHoe3aSyte5Pl6ag3P5d5.png</t>
  </si>
  <si>
    <t>https://storage.googleapis.com/deytha-prod/supplierBills/TH05qEH8mSRNnyjufGHT9Dgq7AF2nUIVU9cF0Mi6.pdf</t>
  </si>
  <si>
    <t>2025-11-12 11:43:51</t>
  </si>
  <si>
    <t>2025-11-13 11:43:45</t>
  </si>
  <si>
    <t>INFORME TECNICO DEL SISTEMA DE FRENO</t>
  </si>
  <si>
    <t>2025-11-12 14:49:00</t>
  </si>
  <si>
    <t>https://storage.googleapis.com/deytha-prod/payments/0y1EDE7GIBHPA4UOIYwdLRKP71YVg1wFQuKyZcWO.pdf</t>
  </si>
  <si>
    <t>https://storage.googleapis.com/deytha-prod/paymentBills/iQslJ9rtUqAInZHdTGJFgl7y0N8sFGvEtLaST72A.png</t>
  </si>
  <si>
    <t>https://storage.googleapis.com/deytha-prod/supplierBills/Xjn21cguB8Fg5BE9MP7nqIqYGqe2ExyxdgkdNx7a.pdf</t>
  </si>
  <si>
    <t>2025-11-12 02:43:35</t>
  </si>
  <si>
    <t>2025-10-22 02:43:35</t>
  </si>
  <si>
    <t>SERVICIO DE GRUA PARA DESCARGAR TUBERIA QUE LLEGARON DE AREQUIPA HACIA DONDE EL ARENADOR </t>
  </si>
  <si>
    <t>2025-11-18 20:00:39</t>
  </si>
  <si>
    <t>https://storage.googleapis.com/deytha-prod/payments/AT4GVYp8J7WYocHbE6n3HnIelMRZjOr6rOTvsTGN.pdf</t>
  </si>
  <si>
    <t>https://storage.googleapis.com/deytha-prod/payments/kgiPvEZrnMXG1Qr7oVtXUcUP6tkWGMVyid47HCWf.pdf</t>
  </si>
  <si>
    <t>2025-11-12 02:03:57</t>
  </si>
  <si>
    <t>2025-10-10 02:03:57</t>
  </si>
  <si>
    <t>2025-11-18 20:00:43</t>
  </si>
  <si>
    <t>https://storage.googleapis.com/deytha-prod/payments/K5aGEyUjSPjGeDeQNht9RCm6BpIa6JWvuyRh2K0E.pdf</t>
  </si>
  <si>
    <t>https://storage.googleapis.com/deytha-prod/payments/UNW3rup0yiy15p6LKUNrHi6kwZDuhK4oZb9wJnK9.pdf</t>
  </si>
  <si>
    <t>2025-11-12 00:51:56</t>
  </si>
  <si>
    <t>2025-10-02 00:51:56</t>
  </si>
  <si>
    <t>COMPRA DE RANCHO FRIO AUTORIZO ING NELSON</t>
  </si>
  <si>
    <t>2025-11-18 20:00:10</t>
  </si>
  <si>
    <t>https://storage.googleapis.com/deytha-prod/payments/Lh914uOgo0sDHx9l6Da1xqOcPJHXF7aolpVj7Gh8.pdf</t>
  </si>
  <si>
    <t>https://storage.googleapis.com/deytha-prod/payments/9SiEGZ4hArdXd0OYtKpoCwIklE9PU62BYPygdQjN.pdf</t>
  </si>
  <si>
    <t>2025-10-10 00:51:56</t>
  </si>
  <si>
    <t>SERVICIO DE LIMA A MOQUEGUA</t>
  </si>
  <si>
    <t>2025-11-18 20:00:18</t>
  </si>
  <si>
    <t>https://storage.googleapis.com/deytha-prod/payments/z3STnu32lkLJPgpHnfs7VKymCYrvrxjt4hernXED.pdf</t>
  </si>
  <si>
    <t>https://storage.googleapis.com/deytha-prod/payments/DMYv1HmN3PfwncOQmxkO7QXQ152eRkKalSJQBy8z.pdf</t>
  </si>
  <si>
    <t>2025-10-06 00:51:56</t>
  </si>
  <si>
    <t>PACIFICO TOURS &amp; COURRIER S.A.C</t>
  </si>
  <si>
    <t>RECOJO DE ENCOMIENDAS</t>
  </si>
  <si>
    <t>2025-11-18 20:00:14</t>
  </si>
  <si>
    <t>https://storage.googleapis.com/deytha-prod/payments/L9jGqCjNDQ1l5GlNJwoIHCb5dVn7ZxH2J5jeUJIa.pdf</t>
  </si>
  <si>
    <t>https://storage.googleapis.com/deytha-prod/payments/WIVexDLq7oMsFQlksOTz30SXjUA5rJCUDbU8pknI.pdf</t>
  </si>
  <si>
    <t>2025-11-12 00:51:54</t>
  </si>
  <si>
    <t>2025-10-03 00:51:54</t>
  </si>
  <si>
    <t>INTERNET WOW , OFICINA MOQUEGUA</t>
  </si>
  <si>
    <t>2025-11-18 20:00:22</t>
  </si>
  <si>
    <t>https://storage.googleapis.com/deytha-prod/payments/r344qevc86ODO1h4tD4ccxjKU9quooOMJEewK5vm.pdf</t>
  </si>
  <si>
    <t>https://storage.googleapis.com/deytha-prod/payments/VCe3yR4axW0BTX1rBtTEuyPEpx2lgeWZMcSiZAFm.pdf</t>
  </si>
  <si>
    <t>2025-11-12 00:31:03</t>
  </si>
  <si>
    <t>2025-10-06 00:31:03</t>
  </si>
  <si>
    <t>RECOJO DE MATERIALES DE METALMARK - VARIANTE HACIA AV PARRA </t>
  </si>
  <si>
    <t>2025-11-18 20:00:06</t>
  </si>
  <si>
    <t>https://storage.googleapis.com/deytha-prod/payments/hd70LjxZWJElqiS1QwjHkOEaO2NYEsCbXEyET3wS.pdf</t>
  </si>
  <si>
    <t>https://storage.googleapis.com/deytha-prod/payments/2ZNWoiIFCP1GkfxDtMQGNEIaDPpQQDJALI5VMB0q.pdf</t>
  </si>
  <si>
    <t>2025-11-12 00:30:55</t>
  </si>
  <si>
    <t>2025-10-11 00:30:55</t>
  </si>
  <si>
    <t>TAXI DE RECOJO  DE CABLE DESNUDO EN AREQUIPA</t>
  </si>
  <si>
    <t>2025-11-18 20:00:50</t>
  </si>
  <si>
    <t>https://storage.googleapis.com/deytha-prod/payments/laxuMxvTwaZPkc6Slz2o701x19oMtnddsDcBZcqf.pdf</t>
  </si>
  <si>
    <t>https://storage.googleapis.com/deytha-prod/payments/qrFyg61aVoAOtexSE6I5jECXsDMVHMAAVSuZmLGY.pdf</t>
  </si>
  <si>
    <t>2025-11-12 00:30:53</t>
  </si>
  <si>
    <t>2025-10-06 00:30:53</t>
  </si>
  <si>
    <t>TRASLADO DE AREQUIPA A MOQUEGUA </t>
  </si>
  <si>
    <t>2025-11-18 20:00:54</t>
  </si>
  <si>
    <t>https://storage.googleapis.com/deytha-prod/payments/rNuBwSyEC3FuOuQwwJiu0AZQhsfUHtHu2RrppXHz.pdf</t>
  </si>
  <si>
    <t>https://storage.googleapis.com/deytha-prod/payments/ey9GqsibzsGO9HKbsadZYiBigaqABa4D09aMS7LZ.pdf</t>
  </si>
  <si>
    <t>2025-11-12 00:14:06</t>
  </si>
  <si>
    <t>2025-09-26 00:14:06</t>
  </si>
  <si>
    <t>TAXI RECOJO DE ENCOMIENDAS </t>
  </si>
  <si>
    <t>2025-11-18 19:59:58</t>
  </si>
  <si>
    <t>https://storage.googleapis.com/deytha-prod/payments/wXrzGTYdThL8IshgSVJQH5b0bvw3Kf5VV41TFBZP.pdf</t>
  </si>
  <si>
    <t>https://storage.googleapis.com/deytha-prod/payments/VjWHgp6MC1HfQhkIOwhRbgJjrPTsk42ZrhfR17rB.pdf</t>
  </si>
  <si>
    <t>2025-11-12 00:12:35</t>
  </si>
  <si>
    <t>2025-09-04 00:12:35</t>
  </si>
  <si>
    <t>TAXI PARA RECOJO DE MATERIALES  DE IDA Y VUELTA </t>
  </si>
  <si>
    <t>2025-11-18 20:00:02</t>
  </si>
  <si>
    <t>https://storage.googleapis.com/deytha-prod/payments/w0TvHpwdQjBBhKBRrviFSl7AmS6WBFjgAtm0vz14.pdf</t>
  </si>
  <si>
    <t>https://storage.googleapis.com/deytha-prod/payments/9E4Yfz2bHhTZ94USOgXuGvPY9xk7f2ES3rZkpRfK.pdf</t>
  </si>
  <si>
    <t>2025-11-11 23:43:58</t>
  </si>
  <si>
    <t>2025-09-05 23:43:58</t>
  </si>
  <si>
    <t>CENA PARA PERSONAL STAFF  Y TAXI</t>
  </si>
  <si>
    <t>2025-11-18 19:59:48</t>
  </si>
  <si>
    <t>https://storage.googleapis.com/deytha-prod/payments/Sc1NSjBLVXtlU27A0zqoy3d5wwADi46IrtKIM1Dm.pdf</t>
  </si>
  <si>
    <t>https://storage.googleapis.com/deytha-prod/payments/ZGFlu35BJvRWFbUs8Xfotw0i9KMiRRECHvSAbXQY.pdf</t>
  </si>
  <si>
    <t>2025-11-11 23:43:56</t>
  </si>
  <si>
    <t>2025-09-02 23:43:56</t>
  </si>
  <si>
    <t>TAXI - EN LA CUIDAD DE LIMA - RECJO DE MATERIAL DE CEMENTO ELECTRICO</t>
  </si>
  <si>
    <t>2025-11-18 19:59:51</t>
  </si>
  <si>
    <t>https://storage.googleapis.com/deytha-prod/payments/axvMaDhT7wHrTAdwM2xo9G3oplIovu7qEdlFa81y.pdf</t>
  </si>
  <si>
    <t>https://storage.googleapis.com/deytha-prod/payments/MJEeKE1VZAjD36dlNkHhxffTTfCinnItwaILZ4LL.pdf</t>
  </si>
  <si>
    <t>2025-11-11 23:42:01</t>
  </si>
  <si>
    <t>2025-09-02 23:42:01</t>
  </si>
  <si>
    <t>SERVICIO DE TRASLADO TACNA HACIA MOQUEGUA</t>
  </si>
  <si>
    <t>2025-11-18 20:01:19</t>
  </si>
  <si>
    <t>https://storage.googleapis.com/deytha-prod/payments/ooAYxPUkUjwgm96zjeGPQUFaaZs0C4fFES8eRcjU.pdf</t>
  </si>
  <si>
    <t>https://storage.googleapis.com/deytha-prod/payments/hnZFmkP3w0vVGIFXKW6ifEWn5dZbKz84WuRy32x0.pdf</t>
  </si>
  <si>
    <t>SERVICO DE ENCOMIENDA DE 10 CAJAS DE LIMA HACIA MOQUEGUA</t>
  </si>
  <si>
    <t>2025-11-18 19:59:55</t>
  </si>
  <si>
    <t>https://storage.googleapis.com/deytha-prod/payments/yFmjcEbAdDph2vbguCCUFl1gD6YJdmhGRcDHhQGL.pdf</t>
  </si>
  <si>
    <t>https://storage.googleapis.com/deytha-prod/payments/6xC7Xkh5wDGu5uYaCAEoF9cKlhBmtNkihH07HSWw.pdf</t>
  </si>
  <si>
    <t>2025-11-11 23:08:45</t>
  </si>
  <si>
    <t>2025-09-02 23:08:45</t>
  </si>
  <si>
    <t>SERVICIO DE ENCOMIENDA MOQUEGUA AREQUIPA</t>
  </si>
  <si>
    <t>2025-11-18 20:01:08</t>
  </si>
  <si>
    <t>https://storage.googleapis.com/deytha-prod/payments/eXAmI8FmW4laj96qKanBuyL3LldME0c3FajHWBNH.pdf</t>
  </si>
  <si>
    <t>https://storage.googleapis.com/deytha-prod/payments/yuR5VcjxeaFMlbPwIUgmslPTB9ifAng5w2YdfVMp.pdf</t>
  </si>
  <si>
    <t>2025-09-25 23:08:45</t>
  </si>
  <si>
    <t>2025-11-18 20:01:16</t>
  </si>
  <si>
    <t>https://storage.googleapis.com/deytha-prod/payments/huPCkHXfz1BEghvXjqoTxmz8DDwltyYF7TIWR9az.pdf</t>
  </si>
  <si>
    <t>https://storage.googleapis.com/deytha-prod/payments/RmT5i9vzny9yeHAUQIswxzZOBvY9HupAFDiMCu6N.pdf</t>
  </si>
  <si>
    <t>2025-11-11 23:08:44</t>
  </si>
  <si>
    <t>2025-09-27 23:08:44</t>
  </si>
  <si>
    <t>2025-11-18 20:01:12</t>
  </si>
  <si>
    <t>https://storage.googleapis.com/deytha-prod/payments/iabhdN9pZj64LoZu8emtlYGOivql97TK2Xe2yYTV.pdf</t>
  </si>
  <si>
    <t>https://storage.googleapis.com/deytha-prod/payments/nLBpRBxfjLk52Oj0RfK8WWr3TOvXqqvYwqhgAxRT.pdf</t>
  </si>
  <si>
    <t>2025-11-11 23:08:42</t>
  </si>
  <si>
    <t>2025-09-28 23:08:42</t>
  </si>
  <si>
    <t>PEAJES CAMION</t>
  </si>
  <si>
    <t>2025-11-18 20:01:05</t>
  </si>
  <si>
    <t>https://storage.googleapis.com/deytha-prod/payments/bCzyVIkRub8GgEr4YjqntGqZICz8kFp5xtXeBrEx.pdf</t>
  </si>
  <si>
    <t>https://storage.googleapis.com/deytha-prod/payments/aCTYHSGKSBzBYfOHCSpgE38CkwrSdJ8OEwhEvLuo.pdf</t>
  </si>
  <si>
    <t>2025-11-11 23:08:40</t>
  </si>
  <si>
    <t>2025-09-29 23:08:40</t>
  </si>
  <si>
    <t>TAXI EN MOQUEGUA DIA 29 DE SET</t>
  </si>
  <si>
    <t>2025-11-18 20:01:01</t>
  </si>
  <si>
    <t>https://storage.googleapis.com/deytha-prod/payments/5b0dSxOH6ACDfQCEagNMrlKfL1iGe7NkV2ZnFLUW.pdf</t>
  </si>
  <si>
    <t>https://storage.googleapis.com/deytha-prod/payments/z4pPF5z4K41NzmHxC0zgRdsgAb2L6D8icYyfiKt1.pdf</t>
  </si>
  <si>
    <t>2025-11-11 23:08:39</t>
  </si>
  <si>
    <t>2025-09-29 23:08:39</t>
  </si>
  <si>
    <t>2025-11-18 20:01:24</t>
  </si>
  <si>
    <t>https://storage.googleapis.com/deytha-prod/payments/67ysW4nYnZBxuVrleOGfbux2AFqoFJ8qHNXscCav.pdf</t>
  </si>
  <si>
    <t>https://storage.googleapis.com/deytha-prod/payments/U175FBBID1dX9VAtPC0FynzObsGpzeFrPeSUEyqh.pdf</t>
  </si>
  <si>
    <t>2025-11-11 23:08:38</t>
  </si>
  <si>
    <t>2025-09-27 23:08:38</t>
  </si>
  <si>
    <t>TAXI EN LIMA PARA RECOJO DE PINTURAS RENNER </t>
  </si>
  <si>
    <t>2025-11-18 20:01:28</t>
  </si>
  <si>
    <t>https://storage.googleapis.com/deytha-prod/payments/3qflx921vzDFsYxNXNFIfGNyhV27kWcmdufVjdiv.pdf</t>
  </si>
  <si>
    <t>https://storage.googleapis.com/deytha-prod/payments/gVtTMxDfx769Z1jJyxSA248dwkKWf62ywNW2J9Xe.pdf</t>
  </si>
  <si>
    <t>2025-11-11 23:08:36</t>
  </si>
  <si>
    <t>2025-09-21 23:08:36</t>
  </si>
  <si>
    <t>ENVIO DE PAQUETE</t>
  </si>
  <si>
    <t>2025-11-18 19:59:33</t>
  </si>
  <si>
    <t>https://storage.googleapis.com/deytha-prod/payments/JF449R6ThTmIUBOKjSGNPLtFwT6szFdW7jaovmCR.pdf</t>
  </si>
  <si>
    <t>https://storage.googleapis.com/deytha-prod/payments/gEAM04DcFsmjtpzGUv0vCpGnNPvEqefURmi69r4F.pdf</t>
  </si>
  <si>
    <t>2025-11-11 23:08:34</t>
  </si>
  <si>
    <t>2025-09-19 23:08:34</t>
  </si>
  <si>
    <t>2025-11-18 19:59:37</t>
  </si>
  <si>
    <t>https://storage.googleapis.com/deytha-prod/payments/jgsYcU1FjDyyXp3JjhZtHIWtBBFuSGA1DUJrVp2M.pdf</t>
  </si>
  <si>
    <t>https://storage.googleapis.com/deytha-prod/payments/VnXP7NZNhVkMjnDHumbmyO2KHGraYqW2qRjAEDEh.pdf</t>
  </si>
  <si>
    <t>2025-11-11 23:08:33</t>
  </si>
  <si>
    <t>2025-09-18 23:08:33</t>
  </si>
  <si>
    <t>2025-11-18 19:59:40</t>
  </si>
  <si>
    <t>https://storage.googleapis.com/deytha-prod/payments/GhOMyyOI3QbZBtdNIMbPvtTJKydEr57OVYF3naVU.pdf</t>
  </si>
  <si>
    <t>https://storage.googleapis.com/deytha-prod/payments/dqbqJpn5NwOMM3qSKIMwjd6CjGYHs6JMJ935DuoS.pdf</t>
  </si>
  <si>
    <t>2025-11-11 23:08:32</t>
  </si>
  <si>
    <t>2025-09-26 23:08:32</t>
  </si>
  <si>
    <t>SERVICIO DE GRUA PRA TRASLADO DE RODILLO </t>
  </si>
  <si>
    <t>2025-11-18 19:59:30</t>
  </si>
  <si>
    <t>https://storage.googleapis.com/deytha-prod/payments/MrHn0dNfVpLdQQ5FUa3AxgTAWfav9BYOxvqFn9KC.pdf</t>
  </si>
  <si>
    <t>https://storage.googleapis.com/deytha-prod/payments/NfJmmgYgwTrWpF4IXe3ICpec4lTsqnU5Ij8oHj3f.pdf</t>
  </si>
  <si>
    <t>2025-09-20 23:08:32</t>
  </si>
  <si>
    <t>CHAMBI CHAMBI JIMMY REMIGIO</t>
  </si>
  <si>
    <t>TRASLADO DE MATRIAL  EN AREQUIPA DE METALMARK HACIA TRANS. JHONCITO</t>
  </si>
  <si>
    <t>2025-11-18 19:59:44</t>
  </si>
  <si>
    <t>https://storage.googleapis.com/deytha-prod/payments/x4HZcTfklbpH8SStiWy76L2ecFURwvbsbJF89m1t.pdf</t>
  </si>
  <si>
    <t>https://storage.googleapis.com/deytha-prod/payments/NwV9T4ElVACvzmOAo1XP6S0hjuU37x5DAxg7QxFw.pdf</t>
  </si>
  <si>
    <t>2025-11-11 23:08:31</t>
  </si>
  <si>
    <t>2025-09-19 23:08:31</t>
  </si>
  <si>
    <t>PARILLO QUISPE GIANCARLO MARTIN</t>
  </si>
  <si>
    <t>COMPRA DE ROPA</t>
  </si>
  <si>
    <t>2025-11-18 19:59:25</t>
  </si>
  <si>
    <t>https://storage.googleapis.com/deytha-prod/payments/6C5uYqaphuGAWH9B7v27WAbvepGV9HD6iB8fl9nA.pdf</t>
  </si>
  <si>
    <t>https://storage.googleapis.com/deytha-prod/payments/1LZMvSYnt65a4EXcURcNqK4jQ8arrRYKc4mkEVOM.pdf</t>
  </si>
  <si>
    <t>2025-11-11 09:21:01</t>
  </si>
  <si>
    <t>2025-11-11 15:53:22</t>
  </si>
  <si>
    <t>2025-11-11 09:20:25</t>
  </si>
  <si>
    <t>PAGO DE EMO PARA QUISPE QUISPE DALTHON DAVID</t>
  </si>
  <si>
    <t>2025-11-11 18:13:00</t>
  </si>
  <si>
    <t>https://storage.googleapis.com/deytha-prod/payments/UsLJ0iZTtzf3CbPABlzK94Ozbg9C1GnN53YpQSRQ.pdf</t>
  </si>
  <si>
    <t>https://storage.googleapis.com/deytha-prod/paymentBills/5gkSZy8S8KXQd9JMCaklvcKHyXGBgPE0HWSBjNn5.png</t>
  </si>
  <si>
    <t>https://storage.googleapis.com/deytha-prod/supplierBills/cnoz4QoDprFaQC1JvRFDZnp8g8X3PwA8Tyawmw97.pdf</t>
  </si>
  <si>
    <t>2025-11-11 10:59:08</t>
  </si>
  <si>
    <t>2025-11-11 10:58:53</t>
  </si>
  <si>
    <t xml:space="preserve">PAGO DE EMO PARA CHACOLLA CONTRERAS LUIS ALBERTO
</t>
  </si>
  <si>
    <t>2025-11-11 18:05:00</t>
  </si>
  <si>
    <t>https://storage.googleapis.com/deytha-prod/payments/g6KekAKHNotFsKiqqHdIxZ2uCpQp0R4uQheN1lR2.xlsx</t>
  </si>
  <si>
    <t>https://storage.googleapis.com/deytha-prod/paymentBills/M6Jfh9Xg94XN1nWkOw15EAxC5MUKm9pJQTfGAGZV.png</t>
  </si>
  <si>
    <t>https://storage.googleapis.com/deytha-prod/supplierBills/LUQNmzQ9HuXXaAWpf4EmDlSK3twetJu96QNZ9B0z.pdf</t>
  </si>
  <si>
    <t>2025-11-10 22:32:48</t>
  </si>
  <si>
    <t>2025-11-11 10:21:10</t>
  </si>
  <si>
    <t>2025-11-12 13:32:43</t>
  </si>
  <si>
    <t>PONCER MANTENIMIENTO ELECTRICO &amp; TELECOMUNICACIONES S.R.L.</t>
  </si>
  <si>
    <t xml:space="preserve">0011-0220-0100143700 </t>
  </si>
  <si>
    <t>MATERIALES DE TELECOMUNICACION 
REQ # 34 ELECTRICO</t>
  </si>
  <si>
    <t>2025-11-12 16:38:00</t>
  </si>
  <si>
    <t>https://storage.googleapis.com/deytha-prod/payments/Hoc0keURhqLTCaxJ6FhvUG3rUVIqCP3Ftos7cOPS.pdf</t>
  </si>
  <si>
    <t>https://storage.googleapis.com/deytha-prod/paymentBills/fbARuFzLUiwRpcH1DwP3gis7flIwjq82ltH9vjgM.pdf</t>
  </si>
  <si>
    <t>https://storage.googleapis.com/deytha-prod/rqf/36480/e0678a84-2a84-4f36-89c2-a058c468fa95_36480 - E001-46 - MAT TELECOMUNICACIONES.pdf</t>
  </si>
  <si>
    <t>2025-11-07 15:58:31</t>
  </si>
  <si>
    <t>2025-11-10 19:34:08</t>
  </si>
  <si>
    <t>2025-09-26 15:58:02</t>
  </si>
  <si>
    <t>SEM19Y20-2025-REM NETAS-PY028-RCC</t>
  </si>
  <si>
    <t>2025-09-26 19:00:00</t>
  </si>
  <si>
    <t>https://storage.googleapis.com/deytha-prod/payments/EBvijw9J7Wocs0nM9kTESPCzoOdj32zJUhH3tchH.pdf</t>
  </si>
  <si>
    <t>https://storage.googleapis.com/deytha-prod/paymentBills/OPhnGans9DWOLN1353AcGx37QsiPBBwuUIrj9uuk.pdf</t>
  </si>
  <si>
    <t>2025-11-07 16:27:51</t>
  </si>
  <si>
    <t>2025-10-10 16:26:31</t>
  </si>
  <si>
    <t>SEM21Y22-2025-REM NETAS-PY28-RCC</t>
  </si>
  <si>
    <t>2025-10-10 19:00:00</t>
  </si>
  <si>
    <t>https://storage.googleapis.com/deytha-prod/payments/RqKnYGq2HyjnxLdOG8GGpxxdjTiI5JOVZPodFvPj.pdf</t>
  </si>
  <si>
    <t>https://storage.googleapis.com/deytha-prod/paymentBills/7vEn0phUDYkxJp3yef9PRGHOfBdcjQ0xHiHjwFkK.pdf</t>
  </si>
  <si>
    <t>2025-11-07 16:33:35</t>
  </si>
  <si>
    <t>2025-10-24 16:32:40</t>
  </si>
  <si>
    <t>SEM23Y24-2025-REM NETAS-PY28-RCC</t>
  </si>
  <si>
    <t>2025-10-24 19:00:00</t>
  </si>
  <si>
    <t>https://storage.googleapis.com/deytha-prod/payments/VkSO9JVCUuPEtkqL0VXLOYhvsDOpaMQ99bG69ZjO.pdf</t>
  </si>
  <si>
    <t>https://storage.googleapis.com/deytha-prod/paymentBills/VF9L5sLSu4nyDmmIBUn49FfiFDwg0BHXwfXDia7R.pdf</t>
  </si>
  <si>
    <t>2025-11-10 17:19:40</t>
  </si>
  <si>
    <t xml:space="preserve">CCALLO  APAZA JHONY OMAR </t>
  </si>
  <si>
    <t xml:space="preserve">8330614038 </t>
  </si>
  <si>
    <t>2025-11-14 20:28:00</t>
  </si>
  <si>
    <t>https://storage.googleapis.com/deytha-prod/worker/settle/zrWhQAAaxXUqxTPD8fpiZWZLZ0gFMIFTfWUu9u2l.pdf</t>
  </si>
  <si>
    <t>https://storage.googleapis.com/deytha-prod/rqf/payments/5a054227-a86d-4544-9763-32683c0e5261_Scotiabank_LIGFMJ.pdf</t>
  </si>
  <si>
    <t>2025-11-09 23:07:10</t>
  </si>
  <si>
    <t>2025-11-10 15:44:14</t>
  </si>
  <si>
    <t>2025-11-11 14:06:51</t>
  </si>
  <si>
    <t xml:space="preserve">CAJA CHICA # 14 </t>
  </si>
  <si>
    <t>2025-12-02 18:27:00</t>
  </si>
  <si>
    <t>https://storage.googleapis.com/deytha-prod/bcp_pdfs/shared/1764718110_BCP_HTML.pdf</t>
  </si>
  <si>
    <t>2025-11-10 00:20:26</t>
  </si>
  <si>
    <t>2025-11-10 14:49:30</t>
  </si>
  <si>
    <t>2025-11-11 15:20:04</t>
  </si>
  <si>
    <t xml:space="preserve">SERVICIO DE ARENADO Y PINTADO DE  07 TUBOS DE
4''X6 24 MTS2, 63 TUBOS 2''X6 72MTS2, 33 TUBOS 1
1/2X6 29.7 MTS2, 92 FIERROS LISOS 3/4X1 61MTS2, 18
ANGULOS 2''X2'' 22MTS2, 05 ANGULOS 2 1/2''X2 1/2''
3.8MTS2, 07PLATINOS 1 1/4X6 1.7MTS2, 05 TUBOS 1''X6
3M
</t>
  </si>
  <si>
    <t>2025-11-11 16:59:00</t>
  </si>
  <si>
    <t>https://storage.googleapis.com/deytha-prod/payments/jkJRVQxJSJTjmZwQjfrOKqozoiLO1yrLgWAVciS7.pdf</t>
  </si>
  <si>
    <t>https://storage.googleapis.com/deytha-prod/paymentBills/O8Ywan1wRE4iU6Yrv58LKi0OvUiyiXBmI3re9SoQ.png</t>
  </si>
  <si>
    <t>https://storage.googleapis.com/deytha-prod/supplierBills/65HQDhv8AeCqVDz9vN45ASc0ev1lslpgw3ZTfSJA.pdf</t>
  </si>
  <si>
    <t>2025-11-08 16:11:33</t>
  </si>
  <si>
    <t>2025-11-08 19:26:03</t>
  </si>
  <si>
    <t>2025-11-08 17:11:28</t>
  </si>
  <si>
    <t>EMO PARA GOMEZ AQUINO ALEXANDER DAVID</t>
  </si>
  <si>
    <t>2025-11-10 11:16:00</t>
  </si>
  <si>
    <t>https://storage.googleapis.com/deytha-prod/payments/olS8HUwM5Be3pFWzyXchVuwLGkWDx8aXOUIIEmo8.xlsx</t>
  </si>
  <si>
    <t>https://storage.googleapis.com/deytha-prod/paymentBills/RRojuE7YCeDMm5JrdV5YXr6SXwTqEqE5CHpZZCT4.png</t>
  </si>
  <si>
    <t>https://storage.googleapis.com/deytha-prod/supplierBills/asfHr4HNIXLaj8HLTor86JfhBG1hES6cPgQTGlqI.pdf</t>
  </si>
  <si>
    <t>2025-11-07 10:39:13</t>
  </si>
  <si>
    <t>2025-11-07 17:34:52</t>
  </si>
  <si>
    <t>2025-11-08 10:39:09</t>
  </si>
  <si>
    <t>Ensayo de rotura de probetas de concreto de 4 in. x 8 in.</t>
  </si>
  <si>
    <t>2025-11-14 10:55:00</t>
  </si>
  <si>
    <t>https://storage.googleapis.com/deytha-prod/payments/Rqi3PhWMe585KY63lECulyQA0IWtlFChcODmH7JY.pdf</t>
  </si>
  <si>
    <t>https://storage.googleapis.com/deytha-prod/rqf/payments/1a838c04-d71f-4d42-8c7d-682fd241b581_36224.PNG</t>
  </si>
  <si>
    <t>https://storage.googleapis.com/deytha-prod/rqf/36224/2af2269a-f88a-40aa-add1-bca97ebe6d35_PDF-DOC-E001-21320607229962.pdf</t>
  </si>
  <si>
    <t>2025-11-07 09:34:08</t>
  </si>
  <si>
    <t>2025-11-07 09:52:12</t>
  </si>
  <si>
    <t>2025-11-08 09:33:24</t>
  </si>
  <si>
    <t>MANTTO BUS DEL PROYECTO PY028</t>
  </si>
  <si>
    <t>2025-11-07 11:41:00</t>
  </si>
  <si>
    <t>https://storage.googleapis.com/deytha-prod/payments/ZNB9r57eLmQ5bNjziyvUS1bG0S3AVkfAlA2J2g7N.pdf</t>
  </si>
  <si>
    <t>https://storage.googleapis.com/deytha-prod/paymentBills/Kbj54Fzp4XSWAFtN8XpH2xysZJq4hKGpsJ8XE2FI.png</t>
  </si>
  <si>
    <t>https://storage.googleapis.com/deytha-prod/supplierBills/77Zdcuw0J6mjqYRlveMhnNTmH2AP37txo9FKOYbq.pdf</t>
  </si>
  <si>
    <t>2025-11-04 14:03:57</t>
  </si>
  <si>
    <t>2025-11-06 16:16:50</t>
  </si>
  <si>
    <t>2025-11-05 14:03:41</t>
  </si>
  <si>
    <t>ALQUILER DE ANDAMIOS NORMADOS 
1ER DESPACHO
CORRESPONDIENTE AL MES DE OCTUBRE - 2025</t>
  </si>
  <si>
    <t>2025-11-18 16:31:00</t>
  </si>
  <si>
    <t>https://storage.googleapis.com/deytha-prod/payments/7TVurpB35aCpdA0Ppn9B2jcK2oT5qzi8sV2a8nTs.pdf</t>
  </si>
  <si>
    <t>https://storage.googleapis.com/deytha-prod/rqf/payments/5f0779c7-8c5f-459b-ae0d-d6310d0f2ed9_35903.PNG</t>
  </si>
  <si>
    <t>https://storage.googleapis.com/deytha-prod/rqf/35903/cc70677f-1883-45e3-a0b7-5349b66ec8b8_35903 - E001-2531 - ALQUILER DE ANDAMIOS NORMADOS MES OCT.pdf</t>
  </si>
  <si>
    <t>2025-11-05 10:11:10</t>
  </si>
  <si>
    <t>2025-11-06 10:10:39</t>
  </si>
  <si>
    <t>ADORA PERU S.A.C.</t>
  </si>
  <si>
    <t>ESCALERAS EMBONABLES - 3 JUEGOS PAR AREA TELECOMUNICACIONES
REQ # 34 
ELECTRICO</t>
  </si>
  <si>
    <t>2025-11-07 12:52:00</t>
  </si>
  <si>
    <t>https://storage.googleapis.com/deytha-prod/payments/eQdGHtnTYIzhNZoJUMq6XQRsmN5A08NDn323XWP5.pdf</t>
  </si>
  <si>
    <t>https://storage.googleapis.com/deytha-prod/paymentBills/sU9f65MVcWN8UrtcfFSEWkizG3I3465yka9xqiMU.png</t>
  </si>
  <si>
    <t>https://storage.googleapis.com/deytha-prod/supplierBills/OwLielv37A2SCjDxXb3X7XscybvAGXIs80Ebk59j.pdf</t>
  </si>
  <si>
    <t>2025-11-05 15:09:29</t>
  </si>
  <si>
    <t>2025-11-06 15:09:26</t>
  </si>
  <si>
    <t>COT - ALQUILER DE HABITACION - WILMER DIAZ - MOQUEGUA 18/10 AL 17/11 EN LA CUIDAD DE MOQEUGUA</t>
  </si>
  <si>
    <t>2025-11-07 16:51:00</t>
  </si>
  <si>
    <t>https://storage.googleapis.com/deytha-prod/payments/RQ3fXJrsYHVQxZFYSxxqLX8nUjmfQ5xISX70ofMm.pdf</t>
  </si>
  <si>
    <t>https://storage.googleapis.com/deytha-prod/paymentBills/T3wrm7Ez476nA96wSf9ZHzwksJtm8PB74XJVDYGb.png</t>
  </si>
  <si>
    <t>https://storage.googleapis.com/deytha-prod/supplierBills/qcP1FOP5yjruwVRYgWvwVRzXaB9rk9Zf8JLvheAh.pdf</t>
  </si>
  <si>
    <t>2025-11-05 18:00:05</t>
  </si>
  <si>
    <t>2025-11-06 17:59:51</t>
  </si>
  <si>
    <t xml:space="preserve">VALORIZACION DE COMBUSTIBLE 
DEL 01 AL 12 OCTUBRE
</t>
  </si>
  <si>
    <t>2025-11-13 18:48:00</t>
  </si>
  <si>
    <t>https://storage.googleapis.com/deytha-prod/payments/CvCscZa2ocMFMHOsY1FTD0zV8wvMMAmnkjJsvME9.pdf</t>
  </si>
  <si>
    <t>https://storage.googleapis.com/deytha-prod/rqf/payments/512ebc59-11ad-4aa3-8869-6862a9a04217_36089.PNG</t>
  </si>
  <si>
    <t>https://storage.googleapis.com/deytha-prod/rqf/36089/6ab3ca26-d61d-450d-ac95-0b5ad76160ba_36089 - F001-00138302 - COMBUSTIBLE PARA OBRA.pdf</t>
  </si>
  <si>
    <t>2025-11-05 17:05:39</t>
  </si>
  <si>
    <t>2025-11-06 16:10:16</t>
  </si>
  <si>
    <t>2025-11-06 17:04:37</t>
  </si>
  <si>
    <t>PARILLO QUISPE ELVIS ROLANDO</t>
  </si>
  <si>
    <t>361-305-492-1239</t>
  </si>
  <si>
    <t xml:space="preserve">COT 
SUMATAME 
DILUYENTE 
PINTURA PARA ESTRUCTURA 
REQ # 17 MECANICO </t>
  </si>
  <si>
    <t>2025-11-10 17:12:00</t>
  </si>
  <si>
    <t>https://storage.googleapis.com/deytha-prod/payments/2ek3P4W5zhA4knElHm3GvmUOYEheoU8Zm7fpPMw9.pdf</t>
  </si>
  <si>
    <t>https://storage.googleapis.com/deytha-prod/paymentBills/oOwNU0NbbyitXMN4M1G0nd9T3l6iCxUYNbqqrZn4.pdf</t>
  </si>
  <si>
    <t>https://storage.googleapis.com/deytha-prod/supplierBills/tURRutyS4SAEWsku4HQij4tZNNRBVX9ZB1vCTUTL.pdf</t>
  </si>
  <si>
    <t>2025-11-04 14:52:00</t>
  </si>
  <si>
    <t>2025-11-05 13:57:13</t>
  </si>
  <si>
    <t>2025-11-05 14:51:59</t>
  </si>
  <si>
    <t xml:space="preserve">ALQUILER DE CONTENEDOR TIPO ALMACEN COLOR AZUL VACIO EN SU INTERIOR, DESDE EL 17/10/2025 AL 16/11/2025
</t>
  </si>
  <si>
    <t>https://storage.googleapis.com/deytha-prod/payments/9VPsDrvdcwN9Dq0brDQZ2NplwdZOLcaN1omQrmw7.pdf</t>
  </si>
  <si>
    <t>https://storage.googleapis.com/deytha-prod/rqf/payments/d38a9730-10f9-4273-977d-413a43150784_CADEL DICIEMBRE.pdf</t>
  </si>
  <si>
    <t>https://storage.googleapis.com/deytha-prod/supplierBills/50skmsaiEXaK9Chm1D0sZqz28k7Ha5k7tCjlGBFn.pdf</t>
  </si>
  <si>
    <t>2025-11-04 14:54:02</t>
  </si>
  <si>
    <t>2025-11-05 14:54:00</t>
  </si>
  <si>
    <t xml:space="preserve">ALQUILER DE CONTENEDOR TIPO OFICINA DESDE EL 01/10/2025 AL 30/10/2025
</t>
  </si>
  <si>
    <t>https://storage.googleapis.com/deytha-prod/payments/ptXnU3CJK8TfwlUy68mFpy5PKSzfrExh4JwC7WWb.pdf</t>
  </si>
  <si>
    <t>https://storage.googleapis.com/deytha-prod/rqf/payments/0da57438-0975-4337-9bb4-204fd9aeb024_CADEL DICIEMBRE.pdf</t>
  </si>
  <si>
    <t>https://storage.googleapis.com/deytha-prod/rqf/35909/c373f79d-49b3-4c47-b406-846f005bd2fb_PDF-DOC-E001-199 - DEYFOR-FO-LO-18409.pdf</t>
  </si>
  <si>
    <t>2025-11-04 15:03:01</t>
  </si>
  <si>
    <t>2025-11-05 15:02:01</t>
  </si>
  <si>
    <t xml:space="preserve">CONTENEDOR PARA COMEDOR, INSTALACION 13/10/2025 A 12/11/2025, PARA BASE A3
</t>
  </si>
  <si>
    <t>https://storage.googleapis.com/deytha-prod/payments/Z5dTpkRAliD13rLIabsizrD6HnHXlnTn9bpuqlrR.pdf</t>
  </si>
  <si>
    <t>https://storage.googleapis.com/deytha-prod/rqf/payments/7bd6ec04-bf1d-47c4-b4d3-d9977604b986_CADEL DICIEMBRE.pdf</t>
  </si>
  <si>
    <t>https://storage.googleapis.com/deytha-prod/rqf/35913/3fd5470b-f16c-434e-9a91-65a8257042c9_PDF-DOC-E001-200 - DEYFOR-FO-LO-30550 590.pdf</t>
  </si>
  <si>
    <t>2025-11-04 15:33:10</t>
  </si>
  <si>
    <t>2025-11-05 15:31:52</t>
  </si>
  <si>
    <t xml:space="preserve">ALIMENTACION SEMANA 26 DEL 26/10 AL 1/11 </t>
  </si>
  <si>
    <t>2025-11-07 16:48:00</t>
  </si>
  <si>
    <t>https://storage.googleapis.com/deytha-prod/payments/LmcaRtPUAu6iRmMhYobg8xVzmGWEmDzbMBp96dT6.pdf</t>
  </si>
  <si>
    <t>https://storage.googleapis.com/deytha-prod/paymentBills/aVGtV6aSgLzEmnbyKMVKcC77fmcN2MKe6xvkoFIr.png</t>
  </si>
  <si>
    <t>https://storage.googleapis.com/deytha-prod/supplierBills/7nwIeKxivOczyFTLC2PEgbuq0p2RuHKRoVQvMc2K.png</t>
  </si>
  <si>
    <t>2025-11-04 15:55:40</t>
  </si>
  <si>
    <t>2025-11-05 15:55:29</t>
  </si>
  <si>
    <t xml:space="preserve">SERV. ALQ. BAÑO EJECUTIVO C/LAVAMANOS - SERV. ALQ. LAVAMANOS MULTIPLE SUPERTWIN A3 23/10/2025 - 22/11/2025
</t>
  </si>
  <si>
    <t>2025-11-14 12:20:00</t>
  </si>
  <si>
    <t>https://storage.googleapis.com/deytha-prod/payments/oDyWJtdQ4Tg5WO2QFYQtl3mQfSuu9cmODxZjT6Ha.pdf</t>
  </si>
  <si>
    <t>https://storage.googleapis.com/deytha-prod/rqf/payments/4336d37b-800c-461d-8e90-93884e7c5fc8_35929.PNG</t>
  </si>
  <si>
    <t>https://storage.googleapis.com/deytha-prod/rqf/35929/fdcdec06-eb9a-4ee3-8ab3-bd3ee8db3d2a_20507850091-01-F035-10703.pdf</t>
  </si>
  <si>
    <t>2025-11-05 10:10:34</t>
  </si>
  <si>
    <t>2025-11-06 10:10:06</t>
  </si>
  <si>
    <t xml:space="preserve">SERV. ALQ. BAÑO EJECUTIVO C/LAVAMANOS D2 (DAMA) 23/10/2025 - 22/11/2025
</t>
  </si>
  <si>
    <t>2025-11-14 12:17:00</t>
  </si>
  <si>
    <t>https://storage.googleapis.com/deytha-prod/payments/FXJEIf5w9Bk45K1m72yEnkgLRLL4Ekophaf5Iyuj.pdf</t>
  </si>
  <si>
    <t>https://storage.googleapis.com/deytha-prod/rqf/payments/064a9323-6d89-4887-951e-f122eb0daed3_36010.PNG</t>
  </si>
  <si>
    <t>https://storage.googleapis.com/deytha-prod/rqf/36010/8418f613-a030-4e22-b014-b286b4620224_20507850091-01-F035-10702.pdf</t>
  </si>
  <si>
    <t>2025-11-05 10:15:53</t>
  </si>
  <si>
    <t>2025-11-06 10:12:55</t>
  </si>
  <si>
    <t xml:space="preserve">SERV. ALQ. BAÑO EJECUTIVO C/LAVAMANOS A3 (DAMA) 30/10/2025 - 30/11/2025
</t>
  </si>
  <si>
    <t>2025-11-14 12:14:00</t>
  </si>
  <si>
    <t>https://storage.googleapis.com/deytha-prod/payments/hEDB792A0ihAflMwX4ZnIUtx6eLK6UROkzSAyyCW.pdf</t>
  </si>
  <si>
    <t>https://storage.googleapis.com/deytha-prod/rqf/payments/6d10edaf-92f3-42c6-9a8e-93c76440a327_36012.PNG</t>
  </si>
  <si>
    <t>https://storage.googleapis.com/deytha-prod/rqf/36012/12686c13-8af3-4b35-90a2-530db663c4fe_Captura de pantalla 2025-11-27 180404.png</t>
  </si>
  <si>
    <t>2025-11-05 11:22:57</t>
  </si>
  <si>
    <t>2025-11-06 11:22:19</t>
  </si>
  <si>
    <t>430-5846411-0-89</t>
  </si>
  <si>
    <t>LAVADO CAMIONETA DE PLACA CEB-791</t>
  </si>
  <si>
    <t>2025-11-08 11:22:00</t>
  </si>
  <si>
    <t>https://storage.googleapis.com/deytha-prod/payments/e112MoBaPXAJKaUgXgM21YtRF8I5fjmnbdWdzmJD.pdf</t>
  </si>
  <si>
    <t>https://storage.googleapis.com/deytha-prod/paymentBills/A8d1R82PJEkySdByD5vckpm2h6Zc2cpsK9v5fsZ3.png</t>
  </si>
  <si>
    <t>https://storage.googleapis.com/deytha-prod/supplierBills/2rCR2ubM8pe2rirJuqyBOpHTs6NXVnF0UN3jvO1E.pdf</t>
  </si>
  <si>
    <t>2025-11-05 11:24:46</t>
  </si>
  <si>
    <t>2025-11-06 11:24:00</t>
  </si>
  <si>
    <t>SERVICIO DE LAVADO Y ENGRASE DE OMNIBUS T9F-962</t>
  </si>
  <si>
    <t>2025-11-14 17:51:00</t>
  </si>
  <si>
    <t>https://storage.googleapis.com/deytha-prod/rqf/payments/30ea1ad3-928c-48ab-9deb-3a32d0215455_36027.PNG</t>
  </si>
  <si>
    <t>https://storage.googleapis.com/deytha-prod/supplierBills/gTVNeV7ed9WmdIgyVZat5Yo2dd0ozLGRRfWzWLhc.pdf</t>
  </si>
  <si>
    <t>2025-11-04 14:15:27</t>
  </si>
  <si>
    <t>2025-11-05 12:06:44</t>
  </si>
  <si>
    <t>2025-11-05 14:15:22</t>
  </si>
  <si>
    <t>AQP CASA DEL MECANICO E.I.R.L.</t>
  </si>
  <si>
    <t>2159844064005   / CTA 2025</t>
  </si>
  <si>
    <t>COT - MATERIAL PARA FIBRA - GRAPA Y JUNTO GIR - 
REQ  30 - ELECTRICO</t>
  </si>
  <si>
    <t>2025-11-05 16:15:00</t>
  </si>
  <si>
    <t>https://storage.googleapis.com/deytha-prod/payments/UKq0tLwljLVjwqO3W0r4TVlmywpWZXAGDM6SM5zb.pdf</t>
  </si>
  <si>
    <t>https://storage.googleapis.com/deytha-prod/paymentBills/lo4sa2lQ511V2Lz4lQiJcWUP1dkIwzLlwC3jRSaJ.png</t>
  </si>
  <si>
    <t>https://storage.googleapis.com/deytha-prod/supplierBills/mCKydCCdHpPEuTFqvwHzw2Mg0JDRBXuNXMSg7jMy.pdf</t>
  </si>
  <si>
    <t>2025-11-04 10:49:49</t>
  </si>
  <si>
    <t>2025-11-05 08:45:37</t>
  </si>
  <si>
    <t>2025-11-06 09:49:42</t>
  </si>
  <si>
    <t>PROCESOS DE SOLDADURAS ESP.Y SERV. SRL - PROSOLDES</t>
  </si>
  <si>
    <t>191-1555366-066</t>
  </si>
  <si>
    <t>MANTA IGNIFUGA PARA AREA 
MECANICA 
REQ 29 SSOMA</t>
  </si>
  <si>
    <t>2025-11-05 16:21:00</t>
  </si>
  <si>
    <t>https://storage.googleapis.com/deytha-prod/payments/NEZkB6jlwkXj581lXxrYBIaRosUJMdkiMcaZlD2z.pdf</t>
  </si>
  <si>
    <t>https://storage.googleapis.com/deytha-prod/paymentBills/MKv2zEDfPbVHXsFbkV9BTbZOiXU60RMNQMS9ES5Q.png</t>
  </si>
  <si>
    <t>https://storage.googleapis.com/deytha-prod/supplierBills/Z4VOaL4dK94cTgNPbQ6dIlxrqrwsmujMcIAhy0WV.pdf</t>
  </si>
  <si>
    <t>2025-11-04 15:04:55</t>
  </si>
  <si>
    <t>2025-11-04 15:55:43</t>
  </si>
  <si>
    <t>2025-11-05 15:04:39</t>
  </si>
  <si>
    <t>STEEL FORM S.A.C.</t>
  </si>
  <si>
    <t>191-2209241-1-75</t>
  </si>
  <si>
    <t xml:space="preserve">COTIZACION 
REJILLAS GRATING </t>
  </si>
  <si>
    <t>2025-11-06 15:42:00</t>
  </si>
  <si>
    <t>https://storage.googleapis.com/deytha-prod/payments/TMeF90pfop4HVTxm51KOTgBEApfHjYn4Cf8WpRS1.pdf</t>
  </si>
  <si>
    <t>https://storage.googleapis.com/deytha-prod/paymentBills/B45yccU8d2S0xEk7gaWPsWNoODzC0G1Yo7oTH8gh.png</t>
  </si>
  <si>
    <t>2025-11-04 15:43:46</t>
  </si>
  <si>
    <t>2025-11-05 15:26:19</t>
  </si>
  <si>
    <t>EFE INGENIERIA Y PROYECTOS E.I.R.L.</t>
  </si>
  <si>
    <t>2003002477953 / CCI - 00320000300247795337</t>
  </si>
  <si>
    <t>COT 
CONTADOR DE RAYOS JJT 
REQ # 29 - ELECTRICO</t>
  </si>
  <si>
    <t>2025-11-05 10:34:00</t>
  </si>
  <si>
    <t>https://storage.googleapis.com/deytha-prod/payments/PD5GY2RIfOs4cP7u77kgBXCk6sasIlwLfaBikPLn.pdf</t>
  </si>
  <si>
    <t>https://storage.googleapis.com/deytha-prod/paymentBills/0ZgvlXWGjD3Jen8XwzGsEj5jNGx4x44HCghMDPrJ.pdf</t>
  </si>
  <si>
    <t>https://storage.googleapis.com/deytha-prod/supplierBills/v1zi4vV6wHouWi2cqHuGJ523V4iJrffP91I3UL2H.pdf</t>
  </si>
  <si>
    <t>2025-11-03 17:58:13</t>
  </si>
  <si>
    <t>2025-11-04 14:47:29</t>
  </si>
  <si>
    <t>2025-11-04 17:58:08</t>
  </si>
  <si>
    <t>FERRETERÍA Y SERVICIOS "EL MARINO"</t>
  </si>
  <si>
    <t>COT 
VALVULAS 
NIPLES
REQ # 14 - MECANICO</t>
  </si>
  <si>
    <t>2025-11-04 19:17:00</t>
  </si>
  <si>
    <t>https://storage.googleapis.com/deytha-prod/payments/BgUDI9glNuGPIFQFqU5QUyMbCTef8p6UPwglmvmy.jpg</t>
  </si>
  <si>
    <t>https://storage.googleapis.com/deytha-prod/paymentBills/b8Wkpb3lJtLCubQpUcu7rItdlXogWm418TqiF0zz.png</t>
  </si>
  <si>
    <t>https://storage.googleapis.com/deytha-prod/supplierBills/rlMKbPdmpHMyqz8F7H9kEbRCp5G7ywlCsrWNTPra.pdf</t>
  </si>
  <si>
    <t>2025-11-03 18:05:42</t>
  </si>
  <si>
    <t>2025-11-05 09:05:40</t>
  </si>
  <si>
    <t>MALLAS AGRO S.A.C</t>
  </si>
  <si>
    <t>193-1853646-0-95</t>
  </si>
  <si>
    <t>MALLAS Y ALAMBRES PUAS 
PARA CERCO PERIMETRICO 
REQ # 18 
MECANICO</t>
  </si>
  <si>
    <t>2025-11-07 16:32:00</t>
  </si>
  <si>
    <t>https://storage.googleapis.com/deytha-prod/payments/couvbeB9egq2UNFuWk5qAzjSGJ1xGp1Lzcy7qLDV.pdf</t>
  </si>
  <si>
    <t>https://storage.googleapis.com/deytha-prod/paymentBills/gmL8KfPICXetoE4UHhaPJS0FEJSSRpHl00d8mmVU.png</t>
  </si>
  <si>
    <t>https://storage.googleapis.com/deytha-prod/rqf/35836/65266446-fb0a-4b4b-a1cb-42545aed2ac3_35836 - E001-1289  - MALLAS PARA CERCO PERIMETRICO.pdf</t>
  </si>
  <si>
    <t>2025-11-03 18:17:15</t>
  </si>
  <si>
    <t>2025-11-05 09:17:11</t>
  </si>
  <si>
    <t xml:space="preserve">COT 
CABLES DESNUDO 4/0 Y 2/0 
DOSIS TORGEL
REQ # 34 - ELECTRICO
</t>
  </si>
  <si>
    <t>2025-11-17 14:58:00</t>
  </si>
  <si>
    <t>https://storage.googleapis.com/deytha-prod/payments/gjTWrCCMos0TTLs8ZQfilHpkMRCwXVSpqnTVqV2q.pdf</t>
  </si>
  <si>
    <t>https://storage.googleapis.com/deytha-prod/rqf/payments/e6507897-fb71-4369-9534-e6dc75ad03ea_35837.PNG</t>
  </si>
  <si>
    <t>https://storage.googleapis.com/deytha-prod/rqf/35837/c6364257-263b-4ace-bb42-0815dddd8ce2_35837 - FQQ1-509 - TORGHEL Y CABLES DESNUDOS.pdf</t>
  </si>
  <si>
    <t>2025-11-03 18:46:57</t>
  </si>
  <si>
    <t>2025-11-05 09:46:44</t>
  </si>
  <si>
    <t>QUISPE CARTAGENA GREGORIA</t>
  </si>
  <si>
    <t>COT - ADITIVOS PARA POZO TIERRA 
REQ # 34 ELECTRICO</t>
  </si>
  <si>
    <t>2025-11-18 16:34:00</t>
  </si>
  <si>
    <t>https://storage.googleapis.com/deytha-prod/payments/G5qzSsuOYKwAG7iELATeerDMToZkM2kl3EFGuTXw.pdf</t>
  </si>
  <si>
    <t>https://storage.googleapis.com/deytha-prod/rqf/payments/66f6c579-6457-425d-ad12-f612cb73e0d6_35839.PNG</t>
  </si>
  <si>
    <t>https://storage.googleapis.com/deytha-prod/rqf/35839/15aae79f-92dd-4db8-bcbb-8999309991ba_35839 - E001-16 - ADITIVOS GREGORIA.pdf</t>
  </si>
  <si>
    <t>2025-11-03 20:11:44</t>
  </si>
  <si>
    <t>2025-11-05 11:11:37</t>
  </si>
  <si>
    <t>NAUCAPOMA HEREDIA JUAN DIEGO</t>
  </si>
  <si>
    <t>192-99991796-011</t>
  </si>
  <si>
    <t xml:space="preserve">EQUIPO DINAMOMETRO
REQ # 30 
ELECTRICO
</t>
  </si>
  <si>
    <t>2025-11-04 19:13:00</t>
  </si>
  <si>
    <t>https://storage.googleapis.com/deytha-prod/payments/TVqjhpNhBvtauYgkueoR7sB60zTVOcU5vDP2CYKo.pdf</t>
  </si>
  <si>
    <t>https://storage.googleapis.com/deytha-prod/paymentBills/fXPcYz3nbq0QkNHvVwkwe7POvbfOTVgj2XOVE1GG.png</t>
  </si>
  <si>
    <t>https://storage.googleapis.com/deytha-prod/supplierBills/mdwHrtoC082J5bhsHPAglDlwod1XTw2mDRZMpTNi.pdf</t>
  </si>
  <si>
    <t>2025-11-04 10:09:04</t>
  </si>
  <si>
    <t>2025-11-04 11:06:22</t>
  </si>
  <si>
    <t>2025-11-05 10:08:51</t>
  </si>
  <si>
    <t>MTTO CORECTIVO 
LAVADO 
DE BUS DE PLACA T9F-962
ADJUNTO INFORME</t>
  </si>
  <si>
    <t>2025-11-04 17:05:00</t>
  </si>
  <si>
    <t>https://storage.googleapis.com/deytha-prod/payments/dLRsJeolDAMA0xpb9fLQEdPPpGgqRiufQRP6sNvg.pdf</t>
  </si>
  <si>
    <t>https://storage.googleapis.com/deytha-prod/paymentBills/rcsW435UDyg67fkhbk2rC49urmrIAZcrVN0hB0iT.pdf</t>
  </si>
  <si>
    <t>https://storage.googleapis.com/deytha-prod/supplierBills/jWmH0ORnfhpmvLdkTtYgI7puRZZpn2FKFKd7YaEE.pdf</t>
  </si>
  <si>
    <t>2025-11-03 17:45:55</t>
  </si>
  <si>
    <t>2025-11-04 09:07:08</t>
  </si>
  <si>
    <t>2025-11-04 17:45:49</t>
  </si>
  <si>
    <t xml:space="preserve">BIDONES DE AGUA RECARGA </t>
  </si>
  <si>
    <t>2025-11-07 17:09:00</t>
  </si>
  <si>
    <t>https://storage.googleapis.com/deytha-prod/payments/r3x5Mj5YiILLSryqVaaVMh1yes1snODLp1kruVQ8.pdf</t>
  </si>
  <si>
    <t>https://storage.googleapis.com/deytha-prod/paymentBills/qgV2tKcsyq4KflT2NQkkzcqYDJjH7HW23edDh1Im.png</t>
  </si>
  <si>
    <t>https://storage.googleapis.com/deytha-prod/supplierBills/WtPblPBeu4qUrpmeA5wyeQgXdaYsAAs4BA5XVkBB.pdf</t>
  </si>
  <si>
    <t>2025-11-03 17:51:29</t>
  </si>
  <si>
    <t>2025-11-04 17:51:21</t>
  </si>
  <si>
    <t>VIGA H 
PLATINAS 
REQ 16 MECANICO 
REQ 11 MECANICO</t>
  </si>
  <si>
    <t>2025-11-04 19:09:00</t>
  </si>
  <si>
    <t>https://storage.googleapis.com/deytha-prod/payments/Sr5kQ4tvDwcHuHlqzTLGK0uE4sbv2bkc3qv5hMEq.jpg</t>
  </si>
  <si>
    <t>https://storage.googleapis.com/deytha-prod/paymentBills/QYLJvzZ7PIFtj7DWEf8R7e3ZBxREAWv8OAhtXkzG.png</t>
  </si>
  <si>
    <t>https://storage.googleapis.com/deytha-prod/supplierBills/DT2iCI8UXrSbYP8KybgCzS55v8jsrzT1JeTgtdR9.pdf</t>
  </si>
  <si>
    <t>2025-10-30 16:22:35</t>
  </si>
  <si>
    <t>2025-10-31 15:26:11</t>
  </si>
  <si>
    <t>2025-10-31 16:22:31</t>
  </si>
  <si>
    <t>PINTURA RENNER PARA CERCO PERIMETRICO, COMPLETAR PEDIDO
REQ # 13</t>
  </si>
  <si>
    <t>2025-10-31 17:23:00</t>
  </si>
  <si>
    <t>https://storage.googleapis.com/deytha-prod/payments/LWXYoHYQ8o3N97a7yU5d3KirXjA0XbQYBmrtvnHl.pdf</t>
  </si>
  <si>
    <t>https://storage.googleapis.com/deytha-prod/paymentBills/ptgpIZLejJ5mgi8p2ZGUTGfJv11VlQ0mTKr4TNcp.png</t>
  </si>
  <si>
    <t>https://storage.googleapis.com/deytha-prod/rqf/35611/f3fc2a87-24f0-4d44-a8d4-194b0e108155_35611 - F001-12107 - PINTURA RENNER.pdf</t>
  </si>
  <si>
    <t>2025-10-30 16:33:43</t>
  </si>
  <si>
    <t>2025-10-31 16:26:39</t>
  </si>
  <si>
    <t>CABLE EXTENSION PARA MAQUIMAS DE SOLDAR 
ACCESORIOS MENEKES AMP 32
REQ 17 MECANICO
REQ 18 MECANICO</t>
  </si>
  <si>
    <t>2025-10-31 17:18:00</t>
  </si>
  <si>
    <t>https://storage.googleapis.com/deytha-prod/payments/9bFC13LjgfWHtESeW2bZxj65lzZRZyX0plhzWCLg.pdf</t>
  </si>
  <si>
    <t>https://storage.googleapis.com/deytha-prod/paymentBills/c3yxUKxMbobNLwQTKR6Fm6h2iVT7yohg8PrH1Wtv.png</t>
  </si>
  <si>
    <t>https://storage.googleapis.com/deytha-prod/supplierBills/inReKWLFOl8KaV7y2T68f9CUFLPSFtFzmv2IeXCv.pdf</t>
  </si>
  <si>
    <t>2025-10-30 16:39:44</t>
  </si>
  <si>
    <t>2025-10-31 16:39:08</t>
  </si>
  <si>
    <t>IMPORT WELCONS E.I.R.L.</t>
  </si>
  <si>
    <t>R - 02 MAQUINA DE SOLDAR
 REQ MECNICO 17</t>
  </si>
  <si>
    <t>2025-11-19 19:50:00</t>
  </si>
  <si>
    <t>https://storage.googleapis.com/deytha-prod/payments/4Y51JQCoDmnEo8G7jd3o7wnyBFVbh9uaxMD9rB1O.pdf</t>
  </si>
  <si>
    <t>https://storage.googleapis.com/deytha-prod/rqf/payments/1ab88675-2784-4774-b39f-805fe34f2e93_35620.PNG</t>
  </si>
  <si>
    <t>https://storage.googleapis.com/deytha-prod/rqf/35620/7da83c96-398a-4dc1-9a15-43ddadff5491_35620 - E001-1927 - MAQUINAS DE SOLDAR.pdf</t>
  </si>
  <si>
    <t>2025-10-31 09:56:09</t>
  </si>
  <si>
    <t>2025-11-01 09:56:03</t>
  </si>
  <si>
    <t xml:space="preserve">PUNTA DE MARTILLO UG400
BA418M-JS
REQ PARA MAQUINA AMARILLA - PICOTON 
</t>
  </si>
  <si>
    <t>2025-10-31 17:40:00</t>
  </si>
  <si>
    <t>https://storage.googleapis.com/deytha-prod/payments/x8JrYUpWc0GqkvIUrGgIw4loYcUC71MUSVPss5EM.pdf</t>
  </si>
  <si>
    <t>https://storage.googleapis.com/deytha-prod/paymentBills/5nuJQwsWUTL0LIjH247RMYzPwcekZqP7qaVtd0Re.pdf</t>
  </si>
  <si>
    <t>https://storage.googleapis.com/deytha-prod/supplierBills/LvmNd3ShpZEmSXlPCeIkeNrv0yEo1y5Z7o1BzyQ5.pdf</t>
  </si>
  <si>
    <t>2025-10-29 09:54:03</t>
  </si>
  <si>
    <t>2025-10-29 15:08:33</t>
  </si>
  <si>
    <t>2025-10-30 09:53:20</t>
  </si>
  <si>
    <t>TIERRA DE CHACRA PARA A3 (29-10-2025)</t>
  </si>
  <si>
    <t>2025-10-31 21:49:00</t>
  </si>
  <si>
    <t>https://storage.googleapis.com/deytha-prod/payments/dq6gPe4CVkoda1iv243B55uUjuPfPKYOhRdhdS4P.pdf</t>
  </si>
  <si>
    <t>https://storage.googleapis.com/deytha-prod/paymentBills/OhflrShXZECzMlnjSIyMHYCz3oPhbBFz8EdZXwFr.pdf</t>
  </si>
  <si>
    <t>https://storage.googleapis.com/deytha-prod/rqf/35420/335c06f9-430a-4ebb-8951-6de82bdd48b4_1119.pdf</t>
  </si>
  <si>
    <t>2025-10-29 11:52:06</t>
  </si>
  <si>
    <t>2025-10-30 11:51:50</t>
  </si>
  <si>
    <t>ALIMENTACION MOQUEGUA SEMANA 25 DEL 19 AL 25</t>
  </si>
  <si>
    <t>2025-11-07 16:54:00</t>
  </si>
  <si>
    <t>https://storage.googleapis.com/deytha-prod/payments/t2HBEyf2JeLgNvOHnmIOnRRvtBf7vBTdipBpc1wd.pdf</t>
  </si>
  <si>
    <t>https://storage.googleapis.com/deytha-prod/paymentBills/sizL3BCI4C317KQanF6NKhorzjb8LOwebpeVDDc5.png</t>
  </si>
  <si>
    <t>https://storage.googleapis.com/deytha-prod/supplierBills/Nj4hPuI2dS17iG9oA7Yvlb39MA8ap9ntj1HLlEIy.png</t>
  </si>
  <si>
    <t>2025-10-21 14:13:52</t>
  </si>
  <si>
    <t>2025-10-28 18:59:07</t>
  </si>
  <si>
    <t>2025-10-22 14:13:50</t>
  </si>
  <si>
    <t>ENZUNCHADORA 
TIBOS GALVANIZADOS 2" 
REQ # 10 TELECOMUNICACIONES Y 
# 30 ELECTRICO</t>
  </si>
  <si>
    <t>2025-10-31 21:54:00</t>
  </si>
  <si>
    <t>https://storage.googleapis.com/deytha-prod/payments/ADiMjrDWCc1tGPtSAmkixL95gDTPlzXU120u9L5e.pdf</t>
  </si>
  <si>
    <t>https://storage.googleapis.com/deytha-prod/paymentBills/aQUaNcY81GWdLqxoZmZSBHcjuVggxokSsx6yOYCT.png</t>
  </si>
  <si>
    <t>https://storage.googleapis.com/deytha-prod/supplierBills/F6KtZWvtqO6YXpSAhupe1YTVS4VplFOEPW6M7CVC.pdf</t>
  </si>
  <si>
    <t>2025-10-21 18:28:16</t>
  </si>
  <si>
    <t>2025-10-23 09:28:09</t>
  </si>
  <si>
    <t xml:space="preserve">BROCAS CORONAS 
PULPOS MENEKES
REQ # ELECTRICO 23 
MECANICO # 13 / 17 </t>
  </si>
  <si>
    <t>https://storage.googleapis.com/deytha-prod/payments/vXVDsJEjDdxvnQMf3c7Qm6nVPEKsLAN0AEiHjl00.pdf</t>
  </si>
  <si>
    <t>https://storage.googleapis.com/deytha-prod/paymentBills/Qy3HxzYN9VSP2EubQqhEyNrT2eIPCAM0IoKpyDDd.png</t>
  </si>
  <si>
    <t>https://storage.googleapis.com/deytha-prod/supplierBills/bM5nZC3ZuIBlaSWqr3Wpo8hCcKmkxl7Y7qZH43ky.pdf</t>
  </si>
  <si>
    <t>2025-10-27 15:55:48</t>
  </si>
  <si>
    <t>2025-10-30 15:55:31</t>
  </si>
  <si>
    <t>MATERIAL ELECTRICO 
REQ # 33 ELECTRICO</t>
  </si>
  <si>
    <t>https://storage.googleapis.com/deytha-prod/payments/joCueKWN7wPKZsEfuZDF82VkNSBssqndzSq9IZXg.pdf</t>
  </si>
  <si>
    <t>https://storage.googleapis.com/deytha-prod/paymentBills/h0y3O5QxCeolQNsABq4EUwllJfrIKyWDuwJKmZlR.png</t>
  </si>
  <si>
    <t>https://storage.googleapis.com/deytha-prod/supplierBills/6kITZnaIRMtXUN5R8W5zWlm5PuJnsnMfY98Su4oC.pdf</t>
  </si>
  <si>
    <t>2025-10-27 17:33:32</t>
  </si>
  <si>
    <t>2025-10-28 17:33:07</t>
  </si>
  <si>
    <t>MECAFIRE SYSTEM S.R.L.</t>
  </si>
  <si>
    <t>0011 0248 0200519220 24   / CCI -011 248 000200519220 24</t>
  </si>
  <si>
    <t>CABLE COAXIAL 
CONECTOR N COAXIAL 
REQ TELECOMUNICACION # 08 
REQ ELECTRICO # 30</t>
  </si>
  <si>
    <t>2025-10-31 17:49:00</t>
  </si>
  <si>
    <t>https://storage.googleapis.com/deytha-prod/payments/omCNXo3R0wORambv3BmqDSnA7KA6fWSCoZoJBzjr.pdf</t>
  </si>
  <si>
    <t>https://storage.googleapis.com/deytha-prod/paymentBills/84JFQiXMVV0qaLGWxI4caJzZye79FsSgbLe49JVY.pdf</t>
  </si>
  <si>
    <t>https://storage.googleapis.com/deytha-prod/supplierBills/OfGXL5GyNnRmPhAKucwF0JKY3moEtXcAJ3NCjprA.pdf</t>
  </si>
  <si>
    <t>2025-10-28 10:37:08</t>
  </si>
  <si>
    <t>2025-10-29 10:34:55</t>
  </si>
  <si>
    <t xml:space="preserve">SERVICIO DE ALQUILER DE RODILLO CHICAGO
PNEUMATIC
CARACTERISTICAS:
Potencia: 9.7HP HATZ
Ancho rola: 650mm
Fuerza de Impacto: 21.8Kn
Peso: 765kg
Combustible: Diesel
CORRESPONDIENTE DE 13 SEP AL 30 SEP NO SE VALORIZA LOS DOMINGOS
FRENTE DE TRABAJO A3 Y SUB ESTACION BASE A3
</t>
  </si>
  <si>
    <t>https://storage.googleapis.com/deytha-prod/payments/exeGVpjDv2m7IdGmCfDbEOHvPPEiaGkEZ0TX0oaX.pdf</t>
  </si>
  <si>
    <t>https://storage.googleapis.com/deytha-prod/paymentBills/PiUwa7HMyru99B6d0gj4At1O8hjpVwn3bvodHhSB.png</t>
  </si>
  <si>
    <t>https://storage.googleapis.com/deytha-prod/supplierBills/WWUo2cYp1NDk9jD8mx5PfV6DCUx5z3SwPVCdIMST.pdf</t>
  </si>
  <si>
    <t>2025-10-26 17:28:47</t>
  </si>
  <si>
    <t>2025-10-28 18:46:09</t>
  </si>
  <si>
    <t>2025-10-27 17:28:42</t>
  </si>
  <si>
    <t>PINTURA RENNER 
REQ # 13 MECANICO</t>
  </si>
  <si>
    <t>2025-10-29 18:12:00</t>
  </si>
  <si>
    <t>https://storage.googleapis.com/deytha-prod/payments/Z713RA0rYmBkuwW3au9Ft0JnylZTmzEuOLSTUqEf.pdf</t>
  </si>
  <si>
    <t>https://storage.googleapis.com/deytha-prod/paymentBills/eXfXgRj98EMh9Ws6HbWc9XzyiMOpFhPXLUgOIhSF.png</t>
  </si>
  <si>
    <t>https://storage.googleapis.com/deytha-prod/supplierBills/oGhbQu36LM598cu1nJpezWE0BjBkJcxVnK7m9etG.pdf</t>
  </si>
  <si>
    <t>2025-10-27 15:33:37</t>
  </si>
  <si>
    <t>2025-10-28 15:33:24</t>
  </si>
  <si>
    <t xml:space="preserve">SERVICIO DE TRASLADO DE TABLEROS ELECTRICOS DE LIMA HACIA MOQUEGUA
CAMION FURGON 
</t>
  </si>
  <si>
    <t>2025-10-31 17:27:00</t>
  </si>
  <si>
    <t>https://storage.googleapis.com/deytha-prod/payments/01Eflu18jtaYu42BQV5kuJOR03wehMdqONzQMGQl.pdf</t>
  </si>
  <si>
    <t>https://storage.googleapis.com/deytha-prod/paymentBills/VwBxId5vRlsv2OrEGwDwJHMCSZk82uj6b8UxM1As.png</t>
  </si>
  <si>
    <t>https://storage.googleapis.com/deytha-prod/supplierBills/DuaYg5jI3uAR6rWjB7xZKBmzDYaixymjpVjliiGC.pdf</t>
  </si>
  <si>
    <t>2025-10-27 17:53:06</t>
  </si>
  <si>
    <t>2025-10-28 17:53:01</t>
  </si>
  <si>
    <t>COT 
MATERIALES VARIOS 
REQ # 32 SSOMA 
REQ # 33 SSOMA</t>
  </si>
  <si>
    <t>https://storage.googleapis.com/deytha-prod/payments/FyJf6uCNN4PA9eNkIHELj6bdSB5TGIxyWvlQWCFA.pdf</t>
  </si>
  <si>
    <t>https://storage.googleapis.com/deytha-prod/paymentBills/k2QX6TZcLkz9akcZPVDykFaKffSyOlAH6jg8i9PT.png</t>
  </si>
  <si>
    <t>https://storage.googleapis.com/deytha-prod/supplierBills/qEJnIRzKZyIcs5EfwW5SfrgioNxLby2jkLRHqdzp.pdf</t>
  </si>
  <si>
    <t>2025-09-16 19:42:21</t>
  </si>
  <si>
    <t>2025-10-28 18:01:33</t>
  </si>
  <si>
    <t>2025-09-17 14:42:12</t>
  </si>
  <si>
    <t>ALQUILER DE CONTENEDOR TIPO ALMACEN CON REPISAS / ALQUILER DE CONTENEDOR TIPO OFICINA /  ALQUILER DE CONTENEDOR TIPO ALMACEN  VACIO / ALQUILER DE CONTENEDOR TIPO OFICINA  ALQUILER DE CONTENEDOR TIPO ALMACEN CON REPISAS, DESDE EL 06/09/2025 AL 05/10/2025</t>
  </si>
  <si>
    <t>2025-10-31 21:15:00</t>
  </si>
  <si>
    <t>https://storage.googleapis.com/deytha-prod/payments/ZEizq06lsPD6P8mx2Uy5Si9kxpsQDDu6Hb2GGIeF.pdf</t>
  </si>
  <si>
    <t>https://storage.googleapis.com/deytha-prod/paymentBills/PS0YE7eYBYJAyO5dqEYbeP6X2E928K8gs0sooUxv.pdf</t>
  </si>
  <si>
    <t>https://storage.googleapis.com/deytha-prod/supplierBills/DePEGnmOFBE7AW3sonXW1RgfeAEl9p7gTIxrdEHz.pdf</t>
  </si>
  <si>
    <t>2025-09-21 14:16:37</t>
  </si>
  <si>
    <t>2025-10-01 09:16:35</t>
  </si>
  <si>
    <t>VALORIZACION RETROEXCAVADORA CON VOLQUETE Y PICOTONOES DEL MES DE JULIO</t>
  </si>
  <si>
    <t>2025-12-05 20:23:00</t>
  </si>
  <si>
    <t>https://storage.googleapis.com/deytha-prod/payments/8ZmoCFPbVOO4Pov6yFl83JnYsenASo712FC8F387.pdf</t>
  </si>
  <si>
    <t>https://storage.googleapis.com/deytha-prod/bcp_pdfs/shared/1764984209_BCP_HTML.pdf</t>
  </si>
  <si>
    <t>https://storage.googleapis.com/deytha-prod/rqf/31516/cc985104-9385-4f1c-a927-ff93d3167ecd_FACTURA 001-7  VAL JULIO  EQUIPOS DEYFOR[1].pdf</t>
  </si>
  <si>
    <t>2025-10-14 09:30:03</t>
  </si>
  <si>
    <t>2025-10-31 09:27:32</t>
  </si>
  <si>
    <t>POR SERVICIO DE ALQUILER DE CAMION GRUA DE 7 Y 12 TN PLACA Z7Z-828 Y Z6P-829 DEL 25/08/25 AL 22/09/25 (5940-006 REEMPLAZO BASE 3 POR INSTALACION DE DOS BASES DE COMUNICACION - MINA CUAJONE)</t>
  </si>
  <si>
    <t>https://storage.googleapis.com/deytha-prod/payments/DxcWVkxbRCzgZLncKJzdDsCs72B0IV6i2MbkckCW.pdf</t>
  </si>
  <si>
    <t>https://storage.googleapis.com/deytha-prod/rqf/payments/759582b8-9691-4518-8846-a765686eb969_Scotiabank_MONTAJEEEEEEE.pdf</t>
  </si>
  <si>
    <t>https://storage.googleapis.com/deytha-prod/supplierBills/lHVvqPiNcmDrCjLK4tHY2197SZedSV9R3M0snXmw.pdf</t>
  </si>
  <si>
    <t>2025-10-28 14:08:37</t>
  </si>
  <si>
    <t>2025-10-28 17:22:24</t>
  </si>
  <si>
    <t>2025-10-29 14:08:35</t>
  </si>
  <si>
    <t>TIERRA DE CHACRA PARA A3 (28-10-2025)</t>
  </si>
  <si>
    <t>https://storage.googleapis.com/deytha-prod/payments/0P40zzSjSoH4TgDjywwMBJH5HtSHJ6qbct7rVdZF.pdf</t>
  </si>
  <si>
    <t>https://storage.googleapis.com/deytha-prod/paymentBills/RFHZGQAczJynxlNjjTtH8na6zm49Yn3NxA3DnOtO.pdf</t>
  </si>
  <si>
    <t>https://storage.googleapis.com/deytha-prod/rqf/35356/6252a044-518c-4e27-9047-00dcebd72999_1120.pdf</t>
  </si>
  <si>
    <t>2025-10-27 16:00:58</t>
  </si>
  <si>
    <t>2025-10-28 12:10:48</t>
  </si>
  <si>
    <t>2025-10-28 16:00:55</t>
  </si>
  <si>
    <t>FERRITODO HOME CENTER E.I.R.L.</t>
  </si>
  <si>
    <t>430-2229674-0-92</t>
  </si>
  <si>
    <t>BENTONICA DE 
REQ 29 ELECTRICO
REQ 30 ELECTRICO</t>
  </si>
  <si>
    <t>https://storage.googleapis.com/deytha-prod/payments/8JRm38lbVITAg8p1s80jYyeydctta3b9lMZG0I8z.pdf</t>
  </si>
  <si>
    <t>https://storage.googleapis.com/deytha-prod/paymentBills/4lxYJNWwqMOcUmXV1JYaNGcD6NT8UOni0gJ7LCjR.png</t>
  </si>
  <si>
    <t>https://storage.googleapis.com/deytha-prod/supplierBills/cgp79j6uPzpvz98yY2VpRnJoZ3UyT36bDoSr5Zic.pdf</t>
  </si>
  <si>
    <t>2025-10-27 16:04:09</t>
  </si>
  <si>
    <t>2025-10-28 16:04:06</t>
  </si>
  <si>
    <t>IMPORTACIONES ASOF S.A.C.</t>
  </si>
  <si>
    <t>191-9922972-0-38</t>
  </si>
  <si>
    <t>REQ 29 ELECTRICO 
MATERIAL ELECTRICO</t>
  </si>
  <si>
    <t>2025-10-29 18:48:00</t>
  </si>
  <si>
    <t>https://storage.googleapis.com/deytha-prod/payments/z4aI21Nmj0CvtA2Bnc4qObVYSPsuZ0aLp23yuzXM.pdf</t>
  </si>
  <si>
    <t>https://storage.googleapis.com/deytha-prod/paymentBills/5bwVkTvWMFtRmnIeA1B6I2u6PHKLMfzSl1Qf6MrA.png</t>
  </si>
  <si>
    <t>https://storage.googleapis.com/deytha-prod/supplierBills/r8bAsqRWPYZ5Z63MJLQooOSKHOitTncnzjnWLB0U.pdf</t>
  </si>
  <si>
    <t>2025-10-27 21:01:02</t>
  </si>
  <si>
    <t>2025-10-29 12:01:00</t>
  </si>
  <si>
    <t xml:space="preserve">RECOJO DE DIVERSAS ESCOMIENDAS 
MATERIAL ELECTRICO 
MATERIAL PINTURA </t>
  </si>
  <si>
    <t>2025-10-29 18:16:00</t>
  </si>
  <si>
    <t>https://storage.googleapis.com/deytha-prod/payments/bN5cn8XsssUcfx935PmwLKJ8v28h60P1KL0wT4Vp.pdf</t>
  </si>
  <si>
    <t>https://storage.googleapis.com/deytha-prod/paymentBills/qSaaHSlG0o89T73g8s7HcF1HENLAn9JSO61ulTkh.png</t>
  </si>
  <si>
    <t>https://storage.googleapis.com/deytha-prod/supplierBills/q0KK8ygDzmI1lDIIxKFL1YiOSlIG7oIYFAnO5Rle.pdf</t>
  </si>
  <si>
    <t>2025-10-27 21:02:58</t>
  </si>
  <si>
    <t>2025-10-29 12:02:47</t>
  </si>
  <si>
    <t>QUISPE MACHACA LUIS ALBERTO</t>
  </si>
  <si>
    <t xml:space="preserve"> 215-36207020-63</t>
  </si>
  <si>
    <t>GUANTES HYFLEX CODIGO 11-727 ANSELL TALLA 8
REQ 30 - SSOMA</t>
  </si>
  <si>
    <t>2025-10-29 18:53:00</t>
  </si>
  <si>
    <t>https://storage.googleapis.com/deytha-prod/payments/CN66YBAXDUNjoXvlVl12VuyicSwYguTDg93vRyv1.pdf</t>
  </si>
  <si>
    <t>https://storage.googleapis.com/deytha-prod/paymentBills/lNMlgl0abhMiYq4VzPMtZdP06okduh8RbFll8n3B.png</t>
  </si>
  <si>
    <t>https://storage.googleapis.com/deytha-prod/rqf/35320/832abad9-26e1-4fb5-8c34-2a59c2a47762_35320 - E001-532 - GUANTES.pdf</t>
  </si>
  <si>
    <t>2025-09-16 21:12:35</t>
  </si>
  <si>
    <t>2025-10-28 08:43:20</t>
  </si>
  <si>
    <t>2025-09-30 16:12:26</t>
  </si>
  <si>
    <t>ALIMENTACION MOQUEGUA JULIO 2025</t>
  </si>
  <si>
    <t>2025-10-31 18:04:00</t>
  </si>
  <si>
    <t>https://storage.googleapis.com/deytha-prod/payments/LloYEedLWTDsm4r9x0Jfjc2ACaNO0FJRkNFsRlDW.pdf</t>
  </si>
  <si>
    <t>https://storage.googleapis.com/deytha-prod/paymentBills/YM9YewxhkA3oPELNGilYj1VDdzuK4rB26UyIMXIb.pdf</t>
  </si>
  <si>
    <t>https://storage.googleapis.com/deytha-prod/supplierBills/epsKfvOd5rruvzfZ4krwBlKSFAva2UAnO7N4j41v.pdf</t>
  </si>
  <si>
    <t>2025-10-14 14:44:46</t>
  </si>
  <si>
    <t>2025-10-24 14:44:45</t>
  </si>
  <si>
    <t>SERVICIO DE HOSPEDAJE (CAMA INDIVIDUAL) - SERVICIO DE HOSPEDAJE (CAMA DOBLE O TRIPLE) 01/07/2025 - 31/07/2025</t>
  </si>
  <si>
    <t>2025-10-31 12:14:00</t>
  </si>
  <si>
    <t>https://storage.googleapis.com/deytha-prod/payments/4nZf2TYidDw1wBtbxyeWyUs4vcFUrOUoMHwpDgQH.pdf</t>
  </si>
  <si>
    <t>https://storage.googleapis.com/deytha-prod/paymentBills/qtx8re1KAXQ7kXINOl3o45syzQTa1Ioqqtvz5e3s.png</t>
  </si>
  <si>
    <t>https://storage.googleapis.com/deytha-prod/supplierBills/FXOwzKobFgJqMnghXOaOQwSR9bgWj5pmyVQlPHgq.pdf</t>
  </si>
  <si>
    <t>2025-10-14 14:56:27</t>
  </si>
  <si>
    <t>2025-10-31 14:56:19</t>
  </si>
  <si>
    <t>SERVICIO DE HOSPEDAJE (CAMA INDIVIDUAL) - SERVICIO DE HOSPEDAJE (CAMA DOBLE O TRIPLE) 01/08/2025 - 31/08/2025</t>
  </si>
  <si>
    <t>2025-11-24 18:27:00</t>
  </si>
  <si>
    <t>https://storage.googleapis.com/deytha-prod/payments/xwdYhJoflKhdVmelTIdmdrrvX9FrTdILDSBdR6xs.pdf</t>
  </si>
  <si>
    <t>https://storage.googleapis.com/deytha-prod/rqf/payments/a9e50219-2df6-4545-a4ac-368b876dd56b_33922.PNG</t>
  </si>
  <si>
    <t>https://storage.googleapis.com/deytha-prod/supplierBills/605A5jw0J5K6Y7q0FC5w8uV382O1Vedie0MiA4Bb.pdf</t>
  </si>
  <si>
    <t>2025-10-14 15:07:58</t>
  </si>
  <si>
    <t>2025-10-31 15:07:39</t>
  </si>
  <si>
    <t>SERVICIO DE ALIMENTACION MOQUEGUA 01/08/2025 AL 31/08/2025</t>
  </si>
  <si>
    <t>2025-12-05 15:30:00</t>
  </si>
  <si>
    <t>https://storage.googleapis.com/deytha-prod/payments/uxtXL1dcylnX2unp8LNnPdZJGghtqX0XWgdrCRzy.pdf</t>
  </si>
  <si>
    <t>https://storage.googleapis.com/deytha-prod/rqf/payments/4879a7df-10bd-468f-b417-3de80dc97573_33923.pdf</t>
  </si>
  <si>
    <t>https://storage.googleapis.com/deytha-prod/supplierBills/7kSUUXqsaNb7JY1EdDipLohqUC7CTK0lOTnXIcmY.pdf</t>
  </si>
  <si>
    <t>2025-10-27 15:45:17</t>
  </si>
  <si>
    <t>MARCO AURELIO INTOR GUEVARA</t>
  </si>
  <si>
    <t>2025-10-27 18:24:56</t>
  </si>
  <si>
    <t>2025-10-27 15:45:16</t>
  </si>
  <si>
    <t>REVISIÓN PREVENTIVA DE CAMIONETA CEB-791</t>
  </si>
  <si>
    <t>2025-10-27 18:49:00</t>
  </si>
  <si>
    <t>https://storage.googleapis.com/deytha-prod/payments/jZsiiBTk3GhkeXrnRQQhmd1eU8pUlmCJ7rIIhSS6.pdf</t>
  </si>
  <si>
    <t>https://storage.googleapis.com/deytha-prod/paymentBills/iE6ossrmvc31scn4VBAw76LzxwkGaVBX0hk1ZXsx.png</t>
  </si>
  <si>
    <t>https://storage.googleapis.com/deytha-prod/supplierBills/ws6nNtYJRvyHV1rPmCRPow6aXggq4UvnCq2gWqAU.pdf</t>
  </si>
  <si>
    <t>2025-10-27 15:08:56</t>
  </si>
  <si>
    <t>2025-10-27 15:51:12</t>
  </si>
  <si>
    <t>2025-10-27 16:08:44</t>
  </si>
  <si>
    <t xml:space="preserve">PAGO POR EMO DE QUENAYA NEYRA JOSEPH KARL </t>
  </si>
  <si>
    <t>2025-10-28 10:34:00</t>
  </si>
  <si>
    <t>https://storage.googleapis.com/deytha-prod/payments/Q4K9Bj78E3KO4pVQaMeUmqO0848j8Qt0NZgwXnrA.pdf</t>
  </si>
  <si>
    <t>https://storage.googleapis.com/deytha-prod/paymentBills/MnvNtTmgIxR7qAP84s0IbvySU3cOA6OEcgpIKN9y.png</t>
  </si>
  <si>
    <t>https://storage.googleapis.com/deytha-prod/supplierBills/hEtsUUajHUlR6juJ5uyjipJdjIHGrw3n9EDlhqDc.pdf</t>
  </si>
  <si>
    <t>2025-10-27 15:15:41</t>
  </si>
  <si>
    <t>2025-10-27 16:15:38</t>
  </si>
  <si>
    <t>PAGO POR EMO DE VILCAZA GOMEZ RONAL/ CHURATA MAMANI GUSTAVO/ CCASA CCAHUANA EDWIN RENE</t>
  </si>
  <si>
    <t>2025-10-28 10:39:00</t>
  </si>
  <si>
    <t>https://storage.googleapis.com/deytha-prod/payments/9c1fZRtFC9qOhC8ALr1vkWVadcX6QyF6GYX2tmon.pdf</t>
  </si>
  <si>
    <t>https://storage.googleapis.com/deytha-prod/paymentBills/PuADH5IavwhEUGgPfXfnQyycKEKnSZILzot0rFOl.png</t>
  </si>
  <si>
    <t>https://storage.googleapis.com/deytha-prod/supplierBills/qImTltJDugEAVkin5XHryDqCWJbOg6PpeNOx1SLT.pdf</t>
  </si>
  <si>
    <t>2025-10-23 11:44:07</t>
  </si>
  <si>
    <t>2025-10-27 15:41:17</t>
  </si>
  <si>
    <t>2025-10-24 11:43:58</t>
  </si>
  <si>
    <t xml:space="preserve">TIERRA DE CHACRA D2 (01/10/2025) segundo viaje </t>
  </si>
  <si>
    <t>https://storage.googleapis.com/deytha-prod/payments/eu0rEsnYp3MUj6IFcONhusGltAmWgvOot2nRCQy0.pdf</t>
  </si>
  <si>
    <t>https://storage.googleapis.com/deytha-prod/paymentBills/bY1A2YPALrUjzH0KT97VcmMlGjCyKiGqZeopVPUC.pdf</t>
  </si>
  <si>
    <t>https://storage.googleapis.com/deytha-prod/supplierBills/IcTfDzvR2lwPL0A2VkPeLkI1dYrGI5JWMEKe1St1.pdf</t>
  </si>
  <si>
    <t>2025-10-23 11:46:14</t>
  </si>
  <si>
    <t>2025-10-24 11:46:03</t>
  </si>
  <si>
    <t>TIERRA DE CHACRA D2 (04/10/2025)</t>
  </si>
  <si>
    <t>https://storage.googleapis.com/deytha-prod/payments/Nx0mp1mVp5TLIgccsDu2hlVBhzYAOwIWXaIn0wmc.pdf</t>
  </si>
  <si>
    <t>https://storage.googleapis.com/deytha-prod/paymentBills/brqO6fCxFAP5Ps7k1Joa6P0M872SUaGYvEqhDTo4.pdf</t>
  </si>
  <si>
    <t>https://storage.googleapis.com/deytha-prod/supplierBills/2AHiTHqOWa60gLVzUX0m1c0VnnsZJEL0Q1QPUObV.pdf</t>
  </si>
  <si>
    <t>2025-10-23 11:47:23</t>
  </si>
  <si>
    <t>2025-10-24 11:47:19</t>
  </si>
  <si>
    <t>TIERRA DE CHACRA D2 (03/10/2025)</t>
  </si>
  <si>
    <t>https://storage.googleapis.com/deytha-prod/payments/5mtQJre2oH1Du5RMSH9aGCUhkeQW0zzU9CxjrjE4.pdf</t>
  </si>
  <si>
    <t>https://storage.googleapis.com/deytha-prod/paymentBills/tj18O4hJWPXdg97FWNKdWr6PKjW00NAf7qaDQbOw.pdf</t>
  </si>
  <si>
    <t>https://storage.googleapis.com/deytha-prod/supplierBills/DZiTBCazcRXkiCV5JFfRvVCVF8UEepUF2i8OmxFi.pdf</t>
  </si>
  <si>
    <t>2025-10-23 11:49:32</t>
  </si>
  <si>
    <t>2025-10-24 11:49:29</t>
  </si>
  <si>
    <t>ARENA GRUESA (29/09/2025) 15 M3</t>
  </si>
  <si>
    <t>2025-10-29 20:00:00</t>
  </si>
  <si>
    <t>https://storage.googleapis.com/deytha-prod/payments/zda1XjLQSjpSj6dBMeLq8iv95sTI2Gl9W7E0ZdXQ.pdf</t>
  </si>
  <si>
    <t>https://storage.googleapis.com/deytha-prod/paymentBills/YCuLhidSwbNv0FDP1LLK25NuW48KDfIlBjNVHQlG.png</t>
  </si>
  <si>
    <t>https://storage.googleapis.com/deytha-prod/supplierBills/c2UJ5mqUbQAtZ9cZ3OPSpjJqVRZOFfQlx3kb2bgH.pdf</t>
  </si>
  <si>
    <t>2025-10-23 11:50:45</t>
  </si>
  <si>
    <t>2025-10-24 11:50:37</t>
  </si>
  <si>
    <t>PIEDRA 3/4 (29/09/2025) 15 M3</t>
  </si>
  <si>
    <t>2025-10-29 20:03:00</t>
  </si>
  <si>
    <t>https://storage.googleapis.com/deytha-prod/payments/fN8V408r0LYOJEjAAr4xkNiTyuqiYOGvDa50wc70.pdf</t>
  </si>
  <si>
    <t>https://storage.googleapis.com/deytha-prod/paymentBills/Y4m3XGYU8Hdu71NLMa2HgBFvRWrYLz5a69E0IaTY.png</t>
  </si>
  <si>
    <t>https://storage.googleapis.com/deytha-prod/supplierBills/aY8Cru63w9MN38fT2K1juvnAmZ5nGLcHdiljg9kG.pdf</t>
  </si>
  <si>
    <t>2025-10-23 11:53:32</t>
  </si>
  <si>
    <t>2025-10-24 11:53:00</t>
  </si>
  <si>
    <t>GRAVA SELECCIONADA 15M3 PARA BASE A3 7/10/2025</t>
  </si>
  <si>
    <t>https://storage.googleapis.com/deytha-prod/payments/ndGLPdzJNcGMzKjNbRPdKntTRl4jfJqzVzT6JgCl.pdf</t>
  </si>
  <si>
    <t>https://storage.googleapis.com/deytha-prod/paymentBills/RBWHJYbkK5DMJvf5QkIy0Kg8h79fmEKWvhMnnbrI.pdf</t>
  </si>
  <si>
    <t>https://storage.googleapis.com/deytha-prod/supplierBills/yy0JhOEBC2Zl3AjFjcETCJkc37WreugbGY2n3C9W.pdf</t>
  </si>
  <si>
    <t>2025-10-27 11:56:44</t>
  </si>
  <si>
    <t>2025-10-27 12:30:23</t>
  </si>
  <si>
    <t>2025-10-27 12:56:26</t>
  </si>
  <si>
    <t xml:space="preserve">PAGO POR EMO DE CCAPA CRUZ CESAR GIANFRANCO
</t>
  </si>
  <si>
    <t>2025-10-27 15:30:00</t>
  </si>
  <si>
    <t>https://storage.googleapis.com/deytha-prod/payments/rzQf7DyMA8UF5Jm6sW6YTg372RwfnirPBuHk2AYe.pdf</t>
  </si>
  <si>
    <t>https://storage.googleapis.com/deytha-prod/paymentBills/PpvMPn9svz9bVsVacfyPsUsYWJ20NMDvdDdBympu.png</t>
  </si>
  <si>
    <t>https://storage.googleapis.com/deytha-prod/supplierBills/3KQ8f5jETzaysFC14i6Wl223xfFShxg6cQVvFC5h.pdf</t>
  </si>
  <si>
    <t>2025-10-24 17:31:10</t>
  </si>
  <si>
    <t>2025-10-27 11:37:45</t>
  </si>
  <si>
    <t>2025-10-24 17:30:39</t>
  </si>
  <si>
    <t>PAGO POR EL EMO DE PAZ ROMERO JUAN EDGAR</t>
  </si>
  <si>
    <t>2025-10-27 12:26:00</t>
  </si>
  <si>
    <t>https://storage.googleapis.com/deytha-prod/payments/OzT54mjPs5eL9hlWoTKoALPx7doOJ5INOWxloaOk.jpg</t>
  </si>
  <si>
    <t>https://storage.googleapis.com/deytha-prod/paymentBills/Akv896nrrkIsOSyLWnIbiGy6YaQAHiolrEKgN5EU.png</t>
  </si>
  <si>
    <t>https://storage.googleapis.com/deytha-prod/supplierBills/lZMaJuqWmQtmnZk2diI3GBJkmXsALlb6kaOS0NZX.pdf</t>
  </si>
  <si>
    <t>2025-10-24 17:15:43</t>
  </si>
  <si>
    <t>2025-10-24 17:18:14</t>
  </si>
  <si>
    <t>2025-10-25 17:15:40</t>
  </si>
  <si>
    <t xml:space="preserve">MATERIALES VARIOS 
REQ MECANICO 
#14 
#11 </t>
  </si>
  <si>
    <t>2025-10-24 20:22:00</t>
  </si>
  <si>
    <t>https://storage.googleapis.com/deytha-prod/payments/ylBzc5W1N5sUbJf8ki6DVs6LR4UOMoceOgHBMMtN.pdf</t>
  </si>
  <si>
    <t>https://storage.googleapis.com/deytha-prod/paymentBills/Xid0tXvhiFJdV7jW1r0bajUw3H0FMVjoWZAjwAzX.png</t>
  </si>
  <si>
    <t>https://storage.googleapis.com/deytha-prod/supplierBills/ah1bprT9Ff6RfJ1bKigwrUkRcUhtoKeYxbXSNBBj.pdf</t>
  </si>
  <si>
    <t>2025-10-24 12:27:01</t>
  </si>
  <si>
    <t>2025-10-24 14:11:56</t>
  </si>
  <si>
    <t>2025-10-24 13:26:58</t>
  </si>
  <si>
    <t xml:space="preserve">PAGO POR EL EMO DE QUENAYA NEYRA JOSEPH KARL	</t>
  </si>
  <si>
    <t>2025-10-27 12:21:00</t>
  </si>
  <si>
    <t>https://storage.googleapis.com/deytha-prod/payments/pUsK4naaNRetLJn9HHUCxuOen1c4mEUA5NfTZ7Yb.pdf</t>
  </si>
  <si>
    <t>https://storage.googleapis.com/deytha-prod/paymentBills/tpOpTwkm98SXSTSv4MCsrqEXm8nvD4MXCHJQBaWD.png</t>
  </si>
  <si>
    <t>https://storage.googleapis.com/deytha-prod/supplierBills/PIgYJOBMxgzdr1KIWm4mNjucTkbGy1ooasIActMI.pdf</t>
  </si>
  <si>
    <t>2025-10-24 07:39:22</t>
  </si>
  <si>
    <t>2025-10-24 10:03:08</t>
  </si>
  <si>
    <t>2025-10-25 07:39:19</t>
  </si>
  <si>
    <t xml:space="preserve">Alimentación semana 24 del 12/10/2025 al 18/10/2025 </t>
  </si>
  <si>
    <t>2025-10-27 19:25:00</t>
  </si>
  <si>
    <t>https://storage.googleapis.com/deytha-prod/payments/4kATkWV25alaEyAbhueTVdJbmi1ZyhokA3A08IJp.pdf</t>
  </si>
  <si>
    <t>https://storage.googleapis.com/deytha-prod/paymentBills/fRpeJPHjix8RL5CdRUNiLMqbZpwFNlSANFTabJzW.png</t>
  </si>
  <si>
    <t>https://storage.googleapis.com/deytha-prod/supplierBills/TvLW8bu64QSOYEecHsHBFrY0CUihnqtt6DZ7df9Z.png</t>
  </si>
  <si>
    <t>2025-10-24 09:19:01</t>
  </si>
  <si>
    <t>2025-10-24 09:23:19</t>
  </si>
  <si>
    <t>2025-10-24 10:18:54</t>
  </si>
  <si>
    <t>PAGO DE EMO PARA ELFEREZ ALEXIS VERA DIAZ AMESQUITA YANA LIZBETH YAJAIRA, HUANCCO ESCOBAR RONALD JOSE, HUAMANI SUAÑA ELIANA.</t>
  </si>
  <si>
    <t>2025-10-24 10:15:00</t>
  </si>
  <si>
    <t>https://storage.googleapis.com/deytha-prod/payments/YIDXethFpFBTND5tjLBWO1jEB4W7Nt6nmQ2wDq1i.pdf</t>
  </si>
  <si>
    <t>https://storage.googleapis.com/deytha-prod/paymentBills/qjSo9ObrhGQnIB680Onz8ih7Mx5tIXPWO4NcFReq.png</t>
  </si>
  <si>
    <t>https://storage.googleapis.com/deytha-prod/supplierBills/C2WVgruHslz6w5xzL73sG5QmHuzu0Ywi1hyOWt2r.pdf</t>
  </si>
  <si>
    <t>2025-10-23 23:12:06</t>
  </si>
  <si>
    <t>2025-09-02 23:12:06</t>
  </si>
  <si>
    <t>LAVADO DE ROPA DEL PERSONAL Q TUBO EVENTO EN OBRA AUTORIZO ING WILMER</t>
  </si>
  <si>
    <t>2025-10-24 12:28:43</t>
  </si>
  <si>
    <t>https://storage.googleapis.com/deytha-prod/payments/Of7Z3N1Z9o0NcJBuPYT7Ex1xkVRQKduKcDC9q2gY.pdf</t>
  </si>
  <si>
    <t>https://storage.googleapis.com/deytha-prod/payments/omaasSaXhx2yWuJbKbSANYeunEFXSpxapRyMDhXe.pdf</t>
  </si>
  <si>
    <t>2025-10-23 14:44:25</t>
  </si>
  <si>
    <t>2025-10-23 22:39:11</t>
  </si>
  <si>
    <t>2025-10-23 15:44:17</t>
  </si>
  <si>
    <t>SALUS LABORIS S.A.C.</t>
  </si>
  <si>
    <t>193-1706254-0-88</t>
  </si>
  <si>
    <t>PAGO POR EMO DE ORTIZ CALLA WALTER ELIAS</t>
  </si>
  <si>
    <t>2025-10-24 10:09:00</t>
  </si>
  <si>
    <t>https://storage.googleapis.com/deytha-prod/payments/d1iOEsbC8nD0Ez6JKjvFJ8NoqUQOFMuIEoBFfC8e.pdf</t>
  </si>
  <si>
    <t>https://storage.googleapis.com/deytha-prod/paymentBills/vNIB7dlhBFMUC7RtSzLTeJrzQyg2UxlZDBxlVbRh.png</t>
  </si>
  <si>
    <t>https://storage.googleapis.com/deytha-prod/supplierBills/x614IjX5Ih73Q4zJkUQFdiww7lXqSIm3f7GTez1n.pdf</t>
  </si>
  <si>
    <t>2025-10-21 13:23:54</t>
  </si>
  <si>
    <t>2025-10-21 19:25:13</t>
  </si>
  <si>
    <t>2025-10-22 13:21:26</t>
  </si>
  <si>
    <t>RODILLO BERMERO STORIKE DE 1.5 TONELADAS
MAQUINA SECA SIN OPERAR
ALQUILER POR 06 DIAS</t>
  </si>
  <si>
    <t>2025-10-23 16:59:00</t>
  </si>
  <si>
    <t>https://storage.googleapis.com/deytha-prod/payments/wj39Y91NOy3gZxJOvLdhiHQ9jQ65SdyZcaQ3vtm7.pdf</t>
  </si>
  <si>
    <t>https://storage.googleapis.com/deytha-prod/paymentBills/NfLkJcVR1NnKYZBW20sJWCyP4BO7gDZqyPrjd9kR.png</t>
  </si>
  <si>
    <t>https://storage.googleapis.com/deytha-prod/supplierBills/DqV98EqAhf5lQCQc2g63Wi20atwULfxz97ztlehI.pdf</t>
  </si>
  <si>
    <t>2025-10-21 16:48:34</t>
  </si>
  <si>
    <t>2025-10-21 18:18:57</t>
  </si>
  <si>
    <t>2025-10-22 16:48:29</t>
  </si>
  <si>
    <t xml:space="preserve">REQ AREA RECLUTAMIENTO
# 002 </t>
  </si>
  <si>
    <t>2025-10-21 18:53:00</t>
  </si>
  <si>
    <t>https://storage.googleapis.com/deytha-prod/payments/rvPj0zodPM8QPb99wM8wxhmeAdl9gl2g8RyvECeY.pdf</t>
  </si>
  <si>
    <t>https://storage.googleapis.com/deytha-prod/paymentBills/mX8UMd8LkbAt0CISB74ll9GyOKAXNfVB8Y8hNtnp.png</t>
  </si>
  <si>
    <t>https://storage.googleapis.com/deytha-prod/supplierBills/y6wLLbOCeI9CwGJdliR8VQf4PKqOqZRPPylpnroH.pdf</t>
  </si>
  <si>
    <t>2025-10-21 17:10:55</t>
  </si>
  <si>
    <t>2025-10-22 17:10:51</t>
  </si>
  <si>
    <t xml:space="preserve">RECOJO D ENCOMIENDAS DE LIMA HACIA MOQUEGUA 
BANDEJAS ELECTRICAS 
MAT TELECOMUNICACIONES 
TUBOS RGS ELECTRICOS </t>
  </si>
  <si>
    <t>2025-10-23 16:39:00</t>
  </si>
  <si>
    <t>https://storage.googleapis.com/deytha-prod/payments/azXMaWwAYg8Di182FQ0kDb2189Saa4S0X3GQaFb8.pdf</t>
  </si>
  <si>
    <t>https://storage.googleapis.com/deytha-prod/paymentBills/YyPdxiqsWHACXbynA20UVt8L2jGp1C9g0dDAeNBy.png</t>
  </si>
  <si>
    <t>https://storage.googleapis.com/deytha-prod/supplierBills/XgK6X30fqHVPjWKo87oBVEOJZyUqPYxhxiXoocaN.pdf</t>
  </si>
  <si>
    <t>2025-10-21 16:43:19</t>
  </si>
  <si>
    <t>2025-10-21 18:01:16</t>
  </si>
  <si>
    <t>2025-10-22 16:43:06</t>
  </si>
  <si>
    <t>PIZARRA ACRILICA 240 X 120 CM
PARA TROQUELADOS EN AREA SSOMA</t>
  </si>
  <si>
    <t>2025-10-23 16:45:00</t>
  </si>
  <si>
    <t>https://storage.googleapis.com/deytha-prod/payments/N5P00kel53Uftjgm0ZX9eQc3Q0FfsTyjwvkdsneI.pdf</t>
  </si>
  <si>
    <t>https://storage.googleapis.com/deytha-prod/paymentBills/MDltHSxBIYvrpUnkTTAceqPaptBCjQzyAHfHZAoc.png</t>
  </si>
  <si>
    <t>https://storage.googleapis.com/deytha-prod/supplierBills/ZczmUM9avaiYVoVhlq4o8XOrqZDxDLSgZxqADkJ8.pdf</t>
  </si>
  <si>
    <t>2025-10-21 17:59:51</t>
  </si>
  <si>
    <t>2025-10-22 17:59:48</t>
  </si>
  <si>
    <t>SERVICIO DE ARENADO DE ESTRUCTURAS Y
SOPORTERIA TUBERIAS, PLANCHAS Y PRIMERA MANO
DE PINTURA</t>
  </si>
  <si>
    <t>2025-10-22 09:33:00</t>
  </si>
  <si>
    <t>https://storage.googleapis.com/deytha-prod/payments/9y72Yo62ioPUyotRkpfhsqiHKmdBmT1ZsGU9OA5n.pdf</t>
  </si>
  <si>
    <t>https://storage.googleapis.com/deytha-prod/paymentBills/sKY5ehSNtNw31b2FFjLjQwbg3jFNzhp62AQvFREG.png</t>
  </si>
  <si>
    <t>https://storage.googleapis.com/deytha-prod/supplierBills/bKPsriHnqtnBuddYBCnzlO81bBYFjGneqq5501y3.pdf</t>
  </si>
  <si>
    <t>2025-10-21 17:44:59</t>
  </si>
  <si>
    <t>2025-10-21 14:43:58</t>
  </si>
  <si>
    <t>2025-10-27 14:43:31</t>
  </si>
  <si>
    <t xml:space="preserve">TUBO RGS DE 3/4 X 3MTS 
REQ # 29 - ELECTRICO
PAGO A CREDITO * 7 DIAS </t>
  </si>
  <si>
    <t>https://storage.googleapis.com/deytha-prod/payments/2x1YqPN7yWMdDtLYHCKEdwEPFte1Hnst8loCsD3G.pdf</t>
  </si>
  <si>
    <t>https://storage.googleapis.com/deytha-prod/paymentBills/dcHo7TMIS6BHSqgowOGL87fTX9E7WxlVbTJOUsIu.png</t>
  </si>
  <si>
    <t>https://storage.googleapis.com/deytha-prod/supplierBills/v5DEHuaW8gQoDGQw9WhdlbC1mwkBWoel4fFynfup.pdf</t>
  </si>
  <si>
    <t>2025-10-21 14:52:13</t>
  </si>
  <si>
    <t>2025-10-22 14:51:50</t>
  </si>
  <si>
    <t>COT - EPPS Y MATERIALES VARIOS 
REQ # ADM 06 
REQ # 14 / 17 MECANICO</t>
  </si>
  <si>
    <t>2025-11-07 13:05:00</t>
  </si>
  <si>
    <t>https://storage.googleapis.com/deytha-prod/payments/nJsiY9CsCz2mypyhThWsftvbSauknS3z6AxupxSW.pdf</t>
  </si>
  <si>
    <t>https://storage.googleapis.com/deytha-prod/paymentBills/GWpktyBDcxSs1e5NM3tKX2HtUHObjGamqpDAZQCN.png</t>
  </si>
  <si>
    <t>https://storage.googleapis.com/deytha-prod/supplierBills/5IFmVJszlSQNgrJyemyFQmIVeAoUwr3kqt9zhUX2.pdf</t>
  </si>
  <si>
    <t>2025-10-21 16:33:04</t>
  </si>
  <si>
    <t>2025-10-22 16:32:30</t>
  </si>
  <si>
    <t>TRANSPORTES CARLOS KAYRO E.I.R.L.</t>
  </si>
  <si>
    <t xml:space="preserve">2152446419018 </t>
  </si>
  <si>
    <t>SERVICIO DE TRASLADO DE TUBERIAS PARA CERCO PERIMETRICO DESDE LA CUIDAD DE AREQUIPA HACIA MOQUEGUA 
Por el servicio de transporte de Arequipa hacia Moquegua,
traslado mercadería (camión de 10 tn, incluido IGV).</t>
  </si>
  <si>
    <t>2025-10-22 09:29:00</t>
  </si>
  <si>
    <t>https://storage.googleapis.com/deytha-prod/payments/rjPNTr5BoR841MIjvrRXfrYphI02JHdUNzGUEM5K.pdf</t>
  </si>
  <si>
    <t>https://storage.googleapis.com/deytha-prod/paymentBills/bpvBAIsvHWiwEfo4GDmERkvG9XuOqzMf09nlpAXe.png</t>
  </si>
  <si>
    <t>https://storage.googleapis.com/deytha-prod/supplierBills/RRGR5ec8GBNvZ4DbIYaMyPafZhaYsQTRam1oX4Jf.pdf</t>
  </si>
  <si>
    <t>2025-10-21 16:36:39</t>
  </si>
  <si>
    <t>2025-10-22 16:36:32</t>
  </si>
  <si>
    <t>SERVICIO DE ALQUILER DE VIBROAPISONADOR TIPO
CANGURO
OBSERVACIONES:
♦ Periodo: 14/09 al 11/10</t>
  </si>
  <si>
    <t>2025-10-23 16:52:00</t>
  </si>
  <si>
    <t>https://storage.googleapis.com/deytha-prod/payments/uDRYvXK52szZPkI23KSYWaCfHeg1GK3AWztzJP6G.pdf</t>
  </si>
  <si>
    <t>https://storage.googleapis.com/deytha-prod/paymentBills/iD9E60NJdoMw0LgsXq55mNTwbCqkouIgPfmVkLZs.png</t>
  </si>
  <si>
    <t>https://storage.googleapis.com/deytha-prod/supplierBills/YhnAhh5JMA6iS5WPmq55YvqUT5sMODK5hzQJPL4Z.pdf</t>
  </si>
  <si>
    <t>2025-10-21 15:41:42</t>
  </si>
  <si>
    <t>2025-10-21 16:54:48</t>
  </si>
  <si>
    <t>2025-10-21 16:41:38</t>
  </si>
  <si>
    <t>PAGO POR EMO DE SANCHEZ ASTO JOEL ANGEL</t>
  </si>
  <si>
    <t>2025-10-21 17:06:00</t>
  </si>
  <si>
    <t>https://storage.googleapis.com/deytha-prod/payments/AvL4pjFnHiogR4bH1Hi5THMIKm9PoX2qrwGyucvv.pdf</t>
  </si>
  <si>
    <t>https://storage.googleapis.com/deytha-prod/paymentBills/RRtwnQIhVWDsMl16QAJ8H4vCvGXBpbMaa55cihya.png</t>
  </si>
  <si>
    <t>https://storage.googleapis.com/deytha-prod/supplierBills/xzM2764qrTzM0GtRfvNEAKAU9imV0lAs1Oy49aeB.pdf</t>
  </si>
  <si>
    <t>2025-10-21 15:21:40</t>
  </si>
  <si>
    <t>2025-10-21 16:19:40</t>
  </si>
  <si>
    <t>2025-10-22 15:21:12</t>
  </si>
  <si>
    <t>TIERRA DE CHACRA D2 (01/10/2025) 15M3</t>
  </si>
  <si>
    <t>https://storage.googleapis.com/deytha-prod/payments/Gme3CC0gwulI9TEk9Rvj7RgoNfIkGHlszvSBausS.pdf</t>
  </si>
  <si>
    <t>https://storage.googleapis.com/deytha-prod/paymentBills/2KfbMU6hC6SjZGSTuZuqIFi7k2E3oNIWMUFND8aj.pdf</t>
  </si>
  <si>
    <t>https://storage.googleapis.com/deytha-prod/supplierBills/Oxi6EY1Uz1UDnru7MBX63XS6SFAbMeZc6PZIhNBc.pdf</t>
  </si>
  <si>
    <t>2025-10-21 14:26:35</t>
  </si>
  <si>
    <t>2025-10-21 16:07:54</t>
  </si>
  <si>
    <t>2025-10-22 14:25:54</t>
  </si>
  <si>
    <t>STICKER PARA HOMOLGACION DE CAMIONETAS Y VAN 
FORMATOS REQ # 33 SSOMA</t>
  </si>
  <si>
    <t>2025-10-23 16:55:00</t>
  </si>
  <si>
    <t>https://storage.googleapis.com/deytha-prod/payments/jGiawfEBkzwNLRCi9L7UFIHg0OKgWSspjEYddA6B.pdf</t>
  </si>
  <si>
    <t>https://storage.googleapis.com/deytha-prod/paymentBills/SOFvlIjAIXSmyzRrbtoqaguVVt6YwvdNZS3600Y1.png</t>
  </si>
  <si>
    <t>https://storage.googleapis.com/deytha-prod/supplierBills/dtV4G2f59ASujPjyULjUP5m1fR6GvyCcFq4wx45X.pdf</t>
  </si>
  <si>
    <t>2025-10-21 14:55:45</t>
  </si>
  <si>
    <t>2025-10-22 14:55:05</t>
  </si>
  <si>
    <t xml:space="preserve">CAJA CHICA # 13 </t>
  </si>
  <si>
    <t>2025-11-19 14:46:00</t>
  </si>
  <si>
    <t>https://storage.googleapis.com/deytha-prod/rqf/payments/5808ecd2-e442-4822-8cf0-b9b5a3082041_34656.PNG</t>
  </si>
  <si>
    <t>2025-10-21 15:05:47</t>
  </si>
  <si>
    <t>2025-10-22 15:04:57</t>
  </si>
  <si>
    <t>MOVILIDAD PASAJE DE VIGILANCIA DE MOQUEGUA A CUAJONE Y DE CUAJONE A MOQUEGUA.</t>
  </si>
  <si>
    <t>2025-10-22 16:38:00</t>
  </si>
  <si>
    <t>https://storage.googleapis.com/deytha-prod/payments/ObZrQQ7USmnSW7rmKAJqGFqAvBmLQHOdGBH0wZAJ.xlsx</t>
  </si>
  <si>
    <t>https://storage.googleapis.com/deytha-prod/paymentBills/hVl2q9rOGYwJTCt7Ih5r4QWOOBeGZQQYSWVEuLvI.png</t>
  </si>
  <si>
    <t>https://storage.googleapis.com/deytha-prod/rqf/34661/0e501ecc-f5e6-4bac-a9ff-13c05be35bdd_general.pdf</t>
  </si>
  <si>
    <t>2025-10-21 15:03:53</t>
  </si>
  <si>
    <t>LO</t>
  </si>
  <si>
    <t>Allysson Arribasplata Chico</t>
  </si>
  <si>
    <t>AYALA IZQUIERDO JONATHAN</t>
  </si>
  <si>
    <t>2025-10-21 15:58:46</t>
  </si>
  <si>
    <t>2025-10-21 16:03:49</t>
  </si>
  <si>
    <t>CSL SERVICE TEAM SOCIEDAD ANONIMA CERRADA</t>
  </si>
  <si>
    <t>ARRIBASPLATA CHICO ALLYSSON DYANNE</t>
  </si>
  <si>
    <t>MANTENIMIENTO DE ESTACIÓN TOTAL LEICA</t>
  </si>
  <si>
    <t>2025-10-30 17:01:00</t>
  </si>
  <si>
    <t>https://storage.googleapis.com/deytha-prod/payments/4Feo8l9Es6p4HkDj87A2YtPSSvEXWRlOOq6A7wYg.pdf</t>
  </si>
  <si>
    <t>https://storage.googleapis.com/deytha-prod/paymentBills/ZezHLS68U4Mo3dg7B5mFST9L8WbnfmeLeA3QJzSY.png</t>
  </si>
  <si>
    <t>https://storage.googleapis.com/deytha-prod/rqf/34660/0a8593a5-99fc-4706-8156-10eebe50b43a_PDF-DOC-E001-42220613138448.pdf</t>
  </si>
  <si>
    <t>2025-10-20 15:58:17</t>
  </si>
  <si>
    <t>2025-10-20 16:48:17</t>
  </si>
  <si>
    <t>2025-10-20 16:58:11</t>
  </si>
  <si>
    <t>PAGO POR EMO DE CABEZAS QUISPE CESAR LUIS</t>
  </si>
  <si>
    <t>2025-10-20 18:13:00</t>
  </si>
  <si>
    <t>https://storage.googleapis.com/deytha-prod/payments/XAzWA083WYmC5uGEer5DIFsKmdWfAzwwb3Cn4wqb.png</t>
  </si>
  <si>
    <t>https://storage.googleapis.com/deytha-prod/paymentBills/pOgjrH3WOMJYtHOMwfBsPU5P0xivJrhkPg5mPmU6.png</t>
  </si>
  <si>
    <t>https://storage.googleapis.com/deytha-prod/supplierBills/T5JQ8GbHVLYO7sigKir6m6U85mbZ1JzhFgYGvWiu.pdf</t>
  </si>
  <si>
    <t>2025-10-20 10:06:53</t>
  </si>
  <si>
    <t>2025-10-03 10:06:53</t>
  </si>
  <si>
    <t>SETIEMBRE-2025-IR 5TA-DEYFOR-PY28-RG</t>
  </si>
  <si>
    <t>2026-02-23 12:40:06</t>
  </si>
  <si>
    <t>2025-10-20 09:46:43</t>
  </si>
  <si>
    <t>2025-10-03 09:46:43</t>
  </si>
  <si>
    <t>SETIEMBRE-2025-ONP-DEYFOR-PY28-RG</t>
  </si>
  <si>
    <t>2026-02-23 12:43:47</t>
  </si>
  <si>
    <t>2025-10-20 09:30:01</t>
  </si>
  <si>
    <t>2025-10-03 09:30:01</t>
  </si>
  <si>
    <t>SETIEMBRE-2025-AFP-DEYFOR-PY28-RG</t>
  </si>
  <si>
    <t>2026-02-23 12:37:44</t>
  </si>
  <si>
    <t>2025-10-20 09:02:42</t>
  </si>
  <si>
    <t>2025-10-03 09:02:42</t>
  </si>
  <si>
    <t>SETIEMBRE-2025-ESSALUD-DEYFOR-PY28-RG</t>
  </si>
  <si>
    <t>2026-02-23 12:30:50</t>
  </si>
  <si>
    <t>2025-10-17 18:55:50</t>
  </si>
  <si>
    <t>2025-10-03 18:55:50</t>
  </si>
  <si>
    <t>SETIEMBRE-2025-REM NETAS-DEYFOR-PY28-RG</t>
  </si>
  <si>
    <t>2026-02-23 12:28:23</t>
  </si>
  <si>
    <t>2025-10-15 14:03:23</t>
  </si>
  <si>
    <t>2025-10-17 11:28:14</t>
  </si>
  <si>
    <t>2025-10-16 14:02:53</t>
  </si>
  <si>
    <t>Alquiler mes de septiembre del 01/09/2025 al 30/09/2025, comprobante con recibo por honorarios</t>
  </si>
  <si>
    <t>2025-10-24 17:34:00</t>
  </si>
  <si>
    <t>https://storage.googleapis.com/deytha-prod/payments/ZKMNQGcPdiVrXKb93bCzLIFi2bC8DrSIshfv1cXM.pdf</t>
  </si>
  <si>
    <t>https://storage.googleapis.com/deytha-prod/paymentBills/h0bBwiDybFAVYIKUmeYK4aLJdJXX18A4g010icJf.pdf</t>
  </si>
  <si>
    <t>2025-10-02 13:30:25</t>
  </si>
  <si>
    <t>2025-10-17 11:27:24</t>
  </si>
  <si>
    <t>2025-10-03 13:29:52</t>
  </si>
  <si>
    <t>ESTACION TOTAL MARCA LEYCA TS06-3 R500 PLUS - N- S 1355960 - NIVEL AUTOMATICO MARCA LEYCA NA 332 - N-S 720334457400</t>
  </si>
  <si>
    <t>2026-01-06 16:10:00</t>
  </si>
  <si>
    <t>https://storage.googleapis.com/deytha-prod/payments/k3zjdzRXfzMUvdAaa4PSCPJZARk2EF9ajCAxIghd.pdf</t>
  </si>
  <si>
    <t>https://storage.googleapis.com/deytha-prod/rqf/payments/88cc9f0c-83d4-4ce0-bbfd-94c7bd52e10f_Interbank_2025-01-06 410PM_32713.pdf</t>
  </si>
  <si>
    <t>https://storage.googleapis.com/deytha-prod/supplierBills/uInL8sn6PuJAykQPU2gRpvee0g1aw8peKUu3E3Ef.pdf</t>
  </si>
  <si>
    <t>2025-09-02 16:09:36</t>
  </si>
  <si>
    <t>2025-10-17 11:23:56</t>
  </si>
  <si>
    <t>2025-09-03 11:08:52</t>
  </si>
  <si>
    <t>ALQUIELER DE MINIVAN TOYOTA HIACE DE PLACA Z7A598 CORRESPONDIENTE AL PERIODO JULIO 2025</t>
  </si>
  <si>
    <t>2025-10-31 12:21:00</t>
  </si>
  <si>
    <t>https://storage.googleapis.com/deytha-prod/payments/PyTgj6QZnTi5nJwaqReQxo3eYaJAnJynhKRlq90r.pdf</t>
  </si>
  <si>
    <t>https://storage.googleapis.com/deytha-prod/paymentBills/shfbqivFnm0SVtUbGTjpsUXR7h8CYvDIofyYrMvj.png</t>
  </si>
  <si>
    <t>https://storage.googleapis.com/deytha-prod/supplierBills/B5ZHPGvmhL60EoyJqw8LUfALF5NljVU1MzG1btQM.pdf</t>
  </si>
  <si>
    <t>2025-09-02 16:10:55</t>
  </si>
  <si>
    <t>2025-09-03 11:10:37</t>
  </si>
  <si>
    <t>ALQUILER DE MINIVAN TOYOTA HIACE PLACA Z5S236 PERIODO JULIO 2025</t>
  </si>
  <si>
    <t>2025-10-31 12:18:00</t>
  </si>
  <si>
    <t>https://storage.googleapis.com/deytha-prod/payments/7ks2u21FQM82U3NGtyt144Wbexu93qhXYdxRndsA.pdf</t>
  </si>
  <si>
    <t>https://storage.googleapis.com/deytha-prod/paymentBills/brkFDuGl6keB6K8TPG10cOl5eL2PATY024K2IDVg.png</t>
  </si>
  <si>
    <t>https://storage.googleapis.com/deytha-prod/rqf/29347/b341bb2f-8ad1-4788-b243-5e2f02655568_001-1376 Z5S236 JULIO 2025[1].pdf</t>
  </si>
  <si>
    <t>2025-10-09 10:25:32</t>
  </si>
  <si>
    <t>2025-10-30 10:25:31</t>
  </si>
  <si>
    <t>ALQUILER DE CAMIONETA TOYOTA HILUX DE PLACA Z7T860 CORRESPONDIENTE AL PERIODO SEPTIEMBRE 2025</t>
  </si>
  <si>
    <t>2026-01-15 18:37:00</t>
  </si>
  <si>
    <t>https://storage.googleapis.com/deytha-prod/payments/Xbpto5MBNGlpMgOsnS5S195rtZKLxP0z03x8GmyS.pdf</t>
  </si>
  <si>
    <t>https://storage.googleapis.com/deytha-prod/bcp_pdfs/shared/1768520252_BCP_HTML.pdf</t>
  </si>
  <si>
    <t>https://storage.googleapis.com/deytha-prod/supplierBills/Jk91QJraHwA57vg0GEMSRpltLWRt9FILWKfbjjIm.pdf</t>
  </si>
  <si>
    <t>2025-10-09 10:27:03</t>
  </si>
  <si>
    <t>2025-10-30 10:26:52</t>
  </si>
  <si>
    <t>ALQUILER DE MINIVAN TOYOTA HIACE DE PLACA Z7A598 CORRESPONDIENTE AL PERIODO SEPTIEMBRE</t>
  </si>
  <si>
    <t>2026-02-27 15:38:00</t>
  </si>
  <si>
    <t>https://storage.googleapis.com/deytha-prod/payments/1PlPFG4NianCx9ri1THFku7E3dtHHfcxUsn51Hvj.pdf</t>
  </si>
  <si>
    <t>https://storage.googleapis.com/deytha-prod/bcp_pdfs/shared/1772224770_BCP_HTML.pdf</t>
  </si>
  <si>
    <t>https://storage.googleapis.com/deytha-prod/supplierBills/QTe05vYmae1O3z0EmAKDzSo33rSD9gZphhnJaqbd.pdf</t>
  </si>
  <si>
    <t>2025-09-09 20:31:23</t>
  </si>
  <si>
    <t>2025-10-17 10:40:44</t>
  </si>
  <si>
    <t>2025-09-10 15:31:18</t>
  </si>
  <si>
    <t>SERVICIO DE ALQUILER DE CAMION BARANDA PLACA:Z7F-746 POR 31 DIAS TRABAJADOS MES DE AGOSTO</t>
  </si>
  <si>
    <t>2025-10-23 18:59:00</t>
  </si>
  <si>
    <t>https://storage.googleapis.com/deytha-prod/payments/EAVs4nc3Zsoy3nEgAhLOd52PRSEsvwf6hgjI2Qw1.pdf</t>
  </si>
  <si>
    <t>https://storage.googleapis.com/deytha-prod/paymentBills/mJ3BO9nreOWnFn7LFjCUwNz3ifJOkAvMbeYZdTRO.png</t>
  </si>
  <si>
    <t>https://storage.googleapis.com/deytha-prod/supplierBills/rLPRyY8Qta7sngXvPuGWA5ezRVYAEskXNxAdbrT6.pdf</t>
  </si>
  <si>
    <t>2025-10-16 14:02:41</t>
  </si>
  <si>
    <t>2025-10-23 14:02:32</t>
  </si>
  <si>
    <t>2025-10-31 19:34:00</t>
  </si>
  <si>
    <t>https://storage.googleapis.com/deytha-prod/payments/Or99nsDPDAYlhlBkSVn4GyCMURhAulF7yPiDQ9H9.pdf</t>
  </si>
  <si>
    <t>https://storage.googleapis.com/deytha-prod/paymentBills/fuVY2UpR7sZaqbXI4UDg0zrXyr9H9BimtbiNA4fi.png</t>
  </si>
  <si>
    <t>https://storage.googleapis.com/deytha-prod/supplierBills/T3mN1zRH3nHDN9nu5ZYYYZ4sff3ve9D3wz340oVq.pdf</t>
  </si>
  <si>
    <t>2025-10-02 14:25:11</t>
  </si>
  <si>
    <t>2025-10-17 10:29:10</t>
  </si>
  <si>
    <t>2025-10-08 14:25:04</t>
  </si>
  <si>
    <t>SERV. ALQ. BAÑO EJECUTIVO C/LAVAMANOS - SERV. ALQ. LAVAMANOS MULTIPLE SUPERTWIN D2 (09/10/2025 - 08/11/2025)</t>
  </si>
  <si>
    <t>2025-10-23 18:42:00</t>
  </si>
  <si>
    <t>https://storage.googleapis.com/deytha-prod/payments/bnwml5tN1yVHfqumcs0SOxv74pcxv3inCw1WB5H0.pdf</t>
  </si>
  <si>
    <t>https://storage.googleapis.com/deytha-prod/paymentBills/EjkDNuxdRkZKf4rh9AQpEH8Pm8vAtGywgiJnfypI.png</t>
  </si>
  <si>
    <t>https://storage.googleapis.com/deytha-prod/supplierBills/gCGoGcpZUPek5PDxN3DUDcH8PWZ6hzeywc1GtcnT.pdf</t>
  </si>
  <si>
    <t>2025-10-14 11:08:28</t>
  </si>
  <si>
    <t>2025-10-23 11:08:21</t>
  </si>
  <si>
    <t>2025-10-23 18:39:00</t>
  </si>
  <si>
    <t>https://storage.googleapis.com/deytha-prod/payments/7YDY3rRqaMjthZ5xYVEoLKWzjzEqraVlU9m4QUME.pdf</t>
  </si>
  <si>
    <t>https://storage.googleapis.com/deytha-prod/paymentBills/k129CNpxIzE91drJutAh5dpnYxSbATVIlJkWtN0s.png</t>
  </si>
  <si>
    <t>https://storage.googleapis.com/deytha-prod/supplierBills/TobSR1uIOisYPw65qGAg9Qh2eSBCF5Hr3trozlIB.pdf</t>
  </si>
  <si>
    <t>2025-10-15 11:47:02</t>
  </si>
  <si>
    <t>2025-10-17 10:21:36</t>
  </si>
  <si>
    <t>2025-10-16 11:46:39</t>
  </si>
  <si>
    <t>MATERIALES ELECTRICOS 
REQ # 29 - ELECTRICO</t>
  </si>
  <si>
    <t>2025-10-20 16:48:00</t>
  </si>
  <si>
    <t>https://storage.googleapis.com/deytha-prod/payments/jnhCJO36lRiqfX6OHSbFYtLNS0UCWTYJQu4FWXu4.pdf</t>
  </si>
  <si>
    <t>https://storage.googleapis.com/deytha-prod/paymentBills/ESAdXWmhqJLZBfhgKUWVbv4u0DCopv06MkLQ9fxR.png</t>
  </si>
  <si>
    <t>https://storage.googleapis.com/deytha-prod/supplierBills/ngJLosXvi8LS0JvHE91vSkZYIY0mKJ3xu5D0rDby.pdf</t>
  </si>
  <si>
    <t>2025-10-15 14:54:22</t>
  </si>
  <si>
    <t>2025-10-16 14:52:40</t>
  </si>
  <si>
    <t>PERNOS 
VARIILA DE ESPARRAGO 
CODOS</t>
  </si>
  <si>
    <t>2025-10-20 12:58:00</t>
  </si>
  <si>
    <t>https://storage.googleapis.com/deytha-prod/payments/jOKktlX9F6e8OXYaadXsOwP0GP63WR0zVsSSP0NG.pdf</t>
  </si>
  <si>
    <t>https://storage.googleapis.com/deytha-prod/paymentBills/sM4hwqk3m2gTqtGeGFwJqySTjBxlcNdmkWQDf1Da.png</t>
  </si>
  <si>
    <t>https://storage.googleapis.com/deytha-prod/supplierBills/1DQHJAhKt84jKy0DZrFeEqeRjwJ0nuRmNczc52Ft.pdf</t>
  </si>
  <si>
    <t>2025-10-16 15:36:38</t>
  </si>
  <si>
    <t>2025-10-16 17:30:17</t>
  </si>
  <si>
    <t>2025-10-17 15:36:35</t>
  </si>
  <si>
    <t>COMPRA Sikagrout 212 x 30 kg
RQ-39 CIVIL</t>
  </si>
  <si>
    <t>2025-10-20 12:21:00</t>
  </si>
  <si>
    <t>https://storage.googleapis.com/deytha-prod/payments/haMfCVBomDC7bm5er5QvJ6686P5fPkG8n4xGQ9zr.pdf</t>
  </si>
  <si>
    <t>https://storage.googleapis.com/deytha-prod/paymentBills/6N0cRSi5wmmNUofi6k08Y5kTLviViKsSagnWWraW.png</t>
  </si>
  <si>
    <t>https://storage.googleapis.com/deytha-prod/supplierBills/lGRC97dkwXbgiQqzFGMCaQFwreBbt1EIm3Md2P4K.pdf</t>
  </si>
  <si>
    <t>2025-10-14 11:17:47</t>
  </si>
  <si>
    <t>2025-10-15 10:17:59</t>
  </si>
  <si>
    <t>2025-10-30 11:17:46</t>
  </si>
  <si>
    <t>SERV. ALQ. BAÑO EJECUTIVO C/LAVAMANOS A3 (DAMA) 30/10/2025 - 30/11/2025</t>
  </si>
  <si>
    <t>2025-10-23 18:30:00</t>
  </si>
  <si>
    <t>https://storage.googleapis.com/deytha-prod/payments/gYexbyfO7PcjYDwaMxBIXMhguVktgLQgJpDXClmD.pdf</t>
  </si>
  <si>
    <t>https://storage.googleapis.com/deytha-prod/paymentBills/RY1UgqBYPokEmyF7OiUBw7oBXFwRzKQvRRWdYFUW.png</t>
  </si>
  <si>
    <t>https://storage.googleapis.com/deytha-prod/supplierBills/jyQhVBSxLqKgZGowE9LxfDUWjHEebySUcUVS9d5j.pdf</t>
  </si>
  <si>
    <t>2025-10-14 11:24:52</t>
  </si>
  <si>
    <t>2025-10-15 11:24:51</t>
  </si>
  <si>
    <t xml:space="preserve">SERV. ALQ. BAÑO EJECUTIVO C/LAVAMANOS - (SUB-ESTACION)  12/10/2025 - 11/11/2025
</t>
  </si>
  <si>
    <t>2025-10-23 18:34:00</t>
  </si>
  <si>
    <t>https://storage.googleapis.com/deytha-prod/payments/XBzweOQxTp9aOjdg16bNFelTMh0yumLvfItDCRnR.pdf</t>
  </si>
  <si>
    <t>https://storage.googleapis.com/deytha-prod/paymentBills/tPXkR9QEStNd5yu9TOb4erILFcHAgDWENBNOavp7.png</t>
  </si>
  <si>
    <t>https://storage.googleapis.com/deytha-prod/supplierBills/ZaKhwzRn2u4LIIF9uEHk13WXq8AC57TG2PSjtTaB.pdf</t>
  </si>
  <si>
    <t>2025-10-14 16:23:15</t>
  </si>
  <si>
    <t>2025-10-15 16:23:06</t>
  </si>
  <si>
    <t>ABANTO GUILLEN JOSE MARLON</t>
  </si>
  <si>
    <t>VUELO PASAJE SSOMA PY028 DIEGO CALDERON DE LIMA A TACNA</t>
  </si>
  <si>
    <t>2026-01-06 17:06:00</t>
  </si>
  <si>
    <t>https://storage.googleapis.com/deytha-prod/bcp_pdfs/shared/1767737248_BCP_HTML.pdf</t>
  </si>
  <si>
    <t>https://storage.googleapis.com/deytha-prod/supplierBills/CWJHB1QVwCsg6o2xta6NTj5IY5oUsVfMunUYXkUX.pdf</t>
  </si>
  <si>
    <t>2025-10-14 11:16:46</t>
  </si>
  <si>
    <t>2025-10-15 08:02:20</t>
  </si>
  <si>
    <t>2025-10-23 11:16:36</t>
  </si>
  <si>
    <t>SERV. ALQ. BAÑO EJECUTIVO C/LAVAMANOS D2 (DAMA) 23/11/2025 - 22/11/2025</t>
  </si>
  <si>
    <t>2025-10-23 18:24:00</t>
  </si>
  <si>
    <t>https://storage.googleapis.com/deytha-prod/payments/PsCgoP3gfZ5NaHuVFNscuxl7RT4m5vmf0FEwCJHp.pdf</t>
  </si>
  <si>
    <t>https://storage.googleapis.com/deytha-prod/paymentBills/wiQhVrJHj90QoGmWItANJ4JS2RckaHAXrmiiUa6j.png</t>
  </si>
  <si>
    <t>https://storage.googleapis.com/deytha-prod/supplierBills/wPPJurXV8ewDxpvOECkwSf01q1LcoHCZTbAXJl92.pdf</t>
  </si>
  <si>
    <t>2025-10-14 10:44:05</t>
  </si>
  <si>
    <t>2025-10-14 14:39:01</t>
  </si>
  <si>
    <t>2025-10-15 10:43:11</t>
  </si>
  <si>
    <t>alimentación semana 23 del 05/10/2025 al 11/10/2025</t>
  </si>
  <si>
    <t>2025-10-27 19:28:00</t>
  </si>
  <si>
    <t>https://storage.googleapis.com/deytha-prod/payments/83cGHkujEGXEyDzlRnTk4Ay5HvvmshSjpGRNWrmY.pdf</t>
  </si>
  <si>
    <t>https://storage.googleapis.com/deytha-prod/paymentBills/HWbdQAwngcVBN1kAtI6bA3foIrJIUcYTYOshIybb.png</t>
  </si>
  <si>
    <t>https://storage.googleapis.com/deytha-prod/supplierBills/2WkciwbmU6lOh2fbyweOWFkjWBFjLBXssU8wFc3b.png</t>
  </si>
  <si>
    <t>2025-10-14 12:08:10</t>
  </si>
  <si>
    <t>2025-10-14 14:02:00</t>
  </si>
  <si>
    <t>2025-10-15 12:07:56</t>
  </si>
  <si>
    <t xml:space="preserve">MATERIAL PARA CERCO PERIMETRICO Y ESTRUCTURAS 
REQ MECANICO 11 Y 13 </t>
  </si>
  <si>
    <t>2025-10-17 20:14:00</t>
  </si>
  <si>
    <t>https://storage.googleapis.com/deytha-prod/payments/qgGU1vOLzEly2aHk0sZa5GWf5YrhXlrMJ9UaLM40.jpg</t>
  </si>
  <si>
    <t>https://storage.googleapis.com/deytha-prod/paymentBills/7aw4dEgGUe82imvlk0IqhulmzMKbTazag25ZFZOR.png</t>
  </si>
  <si>
    <t>https://storage.googleapis.com/deytha-prod/supplierBills/9SFsJzlIu3MCD8i8EUhc4oBBN7sZEEIPkXgkuq8S.pdf</t>
  </si>
  <si>
    <t>2025-10-10 11:55:03</t>
  </si>
  <si>
    <t>2025-10-14 13:58:54</t>
  </si>
  <si>
    <t>2025-10-11 11:54:17</t>
  </si>
  <si>
    <t>MOLDES PARA BARRA Y TIPO X,T
RQ-27 ELECTRICO</t>
  </si>
  <si>
    <t>2025-10-17 20:30:00</t>
  </si>
  <si>
    <t>https://storage.googleapis.com/deytha-prod/payments/uoqKZ2bgU8wlYB77eNT3QBsBHoK6g84b4aMfrXos.pdf</t>
  </si>
  <si>
    <t>https://storage.googleapis.com/deytha-prod/paymentBills/Zs5ASNW7cBpWVM8eT6QCk8hcyWShTLTl6URIam83.png</t>
  </si>
  <si>
    <t>https://storage.googleapis.com/deytha-prod/supplierBills/b2vPKZhonFYrONx0B9ghB9rS10qFO5MTMoXQQZtZ.pdf</t>
  </si>
  <si>
    <t>2025-10-10 23:40:30</t>
  </si>
  <si>
    <t>2025-10-12 14:40:19</t>
  </si>
  <si>
    <t>TORGHEL 
DOSIS PACH 
CURVA 
REQ # 26 ELECTRICO</t>
  </si>
  <si>
    <t>2025-10-17 20:18:00</t>
  </si>
  <si>
    <t>https://storage.googleapis.com/deytha-prod/payments/AnIXgTD1pRNyk1UGFJVNsEF0i2Vvf6JwkhXNHOVX.pdf</t>
  </si>
  <si>
    <t>https://storage.googleapis.com/deytha-prod/paymentBills/xfCbu1KdNK5qNtAouDjh1I2hJPk83RkkL2rGBROn.png</t>
  </si>
  <si>
    <t>https://storage.googleapis.com/deytha-prod/supplierBills/3SelVu8ES63omKWFiMU3o8tpLZdsVYZ43y04wazC.pdf</t>
  </si>
  <si>
    <t>2025-10-13 13:52:32</t>
  </si>
  <si>
    <t>2025-10-14 13:52:23</t>
  </si>
  <si>
    <t>EPPS BOTIQUIN PENETRANTES Y CINTAS
RQ-33 SSOMA
RQ-23 ELECTRICO
RQ-11 CALIDAD</t>
  </si>
  <si>
    <t>https://storage.googleapis.com/deytha-prod/payments/8nnGnHI9aNmOvrwPRzVWBHJVrGBfso026fRou711.pdf</t>
  </si>
  <si>
    <t>https://storage.googleapis.com/deytha-prod/paymentBills/3QkhTmuZkMFZxkvjVM9E0NspNQaHIsAcey9kx6si.png</t>
  </si>
  <si>
    <t>https://storage.googleapis.com/deytha-prod/supplierBills/Ll16X1cY3HAl5MyKP5P7sYA3FT3jrL8FUtGMUHiN.pdf</t>
  </si>
  <si>
    <t>2025-10-14 10:19:13</t>
  </si>
  <si>
    <t>2025-10-15 10:12:50</t>
  </si>
  <si>
    <t>COMPRA DE PINTURA RENNER 
RQ-12 MECANICO</t>
  </si>
  <si>
    <t>2025-10-20 19:00:00</t>
  </si>
  <si>
    <t>https://storage.googleapis.com/deytha-prod/payments/00OjFW9ZtdzRubIE4K7PnIBssTt8eA7rQ15svMyc.pdf</t>
  </si>
  <si>
    <t>https://storage.googleapis.com/deytha-prod/paymentBills/wxFJu35lesEyuveY2A5lx2A5ybpe24ChJxOOgvFU.png</t>
  </si>
  <si>
    <t>https://storage.googleapis.com/deytha-prod/supplierBills/v4DtbSc1vT4np2RiyO1NsXIzj3lalBwKFSq52pvN.pdf</t>
  </si>
  <si>
    <t>2025-10-14 11:48:30</t>
  </si>
  <si>
    <t>2025-10-15 11:47:57</t>
  </si>
  <si>
    <t>Tubería Conduit Rígida Metal RGS c/rosca 3/4" x 3m 
REQ # 29 - ELECTRICO</t>
  </si>
  <si>
    <t>2025-10-14 15:33:00</t>
  </si>
  <si>
    <t>https://storage.googleapis.com/deytha-prod/payments/l8BdAUCuCsRdPN5yWppprNd6RgLMNuH3COpzbFVR.pdf</t>
  </si>
  <si>
    <t>https://storage.googleapis.com/deytha-prod/paymentBills/H6JREawtx1cBKo0tgxCFf2WcxpZJm8azgxbZAZvG.png</t>
  </si>
  <si>
    <t>https://storage.googleapis.com/deytha-prod/rqf/33884/ef5c62db-c823-499d-8edc-774068985c2a_37835 - F001-2571  - AUTOPROYECT.pdf</t>
  </si>
  <si>
    <t>2025-10-14 10:41:20</t>
  </si>
  <si>
    <t>2025-10-31 20:09:00</t>
  </si>
  <si>
    <t>https://storage.googleapis.com/deytha-prod/worker/settle/vDJDwmk9g2noegXNww84wgEli8dH41ZPYGAPFmIc.pdf</t>
  </si>
  <si>
    <t>https://storage.googleapis.com/deytha-prod/paymentBills/hEDmqxBF0Yj6z3Q5RdGgStlJePhyIjzloPfiyKu5.pdf</t>
  </si>
  <si>
    <t>2025-10-14 09:56:55</t>
  </si>
  <si>
    <t>2025-10-14 10:18:32</t>
  </si>
  <si>
    <t>2025-10-15 09:56:39</t>
  </si>
  <si>
    <t>CONTENEDOR PARA COMEDOR, INSTALACION 14/10/2025 A 13/11/2025, PARA BASE A3</t>
  </si>
  <si>
    <t>2025-10-24 18:40:00</t>
  </si>
  <si>
    <t>https://storage.googleapis.com/deytha-prod/payments/b7uMAHG7uzTrLrAMbFMSWkqMCQBrRnzeyjSC2wLI.pdf</t>
  </si>
  <si>
    <t>https://storage.googleapis.com/deytha-prod/paymentBills/3hIgpAEO6ikzv6VtgQzgSNJHWkuYiFCJyilsOmdi.pdf</t>
  </si>
  <si>
    <t>https://storage.googleapis.com/deytha-prod/rqf/33835/db07860b-2bcc-41dd-ace8-ef01056a837a_PDF-DOC-E001-195 - DEYFOR-FO-LO-30550.pdf</t>
  </si>
  <si>
    <t>2025-10-13 11:08:55</t>
  </si>
  <si>
    <t>2025-10-14 09:39:09</t>
  </si>
  <si>
    <t>2025-10-14 11:08:50</t>
  </si>
  <si>
    <t>SAL INDUSTRIAL
RQ-26 ELECTRICO</t>
  </si>
  <si>
    <t>2025-10-17 12:09:00</t>
  </si>
  <si>
    <t>https://storage.googleapis.com/deytha-prod/payments/1mGsvch4XxxTMj2f7KvWURhYzD8F5v3SYM6KcRZ4.pdf</t>
  </si>
  <si>
    <t>https://storage.googleapis.com/deytha-prod/paymentBills/Hop7a2wFVIUMpfQX7a0MlHeKDJyzpHFstLBEDXSZ.png</t>
  </si>
  <si>
    <t>https://storage.googleapis.com/deytha-prod/supplierBills/szWjqOuPDx1DbpLxwC8dHLbHardocvn1nJvKyTKG.pdf</t>
  </si>
  <si>
    <t>2025-10-13 13:57:32</t>
  </si>
  <si>
    <t>2025-10-14 13:56:58</t>
  </si>
  <si>
    <t xml:space="preserve">ESMERILES Y ENCHUFE 
RQ-18 ELECTRICO 
RQ-13 MECANICO </t>
  </si>
  <si>
    <t>2025-10-17 20:33:00</t>
  </si>
  <si>
    <t>https://storage.googleapis.com/deytha-prod/payments/rI9RZHrvwdqvpyuR9OA4OvIG6QBVJBhrkDFzsWli.pdf</t>
  </si>
  <si>
    <t>https://storage.googleapis.com/deytha-prod/paymentBills/1XKiEGdE43AKSJo1TNwtwChDplcrYev4QUpQMVEM.png</t>
  </si>
  <si>
    <t>https://storage.googleapis.com/deytha-prod/supplierBills/DlMr3oABsTUVD5iLqW54OAEsifvYOW9uc6hDi8by.pdf</t>
  </si>
  <si>
    <t>2025-10-14 09:12:24</t>
  </si>
  <si>
    <t>2025-10-15 09:12:15</t>
  </si>
  <si>
    <t xml:space="preserve">RECARGA DE AGUA X 20 LITROS </t>
  </si>
  <si>
    <t>2025-10-29 18:09:00</t>
  </si>
  <si>
    <t>https://storage.googleapis.com/deytha-prod/payments/gytQyPrloz6OENYJDgGdMJXKciPBOVxEjZs4nDXD.pdf</t>
  </si>
  <si>
    <t>https://storage.googleapis.com/deytha-prod/paymentBills/kNJ0S171xh5Otb3aHEA8HBwMLWuE2b5AFVG8L9sH.png</t>
  </si>
  <si>
    <t>https://storage.googleapis.com/deytha-prod/supplierBills/tEUP1cjA1GbFqZaLYwIkpQK4pzCLG7rxY5zTZ7wI.pdf</t>
  </si>
  <si>
    <t>2025-10-06 10:10:03</t>
  </si>
  <si>
    <t>2025-10-13 16:16:02</t>
  </si>
  <si>
    <t>2025-10-07 10:09:54</t>
  </si>
  <si>
    <t>Gastos de participación en la semana de seguridad del 21 de octubre</t>
  </si>
  <si>
    <t>2025-10-14 20:12:00</t>
  </si>
  <si>
    <t>https://storage.googleapis.com/deytha-prod/payments/PAyWkxGKAOELuBI0AKxvUn4ddRF60Rx5zduU8YYT.png</t>
  </si>
  <si>
    <t>https://storage.googleapis.com/deytha-prod/paymentBills/1SF1B0am2WWbsnLmj2Ml89H3SFerUPSCLvzXrL1t.png</t>
  </si>
  <si>
    <t>2025-10-13 08:38:21</t>
  </si>
  <si>
    <t>2025-10-13 15:44:20</t>
  </si>
  <si>
    <t>2025-10-13 08:38:12</t>
  </si>
  <si>
    <t>CLINICA SAN LORENZO SRL</t>
  </si>
  <si>
    <t xml:space="preserve">245-1810834-0-98 </t>
  </si>
  <si>
    <t>PAGO DE 3 EMOS</t>
  </si>
  <si>
    <t>2025-10-31 18:08:00</t>
  </si>
  <si>
    <t>https://storage.googleapis.com/deytha-prod/payments/j4hBGcAsOKaLDY0HPhosd19LD7hjVppvBfVFdBeR.pdf</t>
  </si>
  <si>
    <t>https://storage.googleapis.com/deytha-prod/paymentBills/QAVaUbs2wNbgA17VBZdNMQP4wQdxwc0AJru2vjgi.pdf</t>
  </si>
  <si>
    <t>https://storage.googleapis.com/deytha-prod/supplierBills/php5oCXHULKCfJZhS7OkeOoTvONy27rcEaAV4luh.pdf</t>
  </si>
  <si>
    <t>2025-10-13 10:35:19</t>
  </si>
  <si>
    <t>2025-10-13 11:08:36</t>
  </si>
  <si>
    <t>2025-10-14 10:35:12</t>
  </si>
  <si>
    <t xml:space="preserve">BROCAS CARBONES PARA ESMERIL Y MAS 
RQ-23 ELECTRICO
</t>
  </si>
  <si>
    <t>2025-10-23 16:31:00</t>
  </si>
  <si>
    <t>https://storage.googleapis.com/deytha-prod/payments/tmqthWjXDhRWGq2Us3BB9XzpjTxPYiCnYkohCUQB.pdf</t>
  </si>
  <si>
    <t>https://storage.googleapis.com/deytha-prod/paymentBills/2O5fOQgG0y2JFy9Kda8nwmXk2mTZ1hkRJr2rq8Ii.png</t>
  </si>
  <si>
    <t>https://storage.googleapis.com/deytha-prod/supplierBills/pTLEGfNoM19QUGEurpnKCHMHauw8ZF4oyZFZKtNV.pdf</t>
  </si>
  <si>
    <t>2025-10-11 09:24:36</t>
  </si>
  <si>
    <t>2025-09-11 09:24:36</t>
  </si>
  <si>
    <t>CENA PARA PERSONAL STAFF 11-09-25</t>
  </si>
  <si>
    <t>2025-10-24 12:28:39</t>
  </si>
  <si>
    <t>https://storage.googleapis.com/deytha-prod/payments/oCr9pDd0yGjckb6ZdtkPfgj6MTS32ujjhe4KuhJt.pdf</t>
  </si>
  <si>
    <t>https://storage.googleapis.com/deytha-prod/payments/kT32bDPLDSXfwg4enAyJf82Ny6qdQ08U3R0rNafx.pdf</t>
  </si>
  <si>
    <t>2025-10-10 12:33:24</t>
  </si>
  <si>
    <t>2025-10-10 17:11:11</t>
  </si>
  <si>
    <t>2025-10-11 12:33:08</t>
  </si>
  <si>
    <t>ALIMENTACION SEMANA 22 DEL 28/10 AL 04/10</t>
  </si>
  <si>
    <t>2025-10-13 16:10:00</t>
  </si>
  <si>
    <t>https://storage.googleapis.com/deytha-prod/payments/IrMBd3hTsNXhWo1gOzsfhX4NINBUmeoebTvot3sr.pdf</t>
  </si>
  <si>
    <t>https://storage.googleapis.com/deytha-prod/paymentBills/OTE8tcsaM0nrQVQtUJihd211OJNoo5PcEXH4iKdu.png</t>
  </si>
  <si>
    <t>https://storage.googleapis.com/deytha-prod/supplierBills/lKmUch94OmV8nXWa17FtmchQnHT6VLhdpKbbaZOS.png</t>
  </si>
  <si>
    <t>2025-10-09 16:42:52</t>
  </si>
  <si>
    <t>Sandra  Gormas  Rios</t>
  </si>
  <si>
    <t>2025-10-10 11:27:20</t>
  </si>
  <si>
    <t>2025-10-09 16:42:51</t>
  </si>
  <si>
    <t>LAVADO COMPLETO, ENGRASE, DIAGNOSTICO Y REPARACIÓN DE SISTEMA ELECTRICO DE LA UNIDAD T9F-962.</t>
  </si>
  <si>
    <t>2025-10-10 14:56:00</t>
  </si>
  <si>
    <t>https://storage.googleapis.com/deytha-prod/payments/6BlQiNqSciF7qBiisLMb7gQ7MtC84XB2X1OWgOm6.pdf</t>
  </si>
  <si>
    <t>https://storage.googleapis.com/deytha-prod/paymentBills/wwnNfpLZBk582ISJY8XZUNch5pyxvqzeZAUzNlPQ.png</t>
  </si>
  <si>
    <t>2025-10-04 19:40:49</t>
  </si>
  <si>
    <t>2025-10-10 08:19:40</t>
  </si>
  <si>
    <t>2025-10-06 10:40:17</t>
  </si>
  <si>
    <t xml:space="preserve">COMBUSTIBLE DE 15 AL 21 DE SETIEMBRE 
ABASTECIMIENTO DE UNIDADES </t>
  </si>
  <si>
    <t>2025-10-17 20:21:00</t>
  </si>
  <si>
    <t>https://storage.googleapis.com/deytha-prod/payments/1OErvbbOvTLxXptqYAxkyRROdtAwFCno8bELPgv1.pdf</t>
  </si>
  <si>
    <t>https://storage.googleapis.com/deytha-prod/paymentBills/Ivd03EEAvQIfljLR4COLaWAIitAYxnR1o6hhPmGL.png</t>
  </si>
  <si>
    <t>https://storage.googleapis.com/deytha-prod/supplierBills/kW3RMmTP55GTNZXSeVc0R0TabT6Lwsh92MFm7G5Y.pdf</t>
  </si>
  <si>
    <t>2025-10-07 16:56:14</t>
  </si>
  <si>
    <t>2025-10-08 16:56:03</t>
  </si>
  <si>
    <t>ROTHE POWER S.A.C.</t>
  </si>
  <si>
    <t>193-2651512-1-58</t>
  </si>
  <si>
    <t>ROSCADORA ELÉCTRICA COMPATIBLE
ROTHEPOWER P300
REQ # 10 MECANICO</t>
  </si>
  <si>
    <t>2025-10-31 17:33:00</t>
  </si>
  <si>
    <t>https://storage.googleapis.com/deytha-prod/payments/UEiLi56pEAdKzcPflNNUXWAGsC7eyDyTD4EDEw89.pdf</t>
  </si>
  <si>
    <t>https://storage.googleapis.com/deytha-prod/paymentBills/oM6eQBbpDLgkY8eqS4JcwCS8ownAbQnwi5a4Uhim.png</t>
  </si>
  <si>
    <t>https://storage.googleapis.com/deytha-prod/supplierBills/wnwmJycqYIzHITBMa8XBBGwYPdvrPATr0UtZUspy.pdf</t>
  </si>
  <si>
    <t>2025-10-08 09:22:35</t>
  </si>
  <si>
    <t>2025-10-09 09:22:30</t>
  </si>
  <si>
    <t>SERVICIOS RAGNARD &amp; TRANS. E.I.R.L.</t>
  </si>
  <si>
    <t>315-4663-391-0-76</t>
  </si>
  <si>
    <t>MEDIDOR DE RUGOROSIDAD
RQ-12 CALIDAD</t>
  </si>
  <si>
    <t>2025-10-10 18:24:00</t>
  </si>
  <si>
    <t>https://storage.googleapis.com/deytha-prod/payments/HHV89YwHqNxzZxMjd7mTSz4ZqAmlfGEbkkDrDRUu.pdf</t>
  </si>
  <si>
    <t>https://storage.googleapis.com/deytha-prod/paymentBills/dBkpPdm8nuc71qu6jG8Qbm1FBQRAgacZ0wWmJrWc.png</t>
  </si>
  <si>
    <t>https://storage.googleapis.com/deytha-prod/supplierBills/RwpjcTjZBZuhHYxshas7Uebcl11pqSLoOKRhJnrn.pdf</t>
  </si>
  <si>
    <t>2025-10-08 10:10:15</t>
  </si>
  <si>
    <t>2025-10-09 10:10:06</t>
  </si>
  <si>
    <t>COMBUSTIBLE 22 DE SETIEMBRE AL 30 DE SETIEMBRE 2025 ABASTECIMIENTO DE COMBUSTIBLE</t>
  </si>
  <si>
    <t>2025-10-24 10:24:00</t>
  </si>
  <si>
    <t>https://storage.googleapis.com/deytha-prod/payments/lS8ed0K7lUoSFVdKYnmmK7XwNDWjF7h8rcV9HBmr.pdf</t>
  </si>
  <si>
    <t>https://storage.googleapis.com/deytha-prod/paymentBills/6HXsYho3uCeBiC9wJh9v0GKgI1eNQMES6wT3mg36.png</t>
  </si>
  <si>
    <t>https://storage.googleapis.com/deytha-prod/supplierBills/VvltWOE0drWdhctQDxRmvWYVkXA7SyyIDb3QzoyY.pdf</t>
  </si>
  <si>
    <t>2025-10-09 12:55:39</t>
  </si>
  <si>
    <t>2025-10-10 12:55:35</t>
  </si>
  <si>
    <t>KIMZA PROVEEDORES PERU S.R.L.</t>
  </si>
  <si>
    <t>CABEL DESNUDO 
2/0
4/0 
REQ # 26 ELECTRICO</t>
  </si>
  <si>
    <t>2025-10-10 18:31:00</t>
  </si>
  <si>
    <t>https://storage.googleapis.com/deytha-prod/payments/WCfWPMGNakdYq4kszFXYJGbmMuvj8IVAJUnEU7KY.pdf</t>
  </si>
  <si>
    <t>https://storage.googleapis.com/deytha-prod/paymentBills/T1p5yrJMNAD6oKQOqdnT2Vlw6IDEJu9UmpiKaoLI.png</t>
  </si>
  <si>
    <t>https://storage.googleapis.com/deytha-prod/supplierBills/NCkpLz6Eow5WvvXy4RxyB72FL8W1KdGLhSX2nmhu.pdf</t>
  </si>
  <si>
    <t>2025-10-09 14:43:41</t>
  </si>
  <si>
    <t>2025-10-10 14:43:39</t>
  </si>
  <si>
    <t xml:space="preserve">FERRETERIA ELECTRICA 
REQ # 28 </t>
  </si>
  <si>
    <t>2025-10-17 20:24:00</t>
  </si>
  <si>
    <t>https://storage.googleapis.com/deytha-prod/payments/XpvncdT2QdKn36Tc2egXlr5UhfMuWpSutUfsSEqL.pdf</t>
  </si>
  <si>
    <t>https://storage.googleapis.com/deytha-prod/paymentBills/JjKYg5g9sgtctr0MRmmH4iOmozq7MYvgZYkMtJl8.png</t>
  </si>
  <si>
    <t>https://storage.googleapis.com/deytha-prod/supplierBills/KNEUuoPtHlu42ISfyzRYQUHnfoYXzY4uHskuWn2m.pdf</t>
  </si>
  <si>
    <t>2025-10-09 15:07:15</t>
  </si>
  <si>
    <t>2025-10-10 15:01:29</t>
  </si>
  <si>
    <t>CABLE DESNUDO 35MM 
CEMENTO CONDUCTIVO 
REQ # 26 / ELECTRICO</t>
  </si>
  <si>
    <t>2025-10-10 18:27:00</t>
  </si>
  <si>
    <t>https://storage.googleapis.com/deytha-prod/payments/iVyb78Myoru2tUS4qoV5AjnCWWmM27eeWOWLD2Z7.pdf</t>
  </si>
  <si>
    <t>https://storage.googleapis.com/deytha-prod/paymentBills/IG2xMON6l5royNRlaR4dwbyx4VBlezLRdYm8EiGr.png</t>
  </si>
  <si>
    <t>https://storage.googleapis.com/deytha-prod/supplierBills/6nARcXGqKW6p8Z1Cms38L9brGa9iEp54yUZBdHkz.pdf</t>
  </si>
  <si>
    <t>2025-10-09 08:54:47</t>
  </si>
  <si>
    <t>2025-10-09 11:05:42</t>
  </si>
  <si>
    <t>2025-10-10 08:54:41</t>
  </si>
  <si>
    <t>CAJA CHICA # 12</t>
  </si>
  <si>
    <t>2025-10-24 21:49:00</t>
  </si>
  <si>
    <t>https://storage.googleapis.com/deytha-prod/paymentBills/ooyoLefKj5XBPkZVsiTa1l4cNdInXaoHbtAR6f18.png</t>
  </si>
  <si>
    <t>2025-10-08 16:35:43</t>
  </si>
  <si>
    <t>2025-09-30 16:35:43</t>
  </si>
  <si>
    <t>TRANSPORTE LIMA MOQUEGUA </t>
  </si>
  <si>
    <t>2025-10-24 12:28:36</t>
  </si>
  <si>
    <t>https://storage.googleapis.com/deytha-prod/payments/W13WcCwZG1f3S2qnAdgyDQxp5xIjlg22E6ZOn6xB.pdf</t>
  </si>
  <si>
    <t>https://storage.googleapis.com/deytha-prod/payments/yYvKpEwMM8CcbuyQEjuVxJoIlqzyPugwstTSvb4I.pdf</t>
  </si>
  <si>
    <t>2025-10-08 16:35:37</t>
  </si>
  <si>
    <t>2025-09-29 16:35:37</t>
  </si>
  <si>
    <t>SERVICIO DE CORTE </t>
  </si>
  <si>
    <t>2025-10-24 12:27:27</t>
  </si>
  <si>
    <t>https://storage.googleapis.com/deytha-prod/payments/jXvzJtef5BDml1fcPnJ0lIIO6DrwiVBKWdeY8bWq.pdf</t>
  </si>
  <si>
    <t>https://storage.googleapis.com/deytha-prod/payments/AWJmfOmJT7xQRvZPr033P6a6AOHMaC5nXaSRdVHO.pdf</t>
  </si>
  <si>
    <t>2025-10-08 16:35:35</t>
  </si>
  <si>
    <t>2025-09-26 16:35:35</t>
  </si>
  <si>
    <t>ENCOMIENDA AREQUIPA MOQUEGUA</t>
  </si>
  <si>
    <t>2025-10-24 12:26:56</t>
  </si>
  <si>
    <t>https://storage.googleapis.com/deytha-prod/payments/gXTjRf9V8dSQhbZEEiU0s7TdHUMbSCt4wzOrosqB.pdf</t>
  </si>
  <si>
    <t>https://storage.googleapis.com/deytha-prod/payments/ZjSJqgm6nnoJoghwEurM0ftTgb2TzOos0V2zMJmp.pdf</t>
  </si>
  <si>
    <t>2025-10-08 16:35:32</t>
  </si>
  <si>
    <t>2025-10-24 16:35:32</t>
  </si>
  <si>
    <t>devolucion</t>
  </si>
  <si>
    <t>2025-10-24 17:36:26</t>
  </si>
  <si>
    <t>https://storage.googleapis.com/deytha-prod/payments/obIoBNZmR5rS5LkoHEzFM9AKgtI8cMqrgfH4iSCi.jpg</t>
  </si>
  <si>
    <t>https://storage.googleapis.com/deytha-prod/payments/nvPc8tPyzzMMbYwclnHXI55wibAaT0goRlZ4xsrs.jpg</t>
  </si>
  <si>
    <t>2025-10-08 16:35:30</t>
  </si>
  <si>
    <t>2025-09-23 16:35:30</t>
  </si>
  <si>
    <t>ENCOMIENDA MOQEGUA AREQUIPA</t>
  </si>
  <si>
    <t>2025-10-24 12:28:31</t>
  </si>
  <si>
    <t>https://storage.googleapis.com/deytha-prod/payments/TXG0ft5a7wzk8ALsuGS62b8QTs9bqZRh7CKlMzAF.pdf</t>
  </si>
  <si>
    <t>https://storage.googleapis.com/deytha-prod/payments/hxAZx2TQwoVp0pezsBrNqv05YwA6OEyLWV2t8ddk.pdf</t>
  </si>
  <si>
    <t>2025-10-08 16:35:27</t>
  </si>
  <si>
    <t>2025-09-26 16:35:27</t>
  </si>
  <si>
    <t>EMPRESA DE TRANSPORTES COLECTIVOS EL BUEN PRTENO SCRL</t>
  </si>
  <si>
    <t>ENVIO DE ENCOMIENDA ILO A AMOQUEGUA</t>
  </si>
  <si>
    <t>2025-10-24 12:28:23</t>
  </si>
  <si>
    <t>https://storage.googleapis.com/deytha-prod/payments/rME36TMfB5Rq2P7DomQdGVJ35oljFJyWP4Y5FGLX.pdf</t>
  </si>
  <si>
    <t>https://storage.googleapis.com/deytha-prod/payments/ovCX5yXtcO91B07kdqzogwJs35at28KlJCQd2GCz.pdf</t>
  </si>
  <si>
    <t>2025-10-08 16:23:26</t>
  </si>
  <si>
    <t>2025-09-23 16:23:26</t>
  </si>
  <si>
    <t>TRASPORTE DE CARGA LIMA MOQUEGUA </t>
  </si>
  <si>
    <t>2025-10-24 12:28:02</t>
  </si>
  <si>
    <t>https://storage.googleapis.com/deytha-prod/payments/tgXPu23HY43oC0cgIGQH1uN8bDKTVQeNQko3suxA.pdf</t>
  </si>
  <si>
    <t>https://storage.googleapis.com/deytha-prod/payments/7wCgCIO9z27iEK0EZwdzypoczZoLffcIc7M32zP5.pdf</t>
  </si>
  <si>
    <t>2025-09-27 16:23:26</t>
  </si>
  <si>
    <t xml:space="preserve">EXPRESS MOQUEGUA L &amp;A EIRL </t>
  </si>
  <si>
    <t>2025-10-24 12:28:14</t>
  </si>
  <si>
    <t>https://storage.googleapis.com/deytha-prod/payments/6Z4YgPfpHBh5nNt6r5bS84Nxvvnu2dTiw6F1rf43.pdf</t>
  </si>
  <si>
    <t>https://storage.googleapis.com/deytha-prod/payments/UdFh5x9rcrOtPb17w8ECEBST10tLtUHhp9irjoHw.pdf</t>
  </si>
  <si>
    <t>2025-09-11 16:23:26</t>
  </si>
  <si>
    <t>TRASPORTE DE AREQUIPA A MOQUEGUA</t>
  </si>
  <si>
    <t>2025-10-24 12:28:11</t>
  </si>
  <si>
    <t>https://storage.googleapis.com/deytha-prod/payments/SK2fhIQ4rJfOg00R7NRBx5APKQ0LniB3FVr4ztfQ.pdf</t>
  </si>
  <si>
    <t>https://storage.googleapis.com/deytha-prod/payments/1H8Uk3y8MqO3ufUnwQuJkpA09BZuvk1hRYBZfs7j.pdf</t>
  </si>
  <si>
    <t>TRANSPORTE DE AREQUIPA MOQUEGUA</t>
  </si>
  <si>
    <t>2025-10-24 12:28:07</t>
  </si>
  <si>
    <t>https://storage.googleapis.com/deytha-prod/payments/FIlRWGOuic5GocE9G8Pi1jtSTyzriLrOjapihcgE.pdf</t>
  </si>
  <si>
    <t>https://storage.googleapis.com/deytha-prod/payments/ByavoxQU0BG6jv8SaBFRnUyo26MHvlG0s41G07nY.pdf</t>
  </si>
  <si>
    <t>2025-09-16 16:23:26</t>
  </si>
  <si>
    <t>COPIAS DE LLAVES  Y LLAVERO</t>
  </si>
  <si>
    <t>2025-10-24 12:28:19</t>
  </si>
  <si>
    <t>https://storage.googleapis.com/deytha-prod/payments/Wxl4jHGsTNrgociOCno8AaV40dSeXS8dMYW9ZZ3F.pdf</t>
  </si>
  <si>
    <t>https://storage.googleapis.com/deytha-prod/payments/wKI9ocTGppVsL332IlEbOFqiwSfnMZakNYRrYcJo.pdf</t>
  </si>
  <si>
    <t>2025-10-08 16:23:11</t>
  </si>
  <si>
    <t>2025-09-23 16:23:11</t>
  </si>
  <si>
    <t>2025-10-24 12:27:54</t>
  </si>
  <si>
    <t>https://storage.googleapis.com/deytha-prod/payments/xpU5zRHl727pohjpo8ktSBrwSZnHmSzZWge69Jcq.pdf</t>
  </si>
  <si>
    <t>https://storage.googleapis.com/deytha-prod/payments/LVdoealAzsoysbUyPn0SIAT3LMl4v8oRDxXpjiWX.pdf</t>
  </si>
  <si>
    <t>2025-10-08 16:00:40</t>
  </si>
  <si>
    <t>2025-09-30 16:00:40</t>
  </si>
  <si>
    <t>2025-10-24 12:27:58</t>
  </si>
  <si>
    <t>https://storage.googleapis.com/deytha-prod/payments/KyylhUAOjySiOQjg9IfJJfiCDhaLt7FUIcovGxS1.pdf</t>
  </si>
  <si>
    <t>https://storage.googleapis.com/deytha-prod/payments/TcHERewxn66QmpcVUKsDBdoKbQw26DlwJ7u57tbH.pdf</t>
  </si>
  <si>
    <t>2025-10-08 16:00:39</t>
  </si>
  <si>
    <t>2025-09-30 16:00:39</t>
  </si>
  <si>
    <t>2025-10-24 12:27:48</t>
  </si>
  <si>
    <t>https://storage.googleapis.com/deytha-prod/payments/kIPxOAXYZhy1zFEgX5uD6y8xvQQo18zaPSCF5ZF3.pdf</t>
  </si>
  <si>
    <t>https://storage.googleapis.com/deytha-prod/payments/gNbO5J878JW58I0f9WfFRBhCL90m1ZTrvZ24WQEF.pdf</t>
  </si>
  <si>
    <t>2025-10-08 16:00:37</t>
  </si>
  <si>
    <t>2025-09-27 16:00:37</t>
  </si>
  <si>
    <t>EMPRESA DE TRANSPORTES MOQUEGUA TURISMO S.R.L.</t>
  </si>
  <si>
    <t>SERVICIO DE ENCOMIENDA LIMA MOQUEGUA</t>
  </si>
  <si>
    <t>2025-10-24 12:27:43</t>
  </si>
  <si>
    <t>https://storage.googleapis.com/deytha-prod/payments/5zYBUFTdXDdVN9osNK6XHYZcOsBYDjEVBqMcxeFg.pdf</t>
  </si>
  <si>
    <t>https://storage.googleapis.com/deytha-prod/payments/uuDZQ3ox1C9mMczv49fPZWBdkVJ4xEf2RNvMJi7s.pdf</t>
  </si>
  <si>
    <t>2025-10-08 16:00:35</t>
  </si>
  <si>
    <t>2025-09-26 16:00:35</t>
  </si>
  <si>
    <t>TRASLADO DE MATERIALES</t>
  </si>
  <si>
    <t>2025-10-24 12:27:40</t>
  </si>
  <si>
    <t>https://storage.googleapis.com/deytha-prod/payments/7zP43SsI7OURXTwYfeA0LDMRdmniDiJqqtPtrFan.pdf</t>
  </si>
  <si>
    <t>https://storage.googleapis.com/deytha-prod/payments/En8UA9noaA39BrUv7h1GifSnenOKgHjxuCng5AyL.pdf</t>
  </si>
  <si>
    <t>2025-10-08 16:00:33</t>
  </si>
  <si>
    <t>2025-09-13 16:00:33</t>
  </si>
  <si>
    <t>SERVICIO DE TAXI  RECOJO DE MATERIALES  MOQUEGUA</t>
  </si>
  <si>
    <t>2025-10-24 12:27:36</t>
  </si>
  <si>
    <t>https://storage.googleapis.com/deytha-prod/payments/cdjx0hq6FGInbGhhkLsnttURp2s2aQhzd9kVai2p.pdf</t>
  </si>
  <si>
    <t>https://storage.googleapis.com/deytha-prod/payments/F0xxWU5gVfOLxFiMOxNUboQXmZvIiJsCNB5wx8kJ.pdf</t>
  </si>
  <si>
    <t>2025-10-08 16:00:31</t>
  </si>
  <si>
    <t>2025-09-20 16:00:31</t>
  </si>
  <si>
    <t>SERVCIO DE TRASLADO DE MATERIALES</t>
  </si>
  <si>
    <t>2025-10-24 12:27:32</t>
  </si>
  <si>
    <t>https://storage.googleapis.com/deytha-prod/payments/cFavUH8WHteJnUSjRPzYg45lPcO96eer7QuxCUSu.pdf</t>
  </si>
  <si>
    <t>https://storage.googleapis.com/deytha-prod/payments/q3kxVaQQ2GYdltfpiAaBemsCb8BPoeDw4dMZHxN1.pdf</t>
  </si>
  <si>
    <t>2025-10-08 16:00:29</t>
  </si>
  <si>
    <t>2025-09-28 16:00:29</t>
  </si>
  <si>
    <t>SERVICIO  DE TAXI TELUROMERO</t>
  </si>
  <si>
    <t>https://storage.googleapis.com/deytha-prod/payments/O389BRS5hLzmHRtTlRa2nOa4LGXeuT7z5BBJoqEj.pdf</t>
  </si>
  <si>
    <t>https://storage.googleapis.com/deytha-prod/payments/ifHphi7kFJuY8qTbYJ1egkwdEgkMyIEdsjbr3v4g.pdf</t>
  </si>
  <si>
    <t>2025-10-08 16:00:26</t>
  </si>
  <si>
    <t>2025-09-16 16:00:26</t>
  </si>
  <si>
    <t>COMERCIAL LA FLAQUITA E.I.R.L.</t>
  </si>
  <si>
    <t>COMPRA DE ARCHIVADORES Y CINTA DE EMBALAJE</t>
  </si>
  <si>
    <t>2025-10-23 23:22:16</t>
  </si>
  <si>
    <t>https://storage.googleapis.com/deytha-prod/payments/NLFQH6KIR413jsMWWejq0D2vinMg19prD93qcQ8O.pdf</t>
  </si>
  <si>
    <t>https://storage.googleapis.com/deytha-prod/payments/kkei3d6AdFiGkmqou2Kjk0pIa8pAruOcDFQrPpOL.pdf</t>
  </si>
  <si>
    <t>2025-10-08 10:01:29</t>
  </si>
  <si>
    <t>2025-10-08 13:59:49</t>
  </si>
  <si>
    <t>2025-10-09 10:01:17</t>
  </si>
  <si>
    <t>LAVADO, ENGRASE, DIAGNOSTIVO Y REPARACION UNIDAD T9F962</t>
  </si>
  <si>
    <t>2025-11-20 20:12:00</t>
  </si>
  <si>
    <t>https://storage.googleapis.com/deytha-prod/rqf/payments/bf9c9a99-aed7-43b0-96bc-a8b167857ced_33282.PNG</t>
  </si>
  <si>
    <t>https://storage.googleapis.com/deytha-prod/supplierBills/mcWbJAHGGGgqLnAulZUhSkSqs0lXsWTiM2arCuVe.pdf</t>
  </si>
  <si>
    <t>2025-10-07 16:45:51</t>
  </si>
  <si>
    <t>2025-10-07 18:07:20</t>
  </si>
  <si>
    <t>2025-10-08 16:45:15</t>
  </si>
  <si>
    <t xml:space="preserve">BENTONITA 
REQ # ELECTRICO 26
</t>
  </si>
  <si>
    <t>2025-10-10 11:44:00</t>
  </si>
  <si>
    <t>https://storage.googleapis.com/deytha-prod/payments/rqj0Y7CnEaLe6eUVcX9dL5old3HjpAc3rx5bjipC.pdf</t>
  </si>
  <si>
    <t>https://storage.googleapis.com/deytha-prod/paymentBills/8WBO90mAGy0drNe1m3ol0CSnX0KckmUia8wcR7jK.png</t>
  </si>
  <si>
    <t>https://storage.googleapis.com/deytha-prod/supplierBills/Nse8w2HOXlLiaS8sAn92f156HJ1i6CBLDCbOjAd9.pdf</t>
  </si>
  <si>
    <t>2025-08-15 22:37:38</t>
  </si>
  <si>
    <t>2025-10-07 11:38:06</t>
  </si>
  <si>
    <t>2025-08-29 17:36:00</t>
  </si>
  <si>
    <t>Pago RQF-D:346(2 / 2) | TABLEROS ELECTRICOS</t>
  </si>
  <si>
    <t>2025-10-23 16:24:00</t>
  </si>
  <si>
    <t>https://storage.googleapis.com/deytha-prod/payments/K9hCGcczZgTbHBIPSCOpv59MU75mBWDhFtzUgQ21.pdf</t>
  </si>
  <si>
    <t>https://storage.googleapis.com/deytha-prod/paymentBills/Fe9ASeXEeFaowY4yCrPf7xF5Aqc3TGqWQ6VTmcJG.png</t>
  </si>
  <si>
    <t>https://storage.googleapis.com/deytha-prod/supplierBills/U995D6Mq875aqEBa3D1OaRUF1Sh1qpjgpzEpFYr5.pdf</t>
  </si>
  <si>
    <t>2025-10-03 19:50:25</t>
  </si>
  <si>
    <t>2025-10-05 10:48:37</t>
  </si>
  <si>
    <t xml:space="preserve">ALQUILER DE ANDAMIOS NORMADOS LAYHER , 2DO DESPACHO 
CORRESPONDE DEL 01 DE SET AL 30 SEPT DEL  2025 </t>
  </si>
  <si>
    <t>2025-10-23 17:03:00</t>
  </si>
  <si>
    <t>https://storage.googleapis.com/deytha-prod/payments/sIMgFUAz47YB86jxgbwe2XLW8onsqsOFbm4bapUS.pdf</t>
  </si>
  <si>
    <t>https://storage.googleapis.com/deytha-prod/paymentBills/7ovSbWDS1EMT5L534poU1v1h1i1HL33d6F5RoiU5.png</t>
  </si>
  <si>
    <t>https://storage.googleapis.com/deytha-prod/supplierBills/udTqbExh6EaVOmsG9M2BF18npwWSeuNi6jcRVGmu.pdf</t>
  </si>
  <si>
    <t>2025-10-03 19:51:50</t>
  </si>
  <si>
    <t>2025-10-05 10:51:49</t>
  </si>
  <si>
    <t xml:space="preserve">ALQUILER DE ANDAMIOS NORMADOS LAYHER, 1ER DESPACHO 
CORRESPONDE DEL 01 DE SET AL 30 SEPT DEL  2025 </t>
  </si>
  <si>
    <t>2025-10-13 16:16:00</t>
  </si>
  <si>
    <t>https://storage.googleapis.com/deytha-prod/payments/lODNYZfCzJe3Z72JFhu4AuBWatbF0LRdUXT7vJDL.pdf</t>
  </si>
  <si>
    <t>https://storage.googleapis.com/deytha-prod/paymentBills/GdZlMl6wkaH6xtRIv67fpTtje7MfLf6mCJTLt3nD.png</t>
  </si>
  <si>
    <t>https://storage.googleapis.com/deytha-prod/supplierBills/UZhEaYaHfQbpVdvuMoO8MZqIEL5OXMXX7v2YCtcC.pdf</t>
  </si>
  <si>
    <t>2025-10-03 20:47:41</t>
  </si>
  <si>
    <t>2025-10-05 11:47:40</t>
  </si>
  <si>
    <t>UTILES DE ESCRITORIO 
REQ # 11 CALIDAD 
REQ # 32 SSOMA</t>
  </si>
  <si>
    <t>2025-10-09 16:54:00</t>
  </si>
  <si>
    <t>https://storage.googleapis.com/deytha-prod/payments/9uaWjAHG87NG6IpyKu6ZeXLVaGridETkq8v868NG.pdf</t>
  </si>
  <si>
    <t>https://storage.googleapis.com/deytha-prod/paymentBills/z0EWvBG41wPXx9uFQcQXUZir6n3uaWW7dUqHxljI.png</t>
  </si>
  <si>
    <t>https://storage.googleapis.com/deytha-prod/supplierBills/BG9S8VtpJm79t3x6KvhEvWJVN5ltBMqMpt1BINOA.pdf</t>
  </si>
  <si>
    <t>2025-10-06 14:02:27</t>
  </si>
  <si>
    <t>2025-10-07 14:02:11</t>
  </si>
  <si>
    <t>TRAJES DESCARTABLES NUEVO MODELO 
LENTES 
GUANTES</t>
  </si>
  <si>
    <t>2025-10-10 18:00:00</t>
  </si>
  <si>
    <t>https://storage.googleapis.com/deytha-prod/payments/XySmLtULktoc2VKsZOR23H9z5iAx1VAMGSkiuqJu.pdf</t>
  </si>
  <si>
    <t>https://storage.googleapis.com/deytha-prod/paymentBills/ZlNlXFy1ZwsdN9rExHnGGn0ONPxBb74FrDCeqDOB.png</t>
  </si>
  <si>
    <t>https://storage.googleapis.com/deytha-prod/supplierBills/wtNHFcWXMYErpkX6OElpqtmWGavidtiwLasfdf57.pdf</t>
  </si>
  <si>
    <t>2025-10-07 10:36:11</t>
  </si>
  <si>
    <t>2025-10-07 11:33:19</t>
  </si>
  <si>
    <t>2025-10-07 11:35:55</t>
  </si>
  <si>
    <t>PAGO POR EMO DE ZELAYA DAMIAN MIGUEL GUILLERMO</t>
  </si>
  <si>
    <t>2025-10-07 12:17:00</t>
  </si>
  <si>
    <t>https://storage.googleapis.com/deytha-prod/payments/p3tfPcVtIbi0LJonMVmet51bfAWTZNKSVWJCnlxe.png</t>
  </si>
  <si>
    <t>https://storage.googleapis.com/deytha-prod/paymentBills/Q8871fPgrUDTOWUSjo7WMC85i09S1vhOA1RE46CK.png</t>
  </si>
  <si>
    <t>https://storage.googleapis.com/deytha-prod/supplierBills/yLusmJKzKWFsoe2YhuBBmu4PvPWNkFGbG1G0bxm6.pdf</t>
  </si>
  <si>
    <t>2025-10-06 20:16:03</t>
  </si>
  <si>
    <t>EZQUERRA DELGADO DANIELA ISABEL</t>
  </si>
  <si>
    <t>430-08941416-0-46</t>
  </si>
  <si>
    <t>2025-10-24 14:43:00</t>
  </si>
  <si>
    <t>https://storage.googleapis.com/deytha-prod/worker/settle/2BLkXxXUnU0Dxzj8n89kIrMAak9s8tV2I7M0skYZ.pdf</t>
  </si>
  <si>
    <t>https://storage.googleapis.com/deytha-prod/paymentBills/eHnVtTfwOw4T9SYWHcZszD8Nfp4s15mYbZZVR0Gw.pdf</t>
  </si>
  <si>
    <t>2025-10-06 14:09:28</t>
  </si>
  <si>
    <t>2025-10-06 17:57:42</t>
  </si>
  <si>
    <t>2025-10-07 14:09:07</t>
  </si>
  <si>
    <t>LENTES 
GUANTES 
REQ 32 - SSOMA</t>
  </si>
  <si>
    <t>2025-10-10 11:47:00</t>
  </si>
  <si>
    <t>https://storage.googleapis.com/deytha-prod/payments/kUWf1Dl8CfZvqQIADZpBHt1AEr5hueYqln37QxIh.pdf</t>
  </si>
  <si>
    <t>https://storage.googleapis.com/deytha-prod/paymentBills/zvbLAmrxh1huApVF4NK1k62xMcMhpNp0o0Nrs3VN.png</t>
  </si>
  <si>
    <t>https://storage.googleapis.com/deytha-prod/supplierBills/zzNF9bU1rCx8T2OKF8KicAZmf2CySxTtV6JhRets.pdf</t>
  </si>
  <si>
    <t>2025-10-06 16:19:24</t>
  </si>
  <si>
    <t>2025-10-07 16:19:18</t>
  </si>
  <si>
    <t>MAMANI YUNCA ALEXANDER</t>
  </si>
  <si>
    <t>430-03103856-0-21</t>
  </si>
  <si>
    <t>BORDADOS</t>
  </si>
  <si>
    <t>2025-10-06 18:22:00</t>
  </si>
  <si>
    <t>https://storage.googleapis.com/deytha-prod/payments/x6FoJlNh7UJzVsO9UTNA6EkGDUJBerwjpvm8S7Ds.pdf</t>
  </si>
  <si>
    <t>https://storage.googleapis.com/deytha-prod/paymentBills/M9AlmoXdxVBTGe55BjHYGRnz4L3xBJkBdLJHV6WR.png</t>
  </si>
  <si>
    <t>https://storage.googleapis.com/deytha-prod/supplierBills/EdTjm850jiXZrTRIRQi5jSI0uFMVjT9ZAPupiH5y.pdf</t>
  </si>
  <si>
    <t>NELSON  VASQUEZ RAMIREZ</t>
  </si>
  <si>
    <t>2025-10-03 20:06:25</t>
  </si>
  <si>
    <t>2025-10-06 13:23:06</t>
  </si>
  <si>
    <t>2025-10-05 11:05:50</t>
  </si>
  <si>
    <t xml:space="preserve">MOLDES Y SOLDADURA PARA POZO TIERRA 
REQ #  25 ELECTRICO 
</t>
  </si>
  <si>
    <t>2025-10-07 12:36:00</t>
  </si>
  <si>
    <t>https://storage.googleapis.com/deytha-prod/payments/h5OaLAP0kFifDhz74dQC5T8LdyFM8kd0Qzwg2Tyh.pdf</t>
  </si>
  <si>
    <t>https://storage.googleapis.com/deytha-prod/paymentBills/qCKGElKQaVc47sfNmCzOllyRaKKBqBjSAxciR4H8.png</t>
  </si>
  <si>
    <t>https://storage.googleapis.com/deytha-prod/supplierBills/ZP1973WLk4Qn4lZhVIJbiRzMu8RWscCaWvQWn4pr.pdf</t>
  </si>
  <si>
    <t>2025-10-03 12:27:37</t>
  </si>
  <si>
    <t>2025-10-06 12:41:02</t>
  </si>
  <si>
    <t>2025-08-15 12:26:59</t>
  </si>
  <si>
    <t>SEM13Y14-2025-REM NETAS-PY028-RCC</t>
  </si>
  <si>
    <t>2025-08-15 16:51:00</t>
  </si>
  <si>
    <t>https://storage.googleapis.com/deytha-prod/payments/FV7CBPfR2cLsHIli4IPFFbJ3moCqIXcNS6SJgWtx.pdf</t>
  </si>
  <si>
    <t>https://storage.googleapis.com/deytha-prod/paymentBills/cUBSEIe5PnojDJH6G53YahRKNt2EwvRsWb4mTdOp.pdf</t>
  </si>
  <si>
    <t>2025-10-03 12:36:29</t>
  </si>
  <si>
    <t>2025-08-29 12:36:12</t>
  </si>
  <si>
    <t>SEM15Y16-2025-REM NETAS-PY028-RCC</t>
  </si>
  <si>
    <t>2025-08-28 19:00:00</t>
  </si>
  <si>
    <t>https://storage.googleapis.com/deytha-prod/payments/Pccu4a3hdRlpQZ2efq0mPgFym9csPjD5yZWtZvyF.pdf</t>
  </si>
  <si>
    <t>https://storage.googleapis.com/deytha-prod/paymentBills/5SGuRVvVqXY0zrcCyzCmy758QRU8AAygYtld9mW7.pdf</t>
  </si>
  <si>
    <t>2025-10-03 12:41:18</t>
  </si>
  <si>
    <t>2025-09-12 12:40:56</t>
  </si>
  <si>
    <t>SEM17Y18-2025-REM NETAS-PY028-RCC</t>
  </si>
  <si>
    <t>2025-09-12 19:00:00</t>
  </si>
  <si>
    <t>https://storage.googleapis.com/deytha-prod/payments/o2fHxRgFqFi4lpHzaF6igwmpWUOCZrgeoWlMMfNN.pdf</t>
  </si>
  <si>
    <t>https://storage.googleapis.com/deytha-prod/paymentBills/TYBjak1JKavsP3oHTHtNvWAqjgtJ51yijbW8kFZF.pdf</t>
  </si>
  <si>
    <t>2025-10-04 12:00:21</t>
  </si>
  <si>
    <t>2025-10-06 12:01:47</t>
  </si>
  <si>
    <t>2025-10-05 11:47:08</t>
  </si>
  <si>
    <t>SELLO STICKER PARA CASCO FORMATO IPERC.
RQ-22 Y RQ31 SSOMA
RQ-36 CIVIL</t>
  </si>
  <si>
    <t>2025-10-06 17:10:00</t>
  </si>
  <si>
    <t>https://storage.googleapis.com/deytha-prod/payments/wS5iz4Lz0r63v6xosLX1xLXovI2ug6sTJx08L9n0.pdf</t>
  </si>
  <si>
    <t>https://storage.googleapis.com/deytha-prod/paymentBills/QE0DqrnBgjKHNdaUolacQNYN1JtUj0Ru2OH5t9lW.png</t>
  </si>
  <si>
    <t>https://storage.googleapis.com/deytha-prod/supplierBills/ljSvVnDAjaAKY2RRonWvOT3Cop1Ba5WTZn7cAtC4.pdf</t>
  </si>
  <si>
    <t>2025-10-06 10:22:24</t>
  </si>
  <si>
    <t>2025-10-07 10:19:18</t>
  </si>
  <si>
    <t>STF IMPORT EIRL</t>
  </si>
  <si>
    <t>402-3005388058</t>
  </si>
  <si>
    <t>DETECTOR DE VOLTAJE PARA HOMBRO
RQ-20 SSOMA</t>
  </si>
  <si>
    <t>2025-10-09 19:41:00</t>
  </si>
  <si>
    <t>https://storage.googleapis.com/deytha-prod/payments/ycRLAoUS3OyeWuoJVavTrJRUFXmQtOM70dMSHrUy.pdf</t>
  </si>
  <si>
    <t>https://storage.googleapis.com/deytha-prod/paymentBills/boInzCghH3SDdTCRSWuEc3iahDUgvnnyLHC6DIEq.pdf</t>
  </si>
  <si>
    <t>https://storage.googleapis.com/deytha-prod/supplierBills/Vjma8VhdYU9wskhmS6tyEHcFyOChDOqXLxxeXeCu.pdf</t>
  </si>
  <si>
    <t>2025-10-03 09:45:21</t>
  </si>
  <si>
    <t>2025-10-04 11:35:41</t>
  </si>
  <si>
    <t>2025-10-04 09:45:09</t>
  </si>
  <si>
    <t xml:space="preserve">STF IMPORT- GUANTES CLASE4
RQ - 19 / SSOMA </t>
  </si>
  <si>
    <t>https://storage.googleapis.com/deytha-prod/payments/uMxY3CWP1JQSbaMldGb126bnhs7JgolG21QApo7r.pdf</t>
  </si>
  <si>
    <t>https://storage.googleapis.com/deytha-prod/paymentBills/76JQUISAVMGdHG6HbU50SJ8zcyIGMURQqGEGKr1Q.pdf</t>
  </si>
  <si>
    <t>https://storage.googleapis.com/deytha-prod/supplierBills/hj3thef9yftJaVwO92e5ABjfWn4jexkZsjR57dUA.pdf</t>
  </si>
  <si>
    <t>2025-10-03 10:12:25</t>
  </si>
  <si>
    <t>2025-10-04 10:10:07</t>
  </si>
  <si>
    <t>recarga de bidones de agua
REQ # 32 - SSOMA</t>
  </si>
  <si>
    <t>2025-10-06 17:07:00</t>
  </si>
  <si>
    <t>https://storage.googleapis.com/deytha-prod/payments/Yp8wvIbgzpbtPolHhM4d1hE1fhmCDerh301ZhvaP.pdf</t>
  </si>
  <si>
    <t>https://storage.googleapis.com/deytha-prod/paymentBills/aCYiP0clFUPP1jUouwLcOzQfHCDi5yGXiIKVNFDo.png</t>
  </si>
  <si>
    <t>https://storage.googleapis.com/deytha-prod/supplierBills/Jb0oZZ7sDhjpUBX5VUppgqa1z38DJpxYHvgX5jyP.pdf</t>
  </si>
  <si>
    <t>2025-10-03 14:10:30</t>
  </si>
  <si>
    <t>2025-10-04 14:10:15</t>
  </si>
  <si>
    <t>RECOJO DE ENCOMIENDAS ENTRE RQ DE TELECOMUNICCIONES Y ELECTRICO</t>
  </si>
  <si>
    <t>2025-10-09 11:40:00</t>
  </si>
  <si>
    <t>https://storage.googleapis.com/deytha-prod/payments/DtqNNlUqtaEI8HWrMHR30ynuuRJjNeqxsNq72j9M.pdf</t>
  </si>
  <si>
    <t>https://storage.googleapis.com/deytha-prod/paymentBills/YniPK2HMBXOGRbA9c4vVpZ28cx0ca93pjCyPds6f.png</t>
  </si>
  <si>
    <t>https://storage.googleapis.com/deytha-prod/supplierBills/aSR9zjMMbi6gIkWHo7e0TdmzwHx9hYuWYXO9eQyH.pdf</t>
  </si>
  <si>
    <t>2025-10-03 17:04:03</t>
  </si>
  <si>
    <t>2025-10-04 16:58:59</t>
  </si>
  <si>
    <t xml:space="preserve">PLANCHA,CANAL U, 
METALMARK
RQ-18 ELECTRICO
RQ-2 ESTRUCTURAS
RQ-23 ELECTRICO
</t>
  </si>
  <si>
    <t>2025-10-06 12:19:00</t>
  </si>
  <si>
    <t>https://storage.googleapis.com/deytha-prod/payments/p3HoxB0AQPOWKpqZ4m0kg3c9MOBxNGwqNBG6HqdC.pdf</t>
  </si>
  <si>
    <t>https://storage.googleapis.com/deytha-prod/paymentBills/sXXYMNHbcA9N5En2CHWFeMZ5uJ2zSl1puNrucRwP.png</t>
  </si>
  <si>
    <t>https://storage.googleapis.com/deytha-prod/supplierBills/Ik7BSSYcnughUGKPPM1mFF22G4d3kfsLdlbR3qyd.pdf</t>
  </si>
  <si>
    <t>2025-10-04 10:48:59</t>
  </si>
  <si>
    <t>2025-10-05 10:48:17</t>
  </si>
  <si>
    <t xml:space="preserve">SILLAS DE PLASTICOS 
RQ-29 SSOMA
</t>
  </si>
  <si>
    <t>2025-10-04 11:54:00</t>
  </si>
  <si>
    <t>https://storage.googleapis.com/deytha-prod/payments/rvcfHjcJvhTLSRgJu6RigX95RpwL8cie0V2bpbSV.pdf</t>
  </si>
  <si>
    <t>https://storage.googleapis.com/deytha-prod/paymentBills/WqmcoZkuaKpNexlCA2tRpSYC0FBA7ZRMfmlsmstv.pdf</t>
  </si>
  <si>
    <t>https://storage.googleapis.com/deytha-prod/supplierBills/gPdCrExs03s3nBb0lFcqdyzViK2sIE0dR8z2Gr9p.pdf</t>
  </si>
  <si>
    <t>2025-10-01 16:20:34</t>
  </si>
  <si>
    <t>2025-10-03 16:05:42</t>
  </si>
  <si>
    <t>2025-10-02 16:20:28</t>
  </si>
  <si>
    <t>HILTI PERU S.A</t>
  </si>
  <si>
    <t>193-9962448-0-85</t>
  </si>
  <si>
    <t xml:space="preserve">LADRILLO ANTIFLAMA / FIRE STOP 
REQ # 23/ # 9 ELECTRICO  </t>
  </si>
  <si>
    <t>2025-10-03 18:14:00</t>
  </si>
  <si>
    <t>https://storage.googleapis.com/deytha-prod/payments/UM9rytMgL0ppSOiYwqdZj6QRkpInrpBXvEqofbkg.pdf</t>
  </si>
  <si>
    <t>https://storage.googleapis.com/deytha-prod/paymentBills/R2N0q46GTp0kRfDkMKEptwOsxBfpmpBKO1hZxpOY.png</t>
  </si>
  <si>
    <t>https://storage.googleapis.com/deytha-prod/supplierBills/9StKbuDPtWvDXWlVwHz0jFb1pBDIDvyyA3S61wuG.pdf</t>
  </si>
  <si>
    <t>2025-10-03 09:22:19</t>
  </si>
  <si>
    <t>2025-10-04 09:21:39</t>
  </si>
  <si>
    <t>PINTURA EPOMAX Y OXIBAR - RENNER.pdf
RQ-02 / ESTRUCTURAS</t>
  </si>
  <si>
    <t>2025-10-03 16:50:00</t>
  </si>
  <si>
    <t>https://storage.googleapis.com/deytha-prod/payments/fZNRA0BKBXDXRkCoVcGXyvGVjYI4JzD5RMvkofYc.pdf</t>
  </si>
  <si>
    <t>https://storage.googleapis.com/deytha-prod/paymentBills/A17wEbXLAW3YaYeo0JSBcAFw5Udjmm2fGQT0kxUe.png</t>
  </si>
  <si>
    <t>2025-10-03 09:28:31</t>
  </si>
  <si>
    <t>2025-10-04 09:28:25</t>
  </si>
  <si>
    <t xml:space="preserve">CABLE DESNUDO 4/0 . 
REQ # 23 - ELECTRICO </t>
  </si>
  <si>
    <t>2025-10-03 16:38:00</t>
  </si>
  <si>
    <t>https://storage.googleapis.com/deytha-prod/payments/9LF5AG6KYemWEgPikFPKhhWzv0PmLiQk71S7uJNw.pdf</t>
  </si>
  <si>
    <t>https://storage.googleapis.com/deytha-prod/paymentBills/SOH6Zrn2dGT3nG4AOYRCa7WEWIE4qddLzDmlVbCl.png</t>
  </si>
  <si>
    <t>https://storage.googleapis.com/deytha-prod/supplierBills/lWEATVEaGDT7vhckha2Skct0EFQOq67ANKZ5Rsii.pdf</t>
  </si>
  <si>
    <t>2025-10-03 09:31:29</t>
  </si>
  <si>
    <t>2025-10-04 09:31:13</t>
  </si>
  <si>
    <t xml:space="preserve">DOSIS PACH 25kg ELECTROLITICO / GEL CONDUCTIVO THORGEL 5kg 
REQ # 21 - ELECTRICO 
SE ESTA COMPLETNADO EL REQ YA Q SE ATENDIO ANTERIORMENTE EN OTRA MITAD </t>
  </si>
  <si>
    <t>2025-10-10 19:23:00</t>
  </si>
  <si>
    <t>https://storage.googleapis.com/deytha-prod/payments/RVRtyTpptt0JnL3ldZtiIXeRuwjq6VGR5u9cUwNH.pdf</t>
  </si>
  <si>
    <t>https://storage.googleapis.com/deytha-prod/paymentBills/WbWHSwKyUun7xF27nVdQKRyPUKD9PUgKFAa44pt4.png</t>
  </si>
  <si>
    <t>https://storage.googleapis.com/deytha-prod/supplierBills/A9e9cEtnwhEjUdz8FxHSgV9KPewtBxy60I6AAzsv.pdf</t>
  </si>
  <si>
    <t>2025-10-03 10:28:15</t>
  </si>
  <si>
    <t>2025-10-04 10:22:17</t>
  </si>
  <si>
    <t>MEGOMETRO-MULTIMETRO Y PINZAS DEYFOR
RQ-19 _ELECTRICO / RQ-9 _ CALIDAD</t>
  </si>
  <si>
    <t>2025-10-03 20:34:00</t>
  </si>
  <si>
    <t>https://storage.googleapis.com/deytha-prod/payments/E6ITlZ5RDIjC1YptBN1JdBeO5kbGFG92CEb6KWLt.pdf</t>
  </si>
  <si>
    <t>https://storage.googleapis.com/deytha-prod/paymentBills/TnJVHfS1Liaxsbkf0qshL3qiGRwES12fXLsHqQ0S.png</t>
  </si>
  <si>
    <t>https://storage.googleapis.com/deytha-prod/supplierBills/QZ27Z9m4uhLx2oAcgJ21gbANFvZqUWQlv08Mt0vV.pdf</t>
  </si>
  <si>
    <t>2025-10-03 11:56:50</t>
  </si>
  <si>
    <t>2025-10-04 11:55:29</t>
  </si>
  <si>
    <t xml:space="preserve">E&amp;M FEMASUR-SOLADURA-PANTALON-LENTES
RQ-36 Y 37 / CIVIL
RQ-22 / ELECTRICO
RQ-29 / SSOMA
RQ-6 / ADMINISTRACION
</t>
  </si>
  <si>
    <t>2025-10-03 18:32:00</t>
  </si>
  <si>
    <t>https://storage.googleapis.com/deytha-prod/payments/xigzz2vKk4vUHAF6CWpAkgW70nJbzhGA3bbRhUeH.pdf</t>
  </si>
  <si>
    <t>https://storage.googleapis.com/deytha-prod/paymentBills/QRMJDiEsLSvkecgMC5ohURt2yiQx20hQ8PtSDkWT.png</t>
  </si>
  <si>
    <t>https://storage.googleapis.com/deytha-prod/supplierBills/0ELFGi06e1ACNAaKa5didWACnVgFfteaiSfdZJya.pdf</t>
  </si>
  <si>
    <t>2025-10-03 15:50:31</t>
  </si>
  <si>
    <t>2025-10-04 15:49:17</t>
  </si>
  <si>
    <t>CEMENETO FRONTERA
RQ - 34 CIVIL</t>
  </si>
  <si>
    <t>2025-10-17 20:27:00</t>
  </si>
  <si>
    <t>https://storage.googleapis.com/deytha-prod/payments/otU9z4QQZEYUX4LbYAAkzMSoxyS5YVHVFgP37sBS.pdf</t>
  </si>
  <si>
    <t>https://storage.googleapis.com/deytha-prod/paymentBills/925DhDPs5vzf3jJNvpII1II5A2HtaiZTJW8iH12B.png</t>
  </si>
  <si>
    <t>https://storage.googleapis.com/deytha-prod/supplierBills/V6wlwoN7kJL6XhahVj6Okt18TaV9JGpiIMvuTeBW.pdf</t>
  </si>
  <si>
    <t>2025-10-03 11:11:34</t>
  </si>
  <si>
    <t>DEVOLUCION </t>
  </si>
  <si>
    <t>2025-10-03 11:18:26</t>
  </si>
  <si>
    <t>https://storage.googleapis.com/deytha-prod/payments/1DaylPalitZIWC97E8nbt8mK1yV8TzcwEW5H8cFr.jpg</t>
  </si>
  <si>
    <t>https://storage.googleapis.com/deytha-prod/payments/UkCGAuaZ8pUGYFXwD63EJ155UOOa0Y21a5OdQSyA.jpg</t>
  </si>
  <si>
    <t>2025-10-02 16:55:15</t>
  </si>
  <si>
    <t>2025-09-27 16:55:15</t>
  </si>
  <si>
    <t>VICIO DE TAXI</t>
  </si>
  <si>
    <t>2025-10-23 23:22:13</t>
  </si>
  <si>
    <t>https://storage.googleapis.com/deytha-prod/payments/WsQ7UjNri8eromcoXiGtFPi0w0DIIMlVUT7QhAgX.pdf</t>
  </si>
  <si>
    <t>https://storage.googleapis.com/deytha-prod/payments/qI08H8W0V06OlVhV1A69mrsIJqsifw9cAfKi0aBt.pdf</t>
  </si>
  <si>
    <t>2025-10-02 16:55:13</t>
  </si>
  <si>
    <t>2025-08-30 16:55:13</t>
  </si>
  <si>
    <t>ENCOMIENDA DE LIMA   A MOQUEGUA</t>
  </si>
  <si>
    <t>2025-10-23 23:22:04</t>
  </si>
  <si>
    <t>https://storage.googleapis.com/deytha-prod/payments/Aibd3q5ZLBpGYOZ2AnRO67TmIXV5htF4pgWpCFRd.pdf</t>
  </si>
  <si>
    <t>https://storage.googleapis.com/deytha-prod/payments/dJy7Ucj2lS67q8RhZIJNsAeR1e8WsT1W4XDg3Wpa.pdf</t>
  </si>
  <si>
    <t>2025-09-16 16:55:13</t>
  </si>
  <si>
    <t>COMPANÍA FOOD RETAIL S.A.C.</t>
  </si>
  <si>
    <t>COMPRA DE BOLSAS Y JAVINES</t>
  </si>
  <si>
    <t>2025-10-23 23:22:09</t>
  </si>
  <si>
    <t>https://storage.googleapis.com/deytha-prod/payments/KZy2CAJfscuOvzBagwdrYa6MQTsP93EP12huYG4G.pdf</t>
  </si>
  <si>
    <t>https://storage.googleapis.com/deytha-prod/payments/Z8sGk5o5ky42vNbEIFBRwqPUmrA6Yf6uzuzVS8RR.pdf</t>
  </si>
  <si>
    <t>2025-10-02 16:55:12</t>
  </si>
  <si>
    <t>2025-08-25 16:55:12</t>
  </si>
  <si>
    <t>2025-10-23 23:22:00</t>
  </si>
  <si>
    <t>https://storage.googleapis.com/deytha-prod/payments/GIDrlXeooaYbA6OsUaHjNdZi9bjmsSGlKhJXXuvn.pdf</t>
  </si>
  <si>
    <t>https://storage.googleapis.com/deytha-prod/payments/rjPHIszMN8HE84dnXbPkgWbkZmCZsVO2CJWEGyVj.pdf</t>
  </si>
  <si>
    <t>2025-10-02 16:55:10</t>
  </si>
  <si>
    <t>2025-08-14 16:55:10</t>
  </si>
  <si>
    <t>COMPRA DE CARBON PARA TALADRO</t>
  </si>
  <si>
    <t>2025-10-23 23:21:57</t>
  </si>
  <si>
    <t>https://storage.googleapis.com/deytha-prod/payments/cmoxpe4Zao8dZx5KrH50mcK6i88cKuN5e163pfRv.pdf</t>
  </si>
  <si>
    <t>https://storage.googleapis.com/deytha-prod/payments/gja8mPTpcmoiPmFr3zlQ7txoc5mY33VWbknRh6R9.pdf</t>
  </si>
  <si>
    <t>2025-08-27 18:20:02</t>
  </si>
  <si>
    <t>2025-10-01 15:34:23</t>
  </si>
  <si>
    <t>2025-08-28 13:19:55</t>
  </si>
  <si>
    <t>COMPRA DE MATERIAL TIERRA DE CHACRA POR 105 M3</t>
  </si>
  <si>
    <t>2025-10-21 15:59:00</t>
  </si>
  <si>
    <t>https://storage.googleapis.com/deytha-prod/payments/AAhxx2bV8WQbmsHJX5eKXOMtPJZxngDcgEXg0CMC.pdf</t>
  </si>
  <si>
    <t>https://storage.googleapis.com/deytha-prod/paymentBills/cZzvIPjPXHa2Xt9CvYcMWW3IkbIY2k7xIUYJpO4Y.png</t>
  </si>
  <si>
    <t>https://storage.googleapis.com/deytha-prod/supplierBills/nE6SlIHtBVJQDOx8DVdCIeLXbvLyfrYbaNTcS9Ds.pdf</t>
  </si>
  <si>
    <t>ALIMENTACION ALMUERZO SEMANA 19 DEL 07/09/2025 AL 13/09/2025</t>
  </si>
  <si>
    <t>2025-09-30 13:46:52</t>
  </si>
  <si>
    <t>PY-035</t>
  </si>
  <si>
    <t>ELISBAN ELVIS MAMANI JULI</t>
  </si>
  <si>
    <t>2025-10-01 14:46:49</t>
  </si>
  <si>
    <t>2025-09-30 13:46:49</t>
  </si>
  <si>
    <t>SE PIDE REINTERGRO por cambios en el espesor y distancias entre peldaños de la bandeja porta cable, OBSERVACION QUE REALIZO SOUHDER CON CODIGO ANTERIOR DE 28377 - SE ADJUNTA LA COTIZACION ACTUALIZADA Y SE PIDE EL MONTO DE REINTEGRO DE (ESCRIBES EL MONTO)</t>
  </si>
  <si>
    <t>2025-10-10 09:46:00</t>
  </si>
  <si>
    <t>https://storage.googleapis.com/deytha-prod/payments/GWUR0YoONcsXw2LpAKTrGyAd2y0keAdpJlsjSC5l.pdf</t>
  </si>
  <si>
    <t>https://storage.googleapis.com/deytha-prod/paymentBills/kwt7AJuBp6zoXN2o81zpfO2X1UVmZKysrZyZRtRT.png</t>
  </si>
  <si>
    <t>https://storage.googleapis.com/deytha-prod/supplierBills/mT3vaCYkcpfJhNmUKahPV8617eiHCbJyqZlfKghX.pdf</t>
  </si>
  <si>
    <t>2025-09-20 18:06:08</t>
  </si>
  <si>
    <t>2025-10-01 14:33:12</t>
  </si>
  <si>
    <t>2025-09-20 13:06:03</t>
  </si>
  <si>
    <t>CONSUMO DE COMBUSTIBLE DE UNIDADES DEL  08 AL 13 SEPTIEMBRE</t>
  </si>
  <si>
    <t>2025-10-02 19:12:00</t>
  </si>
  <si>
    <t>https://storage.googleapis.com/deytha-prod/payments/vuURpLAVMGcSXu8I5FUEwn99RiVm4eLmdGuDKK4f.pdf</t>
  </si>
  <si>
    <t>https://storage.googleapis.com/deytha-prod/paymentBills/dnmFVtPHDby50Fn7GRmhIrW0dSqXcT05cQmS58BL.png</t>
  </si>
  <si>
    <t>https://storage.googleapis.com/deytha-prod/supplierBills/ddPINYMzsrjlnE5J1MMlJL8dVTHmT5W2X1xoo3SI.pdf</t>
  </si>
  <si>
    <t>2025-09-27 10:10:55</t>
  </si>
  <si>
    <t>2025-09-28 10:10:31</t>
  </si>
  <si>
    <t xml:space="preserve">MATERIAL DE TELECOMUNICACIONES - FERRETERIA </t>
  </si>
  <si>
    <t>2025-10-02 16:03:00</t>
  </si>
  <si>
    <t>https://storage.googleapis.com/deytha-prod/payments/cQAe9rGoo3wHAYaAGy0E7sG4hGQTRv0dkD28n5Ys.pdf</t>
  </si>
  <si>
    <t>https://storage.googleapis.com/deytha-prod/paymentBills/YqMmWAKaAoO1MU58XnROSFQqbbuAUGoCgIxySbxt.pdf</t>
  </si>
  <si>
    <t>https://storage.googleapis.com/deytha-prod/supplierBills/ByqVP48KkoXZ8uTcPBH2zMGKXZV3hEcEgEUeCi3W.pdf</t>
  </si>
  <si>
    <t>2025-09-27 16:22:10</t>
  </si>
  <si>
    <t>2025-09-28 16:22:08</t>
  </si>
  <si>
    <t>MATERIALES VARIOS 
REQ # 
CIVIL # 37 
MECANICO # 01 
SSOMA # 29 / 30 
ELECTRICO # 23</t>
  </si>
  <si>
    <t>2025-10-01 19:58:00</t>
  </si>
  <si>
    <t>https://storage.googleapis.com/deytha-prod/payments/aMQBCCNSz01SiA5OzSaRDPr4vIoDRiks23O4E3pL.pdf</t>
  </si>
  <si>
    <t>https://storage.googleapis.com/deytha-prod/paymentBills/ngrkLUqGHyQvEBxYxtYftCUZFR6JFYLRVFhPhtl9.png</t>
  </si>
  <si>
    <t>https://storage.googleapis.com/deytha-prod/supplierBills/JRJRUT19etjjBIm46SuIhDBRMWYvhyF5fQ94xwMA.pdf</t>
  </si>
  <si>
    <t>2025-09-30 20:31:11</t>
  </si>
  <si>
    <t>2025-10-02 11:29:33</t>
  </si>
  <si>
    <t xml:space="preserve">TUBERIA GALVANIZADA 
CAJA RECTANGULAR GALVANIZADAS 
REQ ELECTRICO # 23 </t>
  </si>
  <si>
    <t>2025-10-01 15:45:00</t>
  </si>
  <si>
    <t>https://storage.googleapis.com/deytha-prod/payments/qhmE0gHWiIX9BJd7EqDuJWDm9GrIYQwCgcXYPSiX.pdf</t>
  </si>
  <si>
    <t>https://storage.googleapis.com/deytha-prod/paymentBills/j6ZDPgMPSRdvEdOe2UE2I128CHgO5cXVXdcZAvJb.png</t>
  </si>
  <si>
    <t>https://storage.googleapis.com/deytha-prod/supplierBills/latSO77TLmZ88jPBZszOcfh90eXx5JNVe5ljtON5.pdf</t>
  </si>
  <si>
    <t>2025-09-30 10:57:04</t>
  </si>
  <si>
    <t>2025-09-30 13:33:32</t>
  </si>
  <si>
    <t>2025-10-01 10:56:46</t>
  </si>
  <si>
    <t>PASAJE JHAN SILVA, CAJAMARCA - AREQUIPA</t>
  </si>
  <si>
    <t>2025-09-30 13:19:00</t>
  </si>
  <si>
    <t>https://storage.googleapis.com/deytha-prod/payments/6JUu6YAGTSkjz8r8QQY8ejQQDeRaPhvR4UtNpCzt.png</t>
  </si>
  <si>
    <t>https://storage.googleapis.com/deytha-prod/paymentBills/7XtMi1YEcvIF0CMdGCQQkeJTmpOTwDxmOVPThuMJ.pdf</t>
  </si>
  <si>
    <t>https://storage.googleapis.com/deytha-prod/supplierBills/bYivcGwAYf7y3tWNFYE110FYOF7oY5mpdo1uLfJv.pdf</t>
  </si>
  <si>
    <t>2025-09-29 17:48:25</t>
  </si>
  <si>
    <t>2025-09-30 10:00:14</t>
  </si>
  <si>
    <t>2025-09-30 17:48:18</t>
  </si>
  <si>
    <t>ALIMENTACION SEMANA 21</t>
  </si>
  <si>
    <t>2025-10-01 13:05:00</t>
  </si>
  <si>
    <t>https://storage.googleapis.com/deytha-prod/payments/6iG95TpUfGcWfElutX7lomNr03HJ01u4cYjXvp2x.pdf</t>
  </si>
  <si>
    <t>https://storage.googleapis.com/deytha-prod/paymentBills/zsLWIEWAyGl9DmDenpAZBVq2yxe36ABAq8eY0sOx.png</t>
  </si>
  <si>
    <t>https://storage.googleapis.com/deytha-prod/supplierBills/bnudVgS0ayhMC93LlPzp5qF73bLypr3Z7A7frtC5.png</t>
  </si>
  <si>
    <t>2025-09-30 09:52:30</t>
  </si>
  <si>
    <t>2025-09-30 09:57:33</t>
  </si>
  <si>
    <t>2025-09-30 10:52:26</t>
  </si>
  <si>
    <t>PAGO POR EMO DE CHATA PACOHUANACO ISAIAS</t>
  </si>
  <si>
    <t>2025-09-30 13:03:00</t>
  </si>
  <si>
    <t>https://storage.googleapis.com/deytha-prod/payments/Rrle30TTb5Tq1kpXlsn3z450aTYdanfyZ46SBgBa.pdf</t>
  </si>
  <si>
    <t>https://storage.googleapis.com/deytha-prod/paymentBills/65pTo8gd81EBPqAQRd8x5JMSBG8jaQKebjMyH1OA.pdf</t>
  </si>
  <si>
    <t>https://storage.googleapis.com/deytha-prod/supplierBills/9zflej5NlM6hLOtBCpznbJGjCsdkJcgwExPJCdI3.pdf</t>
  </si>
  <si>
    <t>2025-09-26 18:31:57</t>
  </si>
  <si>
    <t>2025-09-29 17:45:33</t>
  </si>
  <si>
    <t>2025-09-28 09:31:51</t>
  </si>
  <si>
    <t>GASTOS VARIOS VIATICOS</t>
  </si>
  <si>
    <t>2025-09-26 20:18:00</t>
  </si>
  <si>
    <t>https://storage.googleapis.com/deytha-prod/paymentBills/2dapOu2vfj1sXGdAB67KHDDVpw3NzS4nl49ahmt1.png</t>
  </si>
  <si>
    <t>2025-09-27 10:25:54</t>
  </si>
  <si>
    <t>2025-09-28 10:25:47</t>
  </si>
  <si>
    <t>AMOLADORA DE 7 Y 4 DEWALT
DISCO POLIFAN</t>
  </si>
  <si>
    <t>2025-10-01 19:53:00</t>
  </si>
  <si>
    <t>https://storage.googleapis.com/deytha-prod/payments/fRH4NNqaWv9aApNINZ23r2zy67Ufj5J8ANo6WzBn.pdf</t>
  </si>
  <si>
    <t>https://storage.googleapis.com/deytha-prod/paymentBills/yDPqNDmEUZT2QTWvj2yuKYbyJohXzBFJLhGrGF3I.png</t>
  </si>
  <si>
    <t>https://storage.googleapis.com/deytha-prod/supplierBills/lVBF9vxX42B9dV3lLB5qOffdMusmWHJtijE3sgZF.pdf</t>
  </si>
  <si>
    <t>2025-09-27 17:01:36</t>
  </si>
  <si>
    <t>2025-09-28 17:01:15</t>
  </si>
  <si>
    <t xml:space="preserve">CAJA CHICA </t>
  </si>
  <si>
    <t>2025-10-03 15:45:00</t>
  </si>
  <si>
    <t>https://storage.googleapis.com/deytha-prod/paymentBills/b0YLeFlSI0Ey6HSOzljT8I7TuRhnzT2ZenENgpbz.png</t>
  </si>
  <si>
    <t>2025-09-29 16:21:55</t>
  </si>
  <si>
    <t>Ulises Ernesto Sangay Infante</t>
  </si>
  <si>
    <t>2025-09-29 16:27:18</t>
  </si>
  <si>
    <t>2025-09-29 16:21:01</t>
  </si>
  <si>
    <t>MANTENIMIENTO PREVENTIVO DE LA CAMIONETA CEB-791</t>
  </si>
  <si>
    <t>2025-09-29 16:39:00</t>
  </si>
  <si>
    <t>https://storage.googleapis.com/deytha-prod/payments/dusEyoWkqAsehTro274pUWz5qhGbuAmmbIwgGngC.pdf</t>
  </si>
  <si>
    <t>https://storage.googleapis.com/deytha-prod/paymentBills/PADiakLbghrDpdb9NR4vUQuGkinIy5ZcdGLmPGaI.png</t>
  </si>
  <si>
    <t>2025-09-29 09:39:16</t>
  </si>
  <si>
    <t>2025-09-29 11:04:02</t>
  </si>
  <si>
    <t>2025-09-30 09:35:13</t>
  </si>
  <si>
    <t xml:space="preserve">JAULA ANTIVUELVO-NEBLINEROS-CIRCULINA
</t>
  </si>
  <si>
    <t>2025-09-29 11:35:00</t>
  </si>
  <si>
    <t>https://storage.googleapis.com/deytha-prod/payments/xEma1OPsNEsufE45vP1PkQL6tIgnOZCe0jISGfSK.pdf</t>
  </si>
  <si>
    <t>https://storage.googleapis.com/deytha-prod/paymentBills/9wBcbOQV0HOoMcvEAowJTIAJHm8mqFuhhiFXqHIu.png</t>
  </si>
  <si>
    <t>https://storage.googleapis.com/deytha-prod/supplierBills/DMzn6k3q55bHLTkj5zpIWwFamw2M0CDHAwNjz9kw.pdf</t>
  </si>
  <si>
    <t>2025-09-26 20:26:20</t>
  </si>
  <si>
    <t>2025-09-29 07:26:25</t>
  </si>
  <si>
    <t>2025-09-28 11:25:10</t>
  </si>
  <si>
    <t>ALQUILER DE HABITACION - WILMER DIAZ - MOQUEGUA  18-09 AL 17-10 OCTUBRE</t>
  </si>
  <si>
    <t>2025-09-29 11:39:00</t>
  </si>
  <si>
    <t>https://storage.googleapis.com/deytha-prod/payments/HnA9Isroe7sd2v0osA2z4fBcluojUsmOM4XCQlCw.pdf</t>
  </si>
  <si>
    <t>https://storage.googleapis.com/deytha-prod/paymentBills/n6MTg5T79D94tNFypwcrVM81XHehTVQI2As5q00A.png</t>
  </si>
  <si>
    <t>https://storage.googleapis.com/deytha-prod/supplierBills/6WaEEsJgzICWF1IPTllpujfQp4rg789QoqKvRBhn.pdf</t>
  </si>
  <si>
    <t>2025-09-26 15:37:03</t>
  </si>
  <si>
    <t>2025-09-26 15:53:42</t>
  </si>
  <si>
    <t>2025-09-27 15:36:48</t>
  </si>
  <si>
    <t xml:space="preserve">PINTURA RENNER 
REQ # ESTRUCTURAS 01 </t>
  </si>
  <si>
    <t>2025-09-26 16:11:00</t>
  </si>
  <si>
    <t>https://storage.googleapis.com/deytha-prod/payments/Qrg6ri0ieQX7GszW4oJERrKHtmT0v62CY3AeTijR.pdf</t>
  </si>
  <si>
    <t>https://storage.googleapis.com/deytha-prod/paymentBills/219DnjZ8qTjfHOEEjccS8grfb7ABG15rpLbLtTJO.png</t>
  </si>
  <si>
    <t>https://storage.googleapis.com/deytha-prod/supplierBills/dSMAFbeTTichw6HtfM2i623EhL7G84fnTSvhfArH.pdf</t>
  </si>
  <si>
    <t>2025-09-25 16:59:45</t>
  </si>
  <si>
    <t>2025-09-26 15:49:21</t>
  </si>
  <si>
    <t>2025-09-26 16:58:25</t>
  </si>
  <si>
    <t>MUNDO INDUSTRIAL Y CONSTRUCCION S.A.C.</t>
  </si>
  <si>
    <t>MUNDO INDUSTRIAL Y CONSTRUCCION-DOBLADORA
RQ-18 ELECTRICO</t>
  </si>
  <si>
    <t>2025-09-29 15:54:00</t>
  </si>
  <si>
    <t>https://storage.googleapis.com/deytha-prod/payments/t1Z6z4JbSXSbKTW3D2jpKtyNHq8gIQveG583r3eB.pdf</t>
  </si>
  <si>
    <t>https://storage.googleapis.com/deytha-prod/paymentBills/YdLlxzAbFjUtR8zCnhOsdu4JFUajAGjNu5XSH2fD.png</t>
  </si>
  <si>
    <t>https://storage.googleapis.com/deytha-prod/supplierBills/58yVFq4Ri5hc9EsTkLDlKqG9WouRiKlL6dU0i9nE.pdf</t>
  </si>
  <si>
    <t>2025-09-25 17:44:44</t>
  </si>
  <si>
    <t>2025-09-26 17:41:47</t>
  </si>
  <si>
    <t>OFIPAPEL-PERFORADOR DE 45 HOJAS Y UTILES DE OFICINA
RQ-24 RESIDENCIA / RQ-37 CIVIL / RQ-29 Y 30 SSOMA</t>
  </si>
  <si>
    <t>2025-09-29 15:48:00</t>
  </si>
  <si>
    <t>https://storage.googleapis.com/deytha-prod/payments/QSNHYpXvOuM4ljzMPNecZhW16xcUkHJuM7hDAVNa.pdf</t>
  </si>
  <si>
    <t>https://storage.googleapis.com/deytha-prod/paymentBills/zouOg724YrR1lSbl8XIwDCQ6tlMMtA2zapxD214b.png</t>
  </si>
  <si>
    <t>https://storage.googleapis.com/deytha-prod/supplierBills/cfamgZhWVd2WYDgGqA5sdsAgu8jWiX4uZNBNUxrj.pdf</t>
  </si>
  <si>
    <t>2025-09-26 13:52:29</t>
  </si>
  <si>
    <t>2025-09-27 13:52:24</t>
  </si>
  <si>
    <t>ALIMENTACION SEMANA 20 (MOQUEGUA ALMUERZOS) DEL 14/09 AL 20/09.</t>
  </si>
  <si>
    <t>2025-09-26 16:45:00</t>
  </si>
  <si>
    <t>https://storage.googleapis.com/deytha-prod/payments/svJLCyc8POt3v8OefRJFy64tI8U7Razetc3ylNmm.pdf</t>
  </si>
  <si>
    <t>https://storage.googleapis.com/deytha-prod/paymentBills/J0kd3sy8kKGYlXGAHpqlsTnMxBwz4i4ea7d6rIcS.png</t>
  </si>
  <si>
    <t>https://storage.googleapis.com/deytha-prod/supplierBills/FBsIz9Cj3Znhj6RKvmcJC3yfc2tBW7L1DL1IN4n0.png</t>
  </si>
  <si>
    <t>2025-09-26 14:25:05</t>
  </si>
  <si>
    <t>2025-09-25 14:25:05</t>
  </si>
  <si>
    <t>REEMBOLSO PARA ING WILNER DIAZ</t>
  </si>
  <si>
    <t>2025-10-03 11:18:23</t>
  </si>
  <si>
    <t>https://storage.googleapis.com/deytha-prod/payments/Pjc1CcU4WkqovXxKPMDsN7FMeAOdDbsiO9zR5zq1.pdf</t>
  </si>
  <si>
    <t>https://storage.googleapis.com/deytha-prod/payments/EolsPuFGgBvBZxuKMPGsku94h6HIyj9eHWlORNVD.pdf</t>
  </si>
  <si>
    <t>2025-09-26 14:25:03</t>
  </si>
  <si>
    <t>2025-09-02 14:25:03</t>
  </si>
  <si>
    <t>TRANSPORTE DE AREQUIPA A MOQUEGUA</t>
  </si>
  <si>
    <t>2025-10-03 11:15:35</t>
  </si>
  <si>
    <t>https://storage.googleapis.com/deytha-prod/payments/3txB8zDoUvOao8fc8hCa83HJb0u5lclQJJ3MzPFr.pdf</t>
  </si>
  <si>
    <t>https://storage.googleapis.com/deytha-prod/payments/omz0pxYXSM0jGvYX2Ba4fqJKISTEGQ5XmI3ExFtM.pdf</t>
  </si>
  <si>
    <t>2025-09-26 14:24:39</t>
  </si>
  <si>
    <t>2025-09-10 14:24:39</t>
  </si>
  <si>
    <t>COMPRA DE PAPEL FOTOCOPIA</t>
  </si>
  <si>
    <t>2025-10-03 11:18:19</t>
  </si>
  <si>
    <t>https://storage.googleapis.com/deytha-prod/payments/2dP9rfDbu8aUfED3eeL4nQOVSOyx2s4Nd5g7zExo.pdf</t>
  </si>
  <si>
    <t>https://storage.googleapis.com/deytha-prod/payments/fK7rL9JOPqQmRt6265c4We6qVCMf8eU0ep9ZrUHZ.pdf</t>
  </si>
  <si>
    <t>ENCOMIENDA LIMA MOQUEGUA </t>
  </si>
  <si>
    <t>2025-10-03 11:17:28</t>
  </si>
  <si>
    <t>https://storage.googleapis.com/deytha-prod/payments/8RWs0uyFYCvr0qkMSfSt4qQ1YsgDxai9TnoVcPYv.pdf</t>
  </si>
  <si>
    <t>https://storage.googleapis.com/deytha-prod/payments/auzalc3tU7MvSFiLy2I18ZKwhrxbFGkYquZVOuhB.pdf</t>
  </si>
  <si>
    <t>2025-09-03 14:24:39</t>
  </si>
  <si>
    <t>WOW TEL S.A.C.</t>
  </si>
  <si>
    <t>PAGO DE INTERNER CALLE ANTIGUA SAMEGUA</t>
  </si>
  <si>
    <t>2025-10-03 11:17:23</t>
  </si>
  <si>
    <t>https://storage.googleapis.com/deytha-prod/payments/Jkj9RIRhjqzRX6f4bQD9CrY7g4LOT4uBt6Dcq5vV.pdf</t>
  </si>
  <si>
    <t>https://storage.googleapis.com/deytha-prod/payments/31Awc1Va6gaG2stqC4iVeHghNtTRNE1PZhi17pRX.pdf</t>
  </si>
  <si>
    <t>2025-09-11 14:24:39</t>
  </si>
  <si>
    <t>COMPRA DE SUMINISTROS </t>
  </si>
  <si>
    <t>2025-10-03 11:16:06</t>
  </si>
  <si>
    <t>https://storage.googleapis.com/deytha-prod/payments/IHviMqQq5e7EqrxohHRKpbEJ0AYnKRgdGnbniky5.pdf</t>
  </si>
  <si>
    <t>https://storage.googleapis.com/deytha-prod/payments/Rqr9tQaFeTz739pLZNuznNa0M18tnUg0HT8glQCi.pdf</t>
  </si>
  <si>
    <t>2025-09-26 14:24:38</t>
  </si>
  <si>
    <t>2025-08-28 14:24:38</t>
  </si>
  <si>
    <t>TRASPORTE  DE CARGA POR CARRETERA  A NIVEL REGIONAL Y  NACIONAL</t>
  </si>
  <si>
    <t>2025-10-03 11:18:16</t>
  </si>
  <si>
    <t>https://storage.googleapis.com/deytha-prod/payments/ZQ4IPAgtU9lFA7tnTFnek3vNajnSSZF9fwLYzGJQ.pdf</t>
  </si>
  <si>
    <t>https://storage.googleapis.com/deytha-prod/payments/rIK4S3v6lkFxAcQmQQOAUkY2CbMehwL3Z0g7nsVN.pdf</t>
  </si>
  <si>
    <t>2025-09-26 14:24:35</t>
  </si>
  <si>
    <t>2025-08-07 14:24:35</t>
  </si>
  <si>
    <t>GEARTEC EIRL</t>
  </si>
  <si>
    <t>SERVICIO DE MECANIZADO DE PUNZONES</t>
  </si>
  <si>
    <t>2025-10-03 11:17:31</t>
  </si>
  <si>
    <t>https://storage.googleapis.com/deytha-prod/payments/4N0pgo105aBHdupv9SfSGuh39NV472g3KI3od2OM.pdf</t>
  </si>
  <si>
    <t>https://storage.googleapis.com/deytha-prod/payments/W5Vy08VXXAs7cmpOz9kimw59LPLZ5XjUSiWDeQJM.pdf</t>
  </si>
  <si>
    <t>2025-08-27 14:24:35</t>
  </si>
  <si>
    <t>REPSOL COMERCIAL SAC</t>
  </si>
  <si>
    <t>COMPRA DE DIESEL</t>
  </si>
  <si>
    <t>2025-10-03 11:18:13</t>
  </si>
  <si>
    <t>https://storage.googleapis.com/deytha-prod/payments/EX6cXI6iCBAN2facmM1QiCVuw3CkYaDcL4kWY7df.pdf</t>
  </si>
  <si>
    <t>https://storage.googleapis.com/deytha-prod/payments/NnHlhrR3t1tBljUEtyCZTyvDqXFNvmWuUqd66RMs.pdf</t>
  </si>
  <si>
    <t>2025-08-16 14:24:35</t>
  </si>
  <si>
    <t>SERVICIO DE ENCOMIENDA</t>
  </si>
  <si>
    <t>2025-10-03 11:17:34</t>
  </si>
  <si>
    <t>https://storage.googleapis.com/deytha-prod/payments/uCDFmSulfgSUZjrL0tqMe2HRWQ0Q6KfDgoytpY0c.pdf</t>
  </si>
  <si>
    <t>https://storage.googleapis.com/deytha-prod/payments/UR6VRxUpauNn58AqacY75e4Z75in07oWi6P2dZ3d.pdf</t>
  </si>
  <si>
    <t>2025-08-08 14:24:35</t>
  </si>
  <si>
    <t>IMPLEMENTO PARA PAGO DE TIERRA</t>
  </si>
  <si>
    <t>2025-10-03 11:17:37</t>
  </si>
  <si>
    <t>https://storage.googleapis.com/deytha-prod/payments/sE0Pys5FjfBOZ5DIRZFVlJcREMKy2sS5tcLWkaRn.pdf</t>
  </si>
  <si>
    <t>https://storage.googleapis.com/deytha-prod/payments/XHL3mOaGFEuJMA3mUx1TjrEQ2LGICPJiCcX7kgw0.pdf</t>
  </si>
  <si>
    <t>2025-08-26 14:24:35</t>
  </si>
  <si>
    <t>SERVICIO DE ENCOMIENDA DE LIMA - MOQUEGUA </t>
  </si>
  <si>
    <t>2025-10-03 11:17:39</t>
  </si>
  <si>
    <t>https://storage.googleapis.com/deytha-prod/payments/I2Qc5ZE5O5CrJrpYs0PHgPZyvjwGP6kLvPslyCXf.pdf</t>
  </si>
  <si>
    <t>https://storage.googleapis.com/deytha-prod/payments/CuyK8BvjeAa5MK0FB1vzXlV5FfkWpNuoqDEzwiPo.pdf</t>
  </si>
  <si>
    <t>2025-08-17 14:24:35</t>
  </si>
  <si>
    <t>SERVICENTRO LH SOCIEDAD COMERCIAL DE RESPONSABILIDAD LIMITADA - SERVICENTRO LH S.R.L.</t>
  </si>
  <si>
    <t>COMPRA DE COMBUSTIBLE</t>
  </si>
  <si>
    <t>2025-10-03 11:17:42</t>
  </si>
  <si>
    <t>https://storage.googleapis.com/deytha-prod/payments/lgBIlLQ5OipoTmeV9PhNIlHetUeqsnilCsoG6Pwt.pdf</t>
  </si>
  <si>
    <t>https://storage.googleapis.com/deytha-prod/payments/gtF8gbizozqrHYnVSHuCM5XasT9fVk29MhKjnBzL.pdf</t>
  </si>
  <si>
    <t>2025-09-26 14:24:34</t>
  </si>
  <si>
    <t>2025-08-23 14:24:34</t>
  </si>
  <si>
    <t>SERIVIO DE ENCOMIENDAS AREQUIPA - MOQUEGUA</t>
  </si>
  <si>
    <t>2025-10-03 11:18:00</t>
  </si>
  <si>
    <t>https://storage.googleapis.com/deytha-prod/payments/Rj0b56XZZjNh2iCm29eUQzIg06UV9tDcHoGCrwnz.pdf</t>
  </si>
  <si>
    <t>https://storage.googleapis.com/deytha-prod/payments/AvaxZoKaNtmz3Efz5XUzVTUcArlwiv6RmGGY3HY4.pdf</t>
  </si>
  <si>
    <t>2025-08-06 14:24:34</t>
  </si>
  <si>
    <t>SERVICIO DE ENCOMIENDA AREQUIPA  A MOQUEGUA</t>
  </si>
  <si>
    <t>2025-10-03 11:18:03</t>
  </si>
  <si>
    <t>https://storage.googleapis.com/deytha-prod/payments/A2vEok6Jx8GdVegwP85rAghQfzwz8RkMVhkYCzaC.pdf</t>
  </si>
  <si>
    <t>https://storage.googleapis.com/deytha-prod/payments/WG9FoE9aHFSm1XqRGifi9vjEhU9JZDlAHgn8og04.pdf</t>
  </si>
  <si>
    <t>2025-08-18 14:24:34</t>
  </si>
  <si>
    <t>FERRESERVIS ILIMITADOS SAN MARTIN E.I.R.L.</t>
  </si>
  <si>
    <t>COMPRA DE DISCO DIAMANTADO Y CORTE</t>
  </si>
  <si>
    <t>2025-10-03 11:18:06</t>
  </si>
  <si>
    <t>https://storage.googleapis.com/deytha-prod/payments/z6cxVRS0yPSw1BLAWClTbuZ5EVldUvIzTMX6yErR.pdf</t>
  </si>
  <si>
    <t>https://storage.googleapis.com/deytha-prod/payments/PDgSIMW4GvE6X3J8txCDc35mrPuSSF7l3Y3IxL3L.pdf</t>
  </si>
  <si>
    <t>2025-08-02 14:24:34</t>
  </si>
  <si>
    <t xml:space="preserve"> TRANSPORTE ARCE EXPRESS E.I.R.L.</t>
  </si>
  <si>
    <t>SERVICIO DE MOVILIDAD DE MOQUEGUA  - AREQUIPA</t>
  </si>
  <si>
    <t>2025-10-03 11:18:09</t>
  </si>
  <si>
    <t>https://storage.googleapis.com/deytha-prod/payments/ZzzgUSJNuRzKL6p61l7pV9EyhJt0vzckq5PMEeDh.pdf</t>
  </si>
  <si>
    <t>https://storage.googleapis.com/deytha-prod/payments/tMrc8euqrdu6t8g1Jith1olFf8GQH1yn3DuLmJ1L.pdf</t>
  </si>
  <si>
    <t>2025-09-26 14:24:33</t>
  </si>
  <si>
    <t>2025-08-20 14:24:33</t>
  </si>
  <si>
    <t>SERVICIO DE ENCOMIENDA MOQUE - AREQUIPA</t>
  </si>
  <si>
    <t>2025-10-03 11:17:49</t>
  </si>
  <si>
    <t>https://storage.googleapis.com/deytha-prod/payments/pQOuzm2J47WvUTgchytwdLd6QU2uTbsbuhXsIsX3.pdf</t>
  </si>
  <si>
    <t>https://storage.googleapis.com/deytha-prod/payments/O3gx6qlh5jvkgm6xbfMKJ36X3J9M9XxzfXFdbhWt.pdf</t>
  </si>
  <si>
    <t>2025-08-23 14:24:33</t>
  </si>
  <si>
    <t>EMPRESA DE TRANSPORTES PANAMERICANA SUR MOTAC S.A.</t>
  </si>
  <si>
    <t>SERVICIO DE TRANSPORTE DE ENCOMIENDA</t>
  </si>
  <si>
    <t>2025-10-03 11:17:52</t>
  </si>
  <si>
    <t>https://storage.googleapis.com/deytha-prod/payments/sS0rdZLnnMEUFZ5KDyfmJwUJcKwUUlaSg1CiUGMJ.pdf</t>
  </si>
  <si>
    <t>https://storage.googleapis.com/deytha-prod/payments/B1u25ESju96iAlkRNaiz4NoUB6V8HybIhFkt2R24.pdf</t>
  </si>
  <si>
    <t>2025-08-21 14:24:33</t>
  </si>
  <si>
    <t>EXPRESO GRAEL SOCIEDAD ANONIMA CERRADA</t>
  </si>
  <si>
    <t>SERVICIO DE TRANSPORTE LIMA A MOQUEGUA</t>
  </si>
  <si>
    <t>2025-10-03 11:17:56</t>
  </si>
  <si>
    <t>https://storage.googleapis.com/deytha-prod/payments/5y36eWydkaHJUrEl2dRw9ODRd2dArSq8UGKjFWkA.pdf</t>
  </si>
  <si>
    <t>https://storage.googleapis.com/deytha-prod/payments/CgzC4uxshMuYbP5aJ94sc5uKiCaXgfIb0dd9Gn4C.pdf</t>
  </si>
  <si>
    <t>2025-09-26 14:24:32</t>
  </si>
  <si>
    <t>2025-08-21 14:24:32</t>
  </si>
  <si>
    <t>SERVICIO DE ENCOMIENDA  MOQUEGUA AREQUIPA</t>
  </si>
  <si>
    <t>2025-10-03 11:17:45</t>
  </si>
  <si>
    <t>https://storage.googleapis.com/deytha-prod/payments/4gTT3nfgcsq1rB1RMmlftJUr8v0ZwHa8HOq7ElAT.pdf</t>
  </si>
  <si>
    <t>https://storage.googleapis.com/deytha-prod/payments/pxkhxjjORabbqRqP0JkBx3zNl6bSEVgZD0X3JaQi.pdf</t>
  </si>
  <si>
    <t>2025-09-26 14:03:45</t>
  </si>
  <si>
    <t>2025-09-26 14:11:11</t>
  </si>
  <si>
    <t>2025-09-27 14:03:36</t>
  </si>
  <si>
    <t xml:space="preserve">ALQUILER DE CAMABAJA PARA TRASLADO PARA INGRESO DE RETROEXCAVADORA MOQ-GARITA MOQ </t>
  </si>
  <si>
    <t>2025-10-10 19:52:00</t>
  </si>
  <si>
    <t>https://storage.googleapis.com/deytha-prod/payments/oskfsvo21QMYevhVGGBHHgukEiTUgBdUBwfNGBv6.pdf</t>
  </si>
  <si>
    <t>https://storage.googleapis.com/deytha-prod/paymentBills/rmfLnwwaUBj6mrxkpJk91mTSK2besW2oJGfBiDSF.pdf</t>
  </si>
  <si>
    <t>https://storage.googleapis.com/deytha-prod/supplierBills/uSSQWlwmdDMEAs5gP9dcn6PeCJZ70H4ppBewvPpE.pdf</t>
  </si>
  <si>
    <t>2025-09-26 14:09:05</t>
  </si>
  <si>
    <t>2025-09-27 15:08:07</t>
  </si>
  <si>
    <t xml:space="preserve">BECERRA QUISPE SERGIO ROGER </t>
  </si>
  <si>
    <t>430-08272229-0-00</t>
  </si>
  <si>
    <t xml:space="preserve">ALQUILER POR DOS DIAS DE SOGA DE 3/4 DE 120M Y DE 100M </t>
  </si>
  <si>
    <t>2025-10-01 20:05:00</t>
  </si>
  <si>
    <t>https://storage.googleapis.com/deytha-prod/payments/X9xjZRonaHyo3RaS4IKLza1MflecKW8y1tlnymhk.pdf</t>
  </si>
  <si>
    <t>https://storage.googleapis.com/deytha-prod/paymentBills/0EKtrKDuhiUWkvnFSARxylztiCYfcU19Z0AzEAb7.png</t>
  </si>
  <si>
    <t>https://storage.googleapis.com/deytha-prod/rqf/32043/8934d807-b1cb-4fb4-85b5-c35eedf311bc_Factura-20613784307-E001-8.pdf</t>
  </si>
  <si>
    <t>2025-09-19 18:39:28</t>
  </si>
  <si>
    <t>2025-09-26 08:08:05</t>
  </si>
  <si>
    <t>2025-09-20 13:38:55</t>
  </si>
  <si>
    <t>COMBUSTIBLE DEL 01 AL 06 DE SEPTIEMBRE</t>
  </si>
  <si>
    <t>2025-09-26 20:03:00</t>
  </si>
  <si>
    <t>https://storage.googleapis.com/deytha-prod/payments/SAlnPPZcE5qkeCdzOhPfO9YiyKuOWvnDGvo9uqB0.pdf</t>
  </si>
  <si>
    <t>https://storage.googleapis.com/deytha-prod/paymentBills/D11QdjfZJ2M8vw1fZuS9sGmEw74u53VqkuaGDo3p.png</t>
  </si>
  <si>
    <t>https://storage.googleapis.com/deytha-prod/supplierBills/54FF0k2NPfinsMAQ6VjpMWAgCafGqbocro8njc4J.pdf</t>
  </si>
  <si>
    <t>2025-09-24 18:26:52</t>
  </si>
  <si>
    <t>2025-09-26 09:26:50</t>
  </si>
  <si>
    <t>ASOFATEL AISLADORES Y MAS
RQ-17 ELECTRICO</t>
  </si>
  <si>
    <t>2025-09-30 18:46:00</t>
  </si>
  <si>
    <t>https://storage.googleapis.com/deytha-prod/payments/azvswGTDwX7hescqMIWj1GqWnWMZBkQMQjYUhWwT.pdf</t>
  </si>
  <si>
    <t>https://storage.googleapis.com/deytha-prod/paymentBills/0SBwkSLBQh3q4r3WCsAhyQEIo6eGF6OgsHx4a1gr.png</t>
  </si>
  <si>
    <t>https://storage.googleapis.com/deytha-prod/supplierBills/bDXBrWm9Obinvrv4EO0F6IPjnqKfk3mwfwr37X43.pdf</t>
  </si>
  <si>
    <t>2025-09-25 17:13:12</t>
  </si>
  <si>
    <t>2025-09-26 17:13:06</t>
  </si>
  <si>
    <t xml:space="preserve">EDIPESA </t>
  </si>
  <si>
    <t>193-131-3001-0-36</t>
  </si>
  <si>
    <t>EDIPESA-TALADRO MAGNETICO
RQ- 22 ELECTRICO</t>
  </si>
  <si>
    <t>2025-09-26 14:54:00</t>
  </si>
  <si>
    <t>https://storage.googleapis.com/deytha-prod/payments/9hq8AvqhgbdWNP8U0H4Ru9DeXI7i8YhMlYjnne2q.pdf</t>
  </si>
  <si>
    <t>https://storage.googleapis.com/deytha-prod/paymentBills/UJBfJbIXWvdePbtXsk9WIVctJJkLxdctUroEBUJm.png</t>
  </si>
  <si>
    <t>https://storage.googleapis.com/deytha-prod/supplierBills/EcT4rFkMr8P81NUKvRBfoK9oEzX1wSSKa8g15et2.pdf</t>
  </si>
  <si>
    <t>2025-09-25 18:02:01</t>
  </si>
  <si>
    <t>2025-09-26 18:00:51</t>
  </si>
  <si>
    <t>GRUPO ELECTRÓGENO CABINADO, POTENCIA
72KW (GEP 100), MARCA CATERPILLAR
(ALQUILER POR 1MES)</t>
  </si>
  <si>
    <t>2025-09-26 20:07:00</t>
  </si>
  <si>
    <t>https://storage.googleapis.com/deytha-prod/payments/f5N50038QTcSidWOnnSwjRSYsUwtfi6jvwCuRI0c.pdf</t>
  </si>
  <si>
    <t>https://storage.googleapis.com/deytha-prod/paymentBills/MzNXagZbFP1aYFOWCuOJa6a4pT71cB8q8TEoeFny.pdf</t>
  </si>
  <si>
    <t>https://storage.googleapis.com/deytha-prod/supplierBills/q9LDkgkOM7rRckhz8bpGkSIxT0oYgK51PEAL7BPL.pdf</t>
  </si>
  <si>
    <t>2025-09-24 15:52:10</t>
  </si>
  <si>
    <t>2025-09-25 10:27:38</t>
  </si>
  <si>
    <t>2025-09-25 15:51:54</t>
  </si>
  <si>
    <t>VARILLA DE COBRE-CABLE DESNUDO-TERMINAL
RQ - 28 SSOMA</t>
  </si>
  <si>
    <t>2025-09-25 18:48:00</t>
  </si>
  <si>
    <t>https://storage.googleapis.com/deytha-prod/payments/Aa2TnqTrwclkNPGybc2uuY0GO1ziHXiCql6LnMa5.pdf</t>
  </si>
  <si>
    <t>https://storage.googleapis.com/deytha-prod/paymentBills/j8xmSpAxGwDt8tUd92n0lIDUH29ul3B9slgBe6q4.png</t>
  </si>
  <si>
    <t>https://storage.googleapis.com/deytha-prod/supplierBills/RgEkZqCdAvDfwfvNfeREATkciI8UGlrtd1G3DV4N.pdf</t>
  </si>
  <si>
    <t>2025-09-24 17:21:59</t>
  </si>
  <si>
    <t>2025-09-25 17:18:42</t>
  </si>
  <si>
    <t xml:space="preserve">TUBO-PLATINA-CANAL UARK_250622549-TUBO-PLATINA-CANAL U
RQ-18 / RQ-22 ELECTRICO </t>
  </si>
  <si>
    <t>2025-09-25 16:17:00</t>
  </si>
  <si>
    <t>https://storage.googleapis.com/deytha-prod/payments/iW5bqogV4f40MuASphq36uWR446s8BrWetuAg7nZ.jpg</t>
  </si>
  <si>
    <t>https://storage.googleapis.com/deytha-prod/paymentBills/tEhM47QixQ0MjwmnyMtwOtWnzsZHbYMWsUkSi6M5.png</t>
  </si>
  <si>
    <t>https://storage.googleapis.com/deytha-prod/supplierBills/0VfOpkS0iHwkgSPdOQ3cyl3TBh5j0iCMUGUn8sAs.pdf</t>
  </si>
  <si>
    <t>2025-09-25 09:10:08</t>
  </si>
  <si>
    <t>2025-09-25 09:59:24</t>
  </si>
  <si>
    <t>2025-09-26 09:09:47</t>
  </si>
  <si>
    <t xml:space="preserve">VALORIZACION PAGO NRO 02 INGENIERO DE COMUNICACIONES (ESPECIALISTA) Datos de cuentas Bancarias:
BANCOS EN ESTADOS UNIDOS DE AMERICA:  
BANK OF AMERICA  
3025 NW 87th ave  
Galloway Road, Miami, FL 33172 
Phone: 1-305-591-0302  
Swift: BOFAUS3N  
ABA: 026009593  
ACH Routing  
Number: 063100277  
Nombre: Regi Eugenio Delgadillo  
Numero de cuenta: 8980 8518 0380  
Direccion: 6320 SW, 26th ST, Miami, FL 33155-3013  
Telefono: 1-305-647-5490 </t>
  </si>
  <si>
    <t>2025-09-25 14:00:00</t>
  </si>
  <si>
    <t>https://storage.googleapis.com/deytha-prod/paymentBills/KPReQDVTWcJLNF4m6tzERa0kNsqe7y3Rgkwg2mly.png</t>
  </si>
  <si>
    <t>https://storage.googleapis.com/deytha-prod/supplierBills/70CdSHNKvmffFgrMoUvmVYRkWzle5jGJXS7LQaEn.pdf</t>
  </si>
  <si>
    <t>2025-09-24 17:07:00</t>
  </si>
  <si>
    <t>2025-09-24 22:30:34</t>
  </si>
  <si>
    <t>2025-09-25 17:06:16</t>
  </si>
  <si>
    <t>T 
CODOS 
CAP TAPONES 
ACERO FUNDIDO 
AREA MECANICA</t>
  </si>
  <si>
    <t>2025-09-25 11:52:00</t>
  </si>
  <si>
    <t>https://storage.googleapis.com/deytha-prod/payments/p5INZwcub502J0Sd7W8pOSVXK0djqEmCqOUOxaNj.jpg</t>
  </si>
  <si>
    <t>https://storage.googleapis.com/deytha-prod/paymentBills/TPSPFjvBfA0IcPnZgHkDjmGe1hvINzijUfGK66Fd.png</t>
  </si>
  <si>
    <t>https://storage.googleapis.com/deytha-prod/supplierBills/OPfXhjojuWC0vI7pcDpLQRt8XFmnR2qbJ5zzGmWT.pdf</t>
  </si>
  <si>
    <t>2025-09-24 15:51:44</t>
  </si>
  <si>
    <t>2025-09-24 16:02:06</t>
  </si>
  <si>
    <t>2025-09-25 15:51:40</t>
  </si>
  <si>
    <t>Alquiler de equipo telurómetro MTD20KWE marca
Megabras incluye certificado de calibración</t>
  </si>
  <si>
    <t>2025-09-24 16:31:00</t>
  </si>
  <si>
    <t>https://storage.googleapis.com/deytha-prod/payments/jUf7ytDVb3SHT9dBqwgYaJTS69maLJJkUvOcl7ZV.pdf</t>
  </si>
  <si>
    <t>https://storage.googleapis.com/deytha-prod/paymentBills/t0izad6PJfe8a3IFV4PANtAheMZjoOPmFlOYfVi9.png</t>
  </si>
  <si>
    <t>https://storage.googleapis.com/deytha-prod/supplierBills/98s3Nd1MmGwGnkpdFaCH0DdpQ3uyVOh6H7HEZJ7m.pdf</t>
  </si>
  <si>
    <t>2025-09-23 14:43:20</t>
  </si>
  <si>
    <t>2025-09-24 13:52:47</t>
  </si>
  <si>
    <t>2025-09-24 14:42:46</t>
  </si>
  <si>
    <t>VIAJE EN VUELO PERSONAL JHAN SILVA, AUTORIZADO POR WILMER DIAZ</t>
  </si>
  <si>
    <t>2025-09-26 17:38:00</t>
  </si>
  <si>
    <t>https://storage.googleapis.com/deytha-prod/paymentBills/khOELDpTKwLGzfzuCiByJyZkFfxifG3Sc2EiBdvP.png</t>
  </si>
  <si>
    <t>https://storage.googleapis.com/deytha-prod/supplierBills/bnEg5sCOoRX4a3jPeOTiA2tYs6INbLINuoSvTd5p.pdf</t>
  </si>
  <si>
    <t>2025-09-23 16:14:15</t>
  </si>
  <si>
    <t>2025-09-24 16:14:03</t>
  </si>
  <si>
    <t>UTILES DE OFICINA
RQ 28 SSOMA</t>
  </si>
  <si>
    <t>2025-09-24 18:28:00</t>
  </si>
  <si>
    <t>https://storage.googleapis.com/deytha-prod/payments/PXXfLk8m7jIdZNz8DxtVnaKj6FhnjLeWRkm0iThs.pdf</t>
  </si>
  <si>
    <t>https://storage.googleapis.com/deytha-prod/paymentBills/Ztxw0BdJyua1Net1UB8r04Dg0daCpeoB5rzCymB7.png</t>
  </si>
  <si>
    <t>https://storage.googleapis.com/deytha-prod/supplierBills/6a76vBu4U93Ho3hOvmbcWOiJXvlaXpPpp70MEfkw.pdf</t>
  </si>
  <si>
    <t>2025-09-24 08:01:10</t>
  </si>
  <si>
    <t>2025-09-25 08:00:14</t>
  </si>
  <si>
    <t>DAICOM S.A.C.</t>
  </si>
  <si>
    <t xml:space="preserve">SERVICIO DE CALIBRACION DE DETECTOR DE GASES
</t>
  </si>
  <si>
    <t>2025-09-24 18:32:00</t>
  </si>
  <si>
    <t>https://storage.googleapis.com/deytha-prod/payments/8mve06HNi83LwL09bQmLqGghxCun6qHkzRZbyzJS.pdf</t>
  </si>
  <si>
    <t>https://storage.googleapis.com/deytha-prod/paymentBills/D5JG4f9R7unCTOHhvCr9fC6llFQZI5pnABEOIhrr.png</t>
  </si>
  <si>
    <t>https://storage.googleapis.com/deytha-prod/supplierBills/rZIifC4A8NGsQeJFVx09wABCBTN8AGd3bAWQuGSO.pdf</t>
  </si>
  <si>
    <t>2025-09-23 11:23:29</t>
  </si>
  <si>
    <t>2025-09-24 12:19:58</t>
  </si>
  <si>
    <t>2025-09-24 11:22:40</t>
  </si>
  <si>
    <t>215-78134776-0-11</t>
  </si>
  <si>
    <t>TRANSPORTE DE MATERIALES DE ACERO - AREQUIPA A MOQUEGUA
NOTA: PROVEEDOR PRESENTARA RECIBO POR HONORARIO</t>
  </si>
  <si>
    <t>2025-09-24 12:41:00</t>
  </si>
  <si>
    <t>https://storage.googleapis.com/deytha-prod/payments/f47IcUMbYc9KU5x5L8H7CaYevSfCjF0PZ064vFme.pdf</t>
  </si>
  <si>
    <t>https://storage.googleapis.com/deytha-prod/paymentBills/IoVJJ57baWk2jYQhLaMeHQoWtoNhNwhJMbg8KQ5P.png</t>
  </si>
  <si>
    <t>https://storage.googleapis.com/deytha-prod/supplierBills/LyiKeXUh4LF8UxjfjllKra7dVEW3xDRrOpSDRJS9.pdf</t>
  </si>
  <si>
    <t>2025-08-19 14:08:40</t>
  </si>
  <si>
    <t>2025-09-24 09:55:46</t>
  </si>
  <si>
    <t>2025-09-03 09:07:00</t>
  </si>
  <si>
    <t>Pago RQF-D:347(2 / 2) | REQ - SISTEMA CONTRA INCENDIOS</t>
  </si>
  <si>
    <t>2025-09-26 18:55:00</t>
  </si>
  <si>
    <t>https://storage.googleapis.com/deytha-prod/payments/HjgUSglkkAOOIxVkh1zzCMRakwzaq4oA7ivtlaIi.pdf</t>
  </si>
  <si>
    <t>https://storage.googleapis.com/deytha-prod/paymentBills/yF80kM06ad7LEHZRpwRUL641UbXDGSfjly5IlTcq.pdf</t>
  </si>
  <si>
    <t>https://storage.googleapis.com/deytha-prod/supplierBills/oxcLaZ87j3YMKCcNRz3wRGQT9bagLXBLSYqU85YM.pdf</t>
  </si>
  <si>
    <t>2025-09-19 18:57:12</t>
  </si>
  <si>
    <t>2025-09-24 07:23:01</t>
  </si>
  <si>
    <t>2025-09-20 13:57:07</t>
  </si>
  <si>
    <t xml:space="preserve"> Servicio De Alquiler De Rodillo Chicago 
Pneumatic
POR 10 DIAS 
PERIODO DEL 02-09-25 AL 12-09-25 </t>
  </si>
  <si>
    <t>2025-09-24 17:17:00</t>
  </si>
  <si>
    <t>https://storage.googleapis.com/deytha-prod/payments/meShmLvRiqtS60knvnbvPQRHJ0d26mqQpq3Lnj5n.pdf</t>
  </si>
  <si>
    <t>https://storage.googleapis.com/deytha-prod/paymentBills/NXNubHKT6nbKCZ5B5FoHSVhN9Jomq5Jh4JxsdiYV.png</t>
  </si>
  <si>
    <t>https://storage.googleapis.com/deytha-prod/supplierBills/w5MvqbZkXqWoo0jVl13flsLF0Jf4UqdXof7TQ3Ex.pdf</t>
  </si>
  <si>
    <t>2025-09-20 12:55:56</t>
  </si>
  <si>
    <t>2025-09-21 07:54:58</t>
  </si>
  <si>
    <t xml:space="preserve">CEMENTO CONDUCTIVO 
BENTONITA 
PACH DOSIS
REQ 01 ADIC - ELECTRICO
</t>
  </si>
  <si>
    <t>2025-09-29 18:41:00</t>
  </si>
  <si>
    <t>https://storage.googleapis.com/deytha-prod/payments/fzMR6lcSHU3qxjr1Varj5cAjiukwMkSssdVqZ775.pdf</t>
  </si>
  <si>
    <t>https://storage.googleapis.com/deytha-prod/paymentBills/wMifrsVFicCYRmJaOKqXHKnBZWHJ7nIz8dp83cFg.png</t>
  </si>
  <si>
    <t>https://storage.googleapis.com/deytha-prod/supplierBills/5ZfQkLpMy0XhMLmENY3V7nEEQi7LzRHAh5kRMbGH.pdf</t>
  </si>
  <si>
    <t>2025-09-20 17:02:56</t>
  </si>
  <si>
    <t>2025-09-20 11:59:23</t>
  </si>
  <si>
    <t xml:space="preserve">JUEGO DE DADOS Y DISCO DE DESVASTE 
RQ-  22 ELECTRICO </t>
  </si>
  <si>
    <t>2025-09-25 18:41:00</t>
  </si>
  <si>
    <t>https://storage.googleapis.com/deytha-prod/payments/XFnukZHTePmDMipMA5H8FGcPBDRAKHW3phs1ARrv.pdf</t>
  </si>
  <si>
    <t>https://storage.googleapis.com/deytha-prod/paymentBills/1dse3lHAGlm42HFzC58UnMAReAZtOxaktptBvxMB.png</t>
  </si>
  <si>
    <t>https://storage.googleapis.com/deytha-prod/supplierBills/fZAYDLcmUzF0AYaAyBvv3HBJ6VIzvw6MX2S8AiNH.pdf</t>
  </si>
  <si>
    <t>2025-09-20 19:28:46</t>
  </si>
  <si>
    <t>2025-09-20 14:23:55</t>
  </si>
  <si>
    <t xml:space="preserve">ZAPATO DE SEGURIDAD Y CARBONES PARA DEMOLEDOR
RQ- 22 ELECTRICO 36 CIVIL 22 SSOMA </t>
  </si>
  <si>
    <t>2025-09-25 18:45:00</t>
  </si>
  <si>
    <t>https://storage.googleapis.com/deytha-prod/payments/DaKK9C14A2bYUd9srvrm1I1KuDatA6B0kdC1NtC2.pdf</t>
  </si>
  <si>
    <t>https://storage.googleapis.com/deytha-prod/paymentBills/BK8wD3LSxVddkUkinc7s2Gxy06NJpzeb4Pvk9ECp.png</t>
  </si>
  <si>
    <t>https://storage.googleapis.com/deytha-prod/supplierBills/HYYqgkIEaisYIRXkx3s4gKe0u98CTiVoap5vOFBR.pdf</t>
  </si>
  <si>
    <t>2025-09-23 16:08:26</t>
  </si>
  <si>
    <t>2025-09-24 16:07:57</t>
  </si>
  <si>
    <t>SAYRI RRQ E.I.R.L.</t>
  </si>
  <si>
    <t>HAUK LINEA DE VIDA_ARNES Y MOSQUETON
RQ 28 SSOMA</t>
  </si>
  <si>
    <t>2025-09-24 18:38:00</t>
  </si>
  <si>
    <t>https://storage.googleapis.com/deytha-prod/payments/VhDws6ycYlDgHGlVUsQsxE7OqLXlFa1aKVw9oy7c.pdf</t>
  </si>
  <si>
    <t>https://storage.googleapis.com/deytha-prod/paymentBills/rn9fDtt0lonpgBvEWNomoHPxs4nIBkA6G3qUhDUC.png</t>
  </si>
  <si>
    <t>https://storage.googleapis.com/deytha-prod/supplierBills/vLXO6AMT8KsBEndrXnvOv2wx54o5f1HH1I4wXOYg.pdf</t>
  </si>
  <si>
    <t>2025-09-23 19:59:47</t>
  </si>
  <si>
    <t>2025-09-18 17:56:00</t>
  </si>
  <si>
    <t xml:space="preserve">Pago RQF-D:373(1 / 2) | LUMINARIAS HERMETICAS 
INTERIRO 
EXTERIOR </t>
  </si>
  <si>
    <t>2025-10-10 19:40:00</t>
  </si>
  <si>
    <t>https://storage.googleapis.com/deytha-prod/paymentBills/X22xLjHtKfPqfbijXkTN0yev7Gc7d4yqJ2BY4rGg.png</t>
  </si>
  <si>
    <t>https://storage.googleapis.com/deytha-prod/rqf/31084/baf43b2c-3cfc-49f7-a826-de4a9c279c13_31085 - 31084 - F001-447 - LUMINARIAS.pdf</t>
  </si>
  <si>
    <t>2025-09-23 13:08:09</t>
  </si>
  <si>
    <t>2025-09-23 16:31:14</t>
  </si>
  <si>
    <t>2025-09-23 14:08:03</t>
  </si>
  <si>
    <t>PAGO POR EMO DE CALDERON BENAVIDES DIEGO RODRIGO MARTIN</t>
  </si>
  <si>
    <t>2025-09-24 08:55:00</t>
  </si>
  <si>
    <t>https://storage.googleapis.com/deytha-prod/payments/z5uNBVmlDyczjajeOI1AsyiLqEjX6cgLmi4zoDYU.png</t>
  </si>
  <si>
    <t>https://storage.googleapis.com/deytha-prod/paymentBills/fEYfaEmnTRmEt6MyHDLnLOG4VTEpUX6NR1N5xQo6.png</t>
  </si>
  <si>
    <t>https://storage.googleapis.com/deytha-prod/supplierBills/94VezwwqdFVAEUmOomjFqTDDMpy8UqpPMGnryzKn.pdf</t>
  </si>
  <si>
    <t>2025-09-23 14:06:25</t>
  </si>
  <si>
    <t>2025-09-23 14:24:51</t>
  </si>
  <si>
    <t>2025-09-24 14:05:00</t>
  </si>
  <si>
    <t xml:space="preserve">RAFAEL CENTON ALEXANDER </t>
  </si>
  <si>
    <t>430-12748097-0-77</t>
  </si>
  <si>
    <t xml:space="preserve">Reembolso de los gastos de traslado del trabajador Alexander Rafael Centón realizados en los controles médicos de los días 05, 11 y 19 de setiembre.
El costo incluye pasajes de ida y vuelta Tacna – Moquegua x 60 soles x 3 fechas = 180 soles </t>
  </si>
  <si>
    <t>2025-10-01 10:43:00</t>
  </si>
  <si>
    <t>https://storage.googleapis.com/deytha-prod/paymentBills/fwvXydGYBOa3sJJtGz9Yk3pFkyAo9oa1UGvFh52w.png</t>
  </si>
  <si>
    <t>https://storage.googleapis.com/deytha-prod/supplierBills/M6ywyY3jwKHqngjBcwvStJPPRVzQAVlANzhkNk1I.pdf</t>
  </si>
  <si>
    <t>2025-09-23 13:11:26</t>
  </si>
  <si>
    <t>OBREGON LEON DAHANA ANTHUANET</t>
  </si>
  <si>
    <t>430-08272067-0-36</t>
  </si>
  <si>
    <t>2025-09-26 19:15:00</t>
  </si>
  <si>
    <t>https://storage.googleapis.com/deytha-prod/worker/settle/rEwcyNb0PeNhabP8uncvowc8sR3u3e5QRY49G3ZV.pdf</t>
  </si>
  <si>
    <t>https://storage.googleapis.com/deytha-prod/paymentBills/GS4q9BmqdHDeIQmXZloDkTbQ33uuFmr2djW4rqnE.pdf</t>
  </si>
  <si>
    <t>2025-09-23 13:03:43</t>
  </si>
  <si>
    <t>https://storage.googleapis.com/deytha-prod/worker/settle/mUcSuUVRpsyNrgY6RjoBahLVnI3cDNaZCQsUW2Ih.pdf</t>
  </si>
  <si>
    <t>https://storage.googleapis.com/deytha-prod/paymentBills/tYWN6lphoYScS7v7WQT26RWasfzSRNjDy8YanL0I.pdf</t>
  </si>
  <si>
    <t>2025-09-20 22:15:03</t>
  </si>
  <si>
    <t>2025-09-23 10:40:49</t>
  </si>
  <si>
    <t>2025-09-20 17:12:28</t>
  </si>
  <si>
    <t>DISTRIBUCIONES RINOPERNO E.I.R.L.</t>
  </si>
  <si>
    <t xml:space="preserve">PERNO HEXAGONAL Y VARILLA ROSCADO
RQ- 21 ELECTRICO </t>
  </si>
  <si>
    <t>2025-09-23 12:13:00</t>
  </si>
  <si>
    <t>https://storage.googleapis.com/deytha-prod/payments/d7dbifOZjPAJPYAAQ81PZdCSHjYhjKAPuocmDBxA.pdf</t>
  </si>
  <si>
    <t>https://storage.googleapis.com/deytha-prod/paymentBills/NyKQS1aKox2Ypc2TC3AHYY76JlS8L0Basi2jVOMN.png</t>
  </si>
  <si>
    <t>https://storage.googleapis.com/deytha-prod/supplierBills/KXndGt5cDaDgeJfBpaCbysu1tlzprdGJVkZRiigR.pdf</t>
  </si>
  <si>
    <t>2025-09-23 09:23:08</t>
  </si>
  <si>
    <t>2025-09-24 09:23:06</t>
  </si>
  <si>
    <t xml:space="preserve">TRASLADO DE PERSONAL CUAJONE - MOQ </t>
  </si>
  <si>
    <t>2025-09-23 16:31:00</t>
  </si>
  <si>
    <t>https://storage.googleapis.com/deytha-prod/payments/Wh4ROIgEDuC77dkrM7pmgZ7oBKPJkupPoqOclhOm.xlsx</t>
  </si>
  <si>
    <t>https://storage.googleapis.com/deytha-prod/paymentBills/sKy6irAnvGsUacYVn4Je0hpEzOc3R0zA7vsCqV3n.png</t>
  </si>
  <si>
    <t>https://storage.googleapis.com/deytha-prod/supplierBills/JKAftUbFZRpcn0nfSxL9iq61jRtmsKRqFAp3sGm1.pdf</t>
  </si>
  <si>
    <t>2025-09-19 19:50:51</t>
  </si>
  <si>
    <t>2025-09-20 13:58:43</t>
  </si>
  <si>
    <t>2025-09-19 14:50:38</t>
  </si>
  <si>
    <t xml:space="preserve">SERVICIO DE ALQUILER DE VIBROAPISONADOR TIPO CANGURO DE 1 DESETIEMBRE - 13 DE SETIEMBRE 
RQ- 30 CIVIL </t>
  </si>
  <si>
    <t>2025-09-24 17:13:00</t>
  </si>
  <si>
    <t>https://storage.googleapis.com/deytha-prod/payments/8zpos72okx5j6JExhVSC1iw8akYKkj7KwlsrxUGA.pdf</t>
  </si>
  <si>
    <t>https://storage.googleapis.com/deytha-prod/paymentBills/U5nMaSNGduK4V9ME7y3W6HjMJKa0HmBgynzVXnj3.png</t>
  </si>
  <si>
    <t>https://storage.googleapis.com/deytha-prod/supplierBills/vaoasR5C1JMzzRfllLNrFmxMg7G10VaspeFnUm1t.pdf</t>
  </si>
  <si>
    <t>2025-09-19 20:54:54</t>
  </si>
  <si>
    <t>2025-09-19 15:37:17</t>
  </si>
  <si>
    <t xml:space="preserve">TRIPLEY FENOLICO FIL FACE MARRON BUILDPLEX Y MADERA 
RQ- 36 CIVIL </t>
  </si>
  <si>
    <t>2025-09-24 18:35:00</t>
  </si>
  <si>
    <t>https://storage.googleapis.com/deytha-prod/payments/UXD1iGuxSDNEYGTuGYnh2YCYVF61zCD1SiRpVwsj.pdf</t>
  </si>
  <si>
    <t>https://storage.googleapis.com/deytha-prod/paymentBills/99WYdjCEDeBg9ByTIeJBba97KASh0eFcdn3G7qq6.png</t>
  </si>
  <si>
    <t>https://storage.googleapis.com/deytha-prod/supplierBills/nBETk63pCzQrgRrXxWawi4zk5LE5fX1yv4Levw0H.pdf</t>
  </si>
  <si>
    <t>2025-09-19 22:23:09</t>
  </si>
  <si>
    <t>2025-09-20 13:46:31</t>
  </si>
  <si>
    <t>2025-09-19 17:19:07</t>
  </si>
  <si>
    <t xml:space="preserve">BROCA SDS PLUS Y LOCTITE, MENEKES 
RQ- 36 CIVIL </t>
  </si>
  <si>
    <t>2025-09-25 18:38:00</t>
  </si>
  <si>
    <t>https://storage.googleapis.com/deytha-prod/payments/gSS5FmsAZ84t9aQuqOTz4cvIAHB6vxNgSuBzsS2b.pdf</t>
  </si>
  <si>
    <t>https://storage.googleapis.com/deytha-prod/paymentBills/F8Jjv6SSpnIpxJjVX60MGZ85pmLEdQPOZjJsHFf0.png</t>
  </si>
  <si>
    <t>https://storage.googleapis.com/deytha-prod/supplierBills/K2uKjOkpKF9BYndDapH4uohzCGJzis3VcVWgm3xN.pdf</t>
  </si>
  <si>
    <t>2025-09-20 14:17:25</t>
  </si>
  <si>
    <t>2025-09-21 09:17:09</t>
  </si>
  <si>
    <t>CONDEMAYTA CALIZAYA JOSE LUIS</t>
  </si>
  <si>
    <t>GASTOS VARIOS DEL PERSONAL JOSE LUIS CONDEMAYTA</t>
  </si>
  <si>
    <t>2025-11-11 10:17:00</t>
  </si>
  <si>
    <t>https://storage.googleapis.com/deytha-prod/payments/TKmAzoJSNV5XDYqVbj6poVGqc3FAVDlgA68B6Ro4.pdf</t>
  </si>
  <si>
    <t>https://storage.googleapis.com/deytha-prod/paymentBills/jN31M1Ud273tW0BnyeM4iALY9Oc6PqCyBvZwuBjW.png</t>
  </si>
  <si>
    <t>https://storage.googleapis.com/deytha-prod/supplierBills/e3vlNmFPpKfGkLhIyTV9OiHvEjNNFIgK8gpRTW8Z.pdf</t>
  </si>
  <si>
    <t>2025-09-20 00:43:40</t>
  </si>
  <si>
    <t>2025-09-19 19:43:40</t>
  </si>
  <si>
    <t>2025-09-24 16:50:00</t>
  </si>
  <si>
    <t>https://storage.googleapis.com/deytha-prod/worker/settle/1pOCGYmEUbIBHtNidpmMxn8S0ol98GQFq5SfyEWK.pdf</t>
  </si>
  <si>
    <t>https://storage.googleapis.com/deytha-prod/paymentBills/x5RJFZIVt0GfnhX2mIyFRw0DbBJGLp2FWIIizxbo.png</t>
  </si>
  <si>
    <t>2025-09-20 00:13:38</t>
  </si>
  <si>
    <t>2025-09-19 19:13:38</t>
  </si>
  <si>
    <t>AVALOS ORTEGA YEISON VICTOR</t>
  </si>
  <si>
    <t>430-08272051-0-20</t>
  </si>
  <si>
    <t>https://storage.googleapis.com/deytha-prod/worker/settle/EBOTq6SSHQl65c4mGIo0OO6Fa5hLl5cBeDjOAucJ.pdf</t>
  </si>
  <si>
    <t>https://storage.googleapis.com/deytha-prod/paymentBills/67HCkiZ1A0bUqo23gO9n68Vhg5AJZfuNhtjg8yzy.pdf</t>
  </si>
  <si>
    <t>2025-09-19 15:50:58</t>
  </si>
  <si>
    <t>2025-09-19 16:15:20</t>
  </si>
  <si>
    <t>2025-09-19 11:50:49</t>
  </si>
  <si>
    <t xml:space="preserve">PAGO POR EMO DE LUQUE RAMIREZ OSCAR RAUL
</t>
  </si>
  <si>
    <t>2025-09-19 16:24:00</t>
  </si>
  <si>
    <t>https://storage.googleapis.com/deytha-prod/payments/8wmSc76tdaTUCBaFEPgTy5PrCsuWufqVD75MIrDt.xlsx</t>
  </si>
  <si>
    <t>https://storage.googleapis.com/deytha-prod/paymentBills/J9aSyLVY2Trg0gvX0epowkH0JTnWVfusuBIvjKj1.png</t>
  </si>
  <si>
    <t>https://storage.googleapis.com/deytha-prod/supplierBills/rlw3JO7LGAL9jhJ6ZUaPpRkpVVHI9bM3QU4GgQaR.pdf</t>
  </si>
  <si>
    <t>2025-09-19 15:32:46</t>
  </si>
  <si>
    <t>2025-09-19 12:12:31</t>
  </si>
  <si>
    <t>2025-09-20 10:32:43</t>
  </si>
  <si>
    <t>VIATICOS SOBRE EL TRASLADO DE BUS AREQUIPA MOQUEGUA-MOQUEGUA AREQUIA (PERSONAL LUIS ZANGA)</t>
  </si>
  <si>
    <t>2025-09-26 17:35:00</t>
  </si>
  <si>
    <t>https://storage.googleapis.com/deytha-prod/payments/IWv6EpKPiuZBiCXd1RcuMebVEkidArgVwaIdkhxN.pdf</t>
  </si>
  <si>
    <t>https://storage.googleapis.com/deytha-prod/paymentBills/5bzfLnVxEX00hdpSRQ8mQc1bOElH3c16mNQVdQty.png</t>
  </si>
  <si>
    <t>https://storage.googleapis.com/deytha-prod/supplierBills/B42dp2mXiMciYdMXboz7zIimtXNIbmfnti4FgPQk.pdf</t>
  </si>
  <si>
    <t>2025-09-19 15:37:24</t>
  </si>
  <si>
    <t>2025-09-20 10:37:05</t>
  </si>
  <si>
    <t>2025-09-19 16:20:00</t>
  </si>
  <si>
    <t>https://storage.googleapis.com/deytha-prod/payments/NZYFCbqaZAtcvzb6KwJXRcfXi0YyARWkGNlf9Kke.pdf</t>
  </si>
  <si>
    <t>https://storage.googleapis.com/deytha-prod/paymentBills/QCEbQ8wUOa2b9M5b99hnbWcqYBX8MRtzVhOfhZhf.png</t>
  </si>
  <si>
    <t>https://storage.googleapis.com/deytha-prod/supplierBills/zgf8GtQicIfQeQS8p9GYEku6lA629CSex5uFfSh5.png</t>
  </si>
  <si>
    <t>2025-09-19 16:07:19</t>
  </si>
  <si>
    <t>2025-09-19 11:49:19</t>
  </si>
  <si>
    <t>2025-09-20 11:07:16</t>
  </si>
  <si>
    <t xml:space="preserve">Adelanto de sueldo y descuento progresivo de Mario Millones, traslado para operación 
</t>
  </si>
  <si>
    <t>2025-09-19 15:38:00</t>
  </si>
  <si>
    <t>https://storage.googleapis.com/deytha-prod/paymentBills/oIFztXZWVwhgxDtUzdkp8UMow9b8EPpFPulqPEus.png</t>
  </si>
  <si>
    <t>https://storage.googleapis.com/deytha-prod/supplierBills/NYQ480AxUY9hkg9CBqwHKCz4HiAP2ohl3mzHnOTg.png</t>
  </si>
  <si>
    <t>2025-09-19 16:35:23</t>
  </si>
  <si>
    <t>2025-09-19 11:35:23</t>
  </si>
  <si>
    <t>DONGO  GOMEZ JOSE RODRIGO</t>
  </si>
  <si>
    <t>430-08272071-0-40</t>
  </si>
  <si>
    <t>2025-09-19 15:46:00</t>
  </si>
  <si>
    <t>https://storage.googleapis.com/deytha-prod/worker/settle/cfgK9JFiBfQ5ZicXstE9pes3ofszh0JncMtpJc9A.pdf</t>
  </si>
  <si>
    <t>https://storage.googleapis.com/deytha-prod/paymentBills/mp0f81qZZdV4yg3xhkEsopSrhPvqvcz0Q8Qd0qbz.png</t>
  </si>
  <si>
    <t>2025-09-19 05:30:47</t>
  </si>
  <si>
    <t>2025-09-19 10:15:20</t>
  </si>
  <si>
    <t>2025-09-20 00:30:35</t>
  </si>
  <si>
    <t>COT - SAL INDUSTRIAL
REQ 21 - AREA ELECTRICO</t>
  </si>
  <si>
    <t>2025-09-19 13:09:00</t>
  </si>
  <si>
    <t>https://storage.googleapis.com/deytha-prod/payments/zYa8eRpq1OpvJvua9zYkPdOKeIT24KOqsi39t49L.pdf</t>
  </si>
  <si>
    <t>https://storage.googleapis.com/deytha-prod/paymentBills/yvyA0wyGoyjchDG1oPkFsGSoPSZjGwUen70znFZ2.png</t>
  </si>
  <si>
    <t>https://storage.googleapis.com/deytha-prod/supplierBills/jC86lUnEfQJpjAFm7A5v9Sbulp6edA1r367L3hSu.pdf</t>
  </si>
  <si>
    <t>2025-09-19 07:53:58</t>
  </si>
  <si>
    <t>2025-09-19 02:53:58</t>
  </si>
  <si>
    <t>2025-08-05 02:53:58</t>
  </si>
  <si>
    <t>ZEGARRA QUISPE NOEMI SUSANA</t>
  </si>
  <si>
    <t>COMPRA DE HOJAS </t>
  </si>
  <si>
    <t>2025-09-23 18:52:57</t>
  </si>
  <si>
    <t>https://storage.googleapis.com/deytha-prod/payments/pyqFM5dyzX6FyhS7zvLvZisP0GWsUYXsWz5ZWLV6.pdf</t>
  </si>
  <si>
    <t>https://storage.googleapis.com/deytha-prod/payments/Qk33zrAKDcLNQELniv4EbxQ6tYDbGSUq4qtxotZu.pdf</t>
  </si>
  <si>
    <t>2025-09-19 07:48:53</t>
  </si>
  <si>
    <t>2025-09-19 02:48:53</t>
  </si>
  <si>
    <t>2025-08-18 02:48:53</t>
  </si>
  <si>
    <t>SERVICIO DE ENCOMIENDA LIMA - MOQUEGUA </t>
  </si>
  <si>
    <t>2025-09-23 19:19:46</t>
  </si>
  <si>
    <t>https://storage.googleapis.com/deytha-prod/payments/YZQqrqzJFxFW9ntTOX1dqrilhQAlUoMPcqzmR5uC.pdf</t>
  </si>
  <si>
    <t>https://storage.googleapis.com/deytha-prod/payments/DcOueXo4oH5GFexGKTne8TEWpGubasKYStkHq5g0.pdf</t>
  </si>
  <si>
    <t>2025-09-19 07:39:21</t>
  </si>
  <si>
    <t>2025-09-19 02:39:21</t>
  </si>
  <si>
    <t>2025-09-02 02:39:21</t>
  </si>
  <si>
    <t>PAGO DE SERVICIO CARGA Y DESCARGA DE MATERIAL  Y TRANSPORTE A AGENCIA JHONCITO - AREQUIPA</t>
  </si>
  <si>
    <t>2025-09-23 19:19:32</t>
  </si>
  <si>
    <t>https://storage.googleapis.com/deytha-prod/payments/DOrQsSyf8TVqGKBPn9lhozYcpqefbU1GORJhU5lL.pdf</t>
  </si>
  <si>
    <t>https://storage.googleapis.com/deytha-prod/payments/hzVOPla9fQ9ICzYK63COuZU9yNpL61HkaZ9f7OBn.pdf</t>
  </si>
  <si>
    <t>2025-09-19 07:28:06</t>
  </si>
  <si>
    <t>2025-09-19 02:28:06</t>
  </si>
  <si>
    <t>2025-08-29 02:28:06</t>
  </si>
  <si>
    <t>TRANSPORTE EN MOQUEGUA DE MATERIAL ELECTRICO DE LA EMPRESA SAMEGUA - CALLE ANTIGUA </t>
  </si>
  <si>
    <t>2025-09-23 19:19:36</t>
  </si>
  <si>
    <t>https://storage.googleapis.com/deytha-prod/payments/3CQornAXvmlwEGbVhaD9E88AU9cTNuW7DjPSQ4ZS.pdf</t>
  </si>
  <si>
    <t>https://storage.googleapis.com/deytha-prod/payments/zwcGlyCgeMGOWs1JGSKwutYpu4IsmTESZkK4BxmN.pdf</t>
  </si>
  <si>
    <t>2025-09-19 07:28:05</t>
  </si>
  <si>
    <t>2025-09-19 02:28:05</t>
  </si>
  <si>
    <t>2025-08-04 02:28:05</t>
  </si>
  <si>
    <t>RECOJO DE ALCOLIMETRO EN LA EMPRESA Y ENVIO A AGENCIA  - EN AREQUIPA </t>
  </si>
  <si>
    <t>2025-09-23 19:19:43</t>
  </si>
  <si>
    <t>https://storage.googleapis.com/deytha-prod/payments/qT3SslBiVei6z9vbxUNUE7S0g4iIr58XZdLYtpaV.pdf</t>
  </si>
  <si>
    <t>https://storage.googleapis.com/deytha-prod/payments/pOhNXw3CPGWjUsbhCFRmDl7b94W6y064nXcouZ1k.pdf</t>
  </si>
  <si>
    <t>2025-08-02 02:28:05</t>
  </si>
  <si>
    <t>TAXI EN AREQUIPA PARA RECOJO DE MATERIAL DE ESCRITORIO Y ENVIO HACIA MOQUEGUA</t>
  </si>
  <si>
    <t>2025-09-23 19:19:39</t>
  </si>
  <si>
    <t>https://storage.googleapis.com/deytha-prod/payments/0T9mZK7TJisdQybOkFaihvbwELsuqubPlWXEEWo6.pdf</t>
  </si>
  <si>
    <t>https://storage.googleapis.com/deytha-prod/payments/2qhIcm4OITAebcj3cX4hKQdq0AmH9PfR77Q3VwNT.pdf</t>
  </si>
  <si>
    <t>2025-08-08 02:28:05</t>
  </si>
  <si>
    <t>TAXI EN AREQUIPA RECOJO DE EQUIPO PARA ENVIO HACIA MOQUEGUA  DIA 080-8-25</t>
  </si>
  <si>
    <t>2025-09-23 19:19:50</t>
  </si>
  <si>
    <t>https://storage.googleapis.com/deytha-prod/payments/BNf0l3jgWSoswKNaHx3033yu8HIQJFPnwrW9Z6AN.pdf</t>
  </si>
  <si>
    <t>https://storage.googleapis.com/deytha-prod/payments/CPnYIcIBb4RY9jAC54VUvqy5QkGYlUKVuKigKR5y.pdf</t>
  </si>
  <si>
    <t>2025-09-19 07:28:03</t>
  </si>
  <si>
    <t>2025-09-19 02:28:03</t>
  </si>
  <si>
    <t>2025-08-21 02:28:03</t>
  </si>
  <si>
    <t>PAGO A CARGA Y TRANSPORTE DE TUBOS </t>
  </si>
  <si>
    <t>2025-09-23 19:19:59</t>
  </si>
  <si>
    <t>https://storage.googleapis.com/deytha-prod/payments/BF0rH4X7n8wHKkmSDGfB7PAubcqck751mCQJNX00.pdf</t>
  </si>
  <si>
    <t>https://storage.googleapis.com/deytha-prod/payments/gxiYFtVpS410HhOMEklrhk7aTMVWqBwvvHeT1VvO.pdf</t>
  </si>
  <si>
    <t>2025-09-19 06:47:02</t>
  </si>
  <si>
    <t>2025-09-19 01:47:02</t>
  </si>
  <si>
    <t>2025-07-29 01:47:02</t>
  </si>
  <si>
    <t>RECOJO DE MATERIAL  HELIO Y PROMAR T</t>
  </si>
  <si>
    <t>2025-09-23 19:19:15</t>
  </si>
  <si>
    <t>https://storage.googleapis.com/deytha-prod/payments/Ir66NQ3DxJbYh26Gwv6QbwXQH7N6nbdWGFbJ3K2Q.pdf</t>
  </si>
  <si>
    <t>https://storage.googleapis.com/deytha-prod/payments/gSyvlAYhRmiEAexxjrOS5i8SvLX1WL99fSvey5QG.pdf</t>
  </si>
  <si>
    <t>2025-09-19 06:46:59</t>
  </si>
  <si>
    <t>2025-09-19 01:46:59</t>
  </si>
  <si>
    <t>2025-08-09 01:46:59</t>
  </si>
  <si>
    <t>PAGO DE TAXI DE DIFERNETES PUNTOS  GALERIAS LA VICTORIA Y MINIBAN DE AREQUIPA </t>
  </si>
  <si>
    <t>2025-09-23 19:19:18</t>
  </si>
  <si>
    <t>https://storage.googleapis.com/deytha-prod/payments/omDODzgWGoTUVMWE2cIOsp9pGPvAd2129ifUneM7.pdf</t>
  </si>
  <si>
    <t>https://storage.googleapis.com/deytha-prod/payments/nDKU1vJriCfvRWHO9zF4Vc6ayQaQnPtx5uEQdFnM.pdf</t>
  </si>
  <si>
    <t>2025-09-19 06:46:51</t>
  </si>
  <si>
    <t>2025-09-19 01:46:51</t>
  </si>
  <si>
    <t>2025-07-21 01:46:51</t>
  </si>
  <si>
    <t>TECOJO DE MATERIAL ELECTRO RAYO HIDA Y VUELTA - SAMEGUA </t>
  </si>
  <si>
    <t>2025-09-23 19:19:22</t>
  </si>
  <si>
    <t>https://storage.googleapis.com/deytha-prod/payments/pjfAC1Be5oK79nymJx0oDf07QYBfRZkqnLoWJ0BR.pdf</t>
  </si>
  <si>
    <t>https://storage.googleapis.com/deytha-prod/payments/3w8MKe6IAdPum6OKr7S4hs197qu78gWDRi7WFYVO.pdf</t>
  </si>
  <si>
    <t>2025-09-19 06:46:49</t>
  </si>
  <si>
    <t>2025-09-19 01:46:49</t>
  </si>
  <si>
    <t>2025-08-22 01:46:49</t>
  </si>
  <si>
    <t>REGULARIZACION DE  SERVICIO DE TAXI DE COMPRAS DE MATERIAL </t>
  </si>
  <si>
    <t>2025-09-23 19:19:25</t>
  </si>
  <si>
    <t>https://storage.googleapis.com/deytha-prod/payments/eF77O4MB9KiUFRESS21UH770SJq6M79altU1BmGp.pdf</t>
  </si>
  <si>
    <t>https://storage.googleapis.com/deytha-prod/payments/hw9b0kLhOsEuRzuhAxfaCSv47EqFGZZlE0n446Ew.pdf</t>
  </si>
  <si>
    <t>2025-09-18 22:51:43</t>
  </si>
  <si>
    <t>2025-09-18 17:51:43</t>
  </si>
  <si>
    <t>2025-09-05 17:51:43</t>
  </si>
  <si>
    <t>AGOSTO-2025-ONP-PY28-RG</t>
  </si>
  <si>
    <t>2026-02-23 12:27:55</t>
  </si>
  <si>
    <t>2025-09-18 15:12:03</t>
  </si>
  <si>
    <t>2025-09-17 23:56:54</t>
  </si>
  <si>
    <t>2025-09-19 09:56:44</t>
  </si>
  <si>
    <t>TUBO SCH 80 DE 1" CON UL651 POR ETL * 3MTS
REQ 01 ADIC - 
AREA ELECTRICO</t>
  </si>
  <si>
    <t>2025-09-26 20:12:00</t>
  </si>
  <si>
    <t>https://storage.googleapis.com/deytha-prod/payments/xK93zeVSjS4uC6mEcjkTdaxIXeVxCxDIZEYiq9fK.pdf</t>
  </si>
  <si>
    <t>https://storage.googleapis.com/deytha-prod/paymentBills/DbkhtMKmNrvhvKAzlctHNseGjTMPGrVj8g4E4qZA.png</t>
  </si>
  <si>
    <t>https://storage.googleapis.com/deytha-prod/supplierBills/aygEGHxKqK49olhnxOg2KqRmD00nD277NcHJEJib.pdf</t>
  </si>
  <si>
    <t>2025-09-18 16:09:04</t>
  </si>
  <si>
    <t>2025-09-19 11:07:56</t>
  </si>
  <si>
    <t xml:space="preserve">EPPS PARA PERSONAL 
REQ  # 36 - CIVIL </t>
  </si>
  <si>
    <t>2025-09-18 15:28:00</t>
  </si>
  <si>
    <t>https://storage.googleapis.com/deytha-prod/payments/WNpDKK0eC9sHMofQ1j8XKAQp9K45ypX0AbVL3nIn.pdf</t>
  </si>
  <si>
    <t>https://storage.googleapis.com/deytha-prod/paymentBills/vkgseY6kdcnDpdUpVNcb4zqFiy5Hh3KEI75BbSXV.png</t>
  </si>
  <si>
    <t>https://storage.googleapis.com/deytha-prod/supplierBills/DMkWFO7nhiKI2cS1yFxpnpZxj8QD5m1eBsyre6eN.pdf</t>
  </si>
  <si>
    <t>2025-09-18 16:53:44</t>
  </si>
  <si>
    <t>2025-09-18 11:53:44</t>
  </si>
  <si>
    <t>CHECALLA PAREDES HERIBERTO ZACARIAS</t>
  </si>
  <si>
    <t>001108140259669095</t>
  </si>
  <si>
    <t>2025-09-19 19:06:00</t>
  </si>
  <si>
    <t>https://storage.googleapis.com/deytha-prod/worker/settle/DEFXqqFhSh8HcVxgcsFmCCc1P5958vcV6Uo5ybWc.pdf</t>
  </si>
  <si>
    <t>https://storage.googleapis.com/deytha-prod/paymentBills/pnlgxleVYfVAlPHn1WGSAfp26hhrtICXbY2P7aaf.pdf</t>
  </si>
  <si>
    <t>2025-09-18 16:22:12</t>
  </si>
  <si>
    <t>2025-09-18 11:22:12</t>
  </si>
  <si>
    <t>2025-07-25 11:22:12</t>
  </si>
  <si>
    <t>PAGO DE TAXI RECOJO DE MATERIAL DE AGENCIA SHALON Y MINIBAN DE AREQUIPA - SAMEGUA</t>
  </si>
  <si>
    <t>2025-09-23 19:19:29</t>
  </si>
  <si>
    <t>https://storage.googleapis.com/deytha-prod/payments/rzSwfrKmTh5xE7xkXg3sHUBBix4RWL4RkLF8yS33.pdf</t>
  </si>
  <si>
    <t>https://storage.googleapis.com/deytha-prod/payments/M86nqRNvrt8JENMI3LaKWAvsZhFrNrvYpGSqf5sy.pdf</t>
  </si>
  <si>
    <t>2025-09-23 11:22:12</t>
  </si>
  <si>
    <t>DEVOLUCIONDE CAJA 29024</t>
  </si>
  <si>
    <t>2025-09-23 19:17:47</t>
  </si>
  <si>
    <t>https://storage.googleapis.com/deytha-prod/payments/wfIsxBg3F8fBOD6cH2AylMQT83CdelCDyyaKVhpG.jpg</t>
  </si>
  <si>
    <t>https://storage.googleapis.com/deytha-prod/payments/zLPIO98YtTT33QUox5Qw9JeNevLdBuqHYLRQONVg.jpg</t>
  </si>
  <si>
    <t>2025-09-18 16:22:09</t>
  </si>
  <si>
    <t>2025-09-18 11:22:09</t>
  </si>
  <si>
    <t>2025-07-11 11:22:09</t>
  </si>
  <si>
    <t>PAGO DE TAXI RECOJO DE MATERIAL Y COMPRA DE HOJAS PARA OFICINA </t>
  </si>
  <si>
    <t>2025-09-23 19:19:12</t>
  </si>
  <si>
    <t>https://storage.googleapis.com/deytha-prod/payments/DuXyYP4lCmQzLh6krH4UBIgXuNJKmhSMuETcYlVF.pdf</t>
  </si>
  <si>
    <t>https://storage.googleapis.com/deytha-prod/payments/6xFzjOP2z5UAOBJYfJFWq05mL55CKkjKkuM3mgMc.pdf</t>
  </si>
  <si>
    <t>2025-07-10 11:22:09</t>
  </si>
  <si>
    <t xml:space="preserve">PAGOS DE TAXI RECOJO DE MATERIAL - TODO CARGO MINIBAN DE AREQUIPA-MOQUEGUA 
</t>
  </si>
  <si>
    <t>2025-09-23 19:18:00</t>
  </si>
  <si>
    <t>https://storage.googleapis.com/deytha-prod/payments/B2J2bKKyksGWljFwhKoZum5oQ5vHJFByk7emArMO.pdf</t>
  </si>
  <si>
    <t>https://storage.googleapis.com/deytha-prod/payments/xE7lVceLut5FUYUz7ATRwFOlSn5wDHVA2alAu9Kl.pdf</t>
  </si>
  <si>
    <t>2025-09-04 11:22:09</t>
  </si>
  <si>
    <t>PAGO DE TAXI - RECOJO DE MATERIAL ELECTRO RAYO Y RAGRESO A SAMEGUA </t>
  </si>
  <si>
    <t>2025-09-23 19:17:56</t>
  </si>
  <si>
    <t>https://storage.googleapis.com/deytha-prod/payments/cOpCldt92sdFZuiGDHn3ELNkDaI0y0sIMNWNUSOY.pdf</t>
  </si>
  <si>
    <t>https://storage.googleapis.com/deytha-prod/payments/I7KahEp29qGgv3BiCdYDN2SjdAEdsg39Li5toMNZ.pdf</t>
  </si>
  <si>
    <t>2025-09-18 16:22:07</t>
  </si>
  <si>
    <t>2025-09-18 11:22:07</t>
  </si>
  <si>
    <t>2025-07-12 11:22:07</t>
  </si>
  <si>
    <t>PAGO DE REINTEGRO DE PARIGUELAS QUE SE RONPIERON CON BLOQUETAS </t>
  </si>
  <si>
    <t>2025-09-23 19:19:08</t>
  </si>
  <si>
    <t>https://storage.googleapis.com/deytha-prod/payments/bjd5o0cNck4MYBb0YBSBJbVfAFQS5yMuAeRhSdXe.pdf</t>
  </si>
  <si>
    <t>https://storage.googleapis.com/deytha-prod/payments/WmsAWfIZ6mx9z4raiS6JlikYUGOBc9fJR7rAKu20.pdf</t>
  </si>
  <si>
    <t>2025-07-07 11:22:07</t>
  </si>
  <si>
    <t>PAGO A DOS PERSONAL - POR ESTIBAR LADRILLO CAMION GRUA </t>
  </si>
  <si>
    <t>2025-09-23 19:18:03</t>
  </si>
  <si>
    <t>https://storage.googleapis.com/deytha-prod/payments/ay0wM8VzAlK76YNn7RceF6iJUK8I9iMbGGnqtnML.pdf</t>
  </si>
  <si>
    <t>https://storage.googleapis.com/deytha-prod/payments/nmHHsDXyaoFSza3W871wEtzfYTKGdj8jHfDbdVom.pdf</t>
  </si>
  <si>
    <t>2025-09-18 16:22:06</t>
  </si>
  <si>
    <t>2025-09-18 11:22:06</t>
  </si>
  <si>
    <t>2025-07-05 11:22:06</t>
  </si>
  <si>
    <t xml:space="preserve">PAGO DE TRASLADO DE TROMPO DE AGENCIA JHONCITO - SAMEGUA 
</t>
  </si>
  <si>
    <t>2025-09-23 19:18:57</t>
  </si>
  <si>
    <t>https://storage.googleapis.com/deytha-prod/payments/XCv3RdNnwZG0eObXnuELafw9JugoQHxPUZdPZuYy.pdf</t>
  </si>
  <si>
    <t>https://storage.googleapis.com/deytha-prod/payments/ykWUTAuylHd9j0FWkTyK3RhJG5GyBPA8r4xpMyXA.pdf</t>
  </si>
  <si>
    <t>2025-09-18 16:21:54</t>
  </si>
  <si>
    <t>2025-09-18 11:21:54</t>
  </si>
  <si>
    <t>2025-07-10 11:21:54</t>
  </si>
  <si>
    <t>RECOJO DE CEMENTO EN FERRETERIA PARA - SAMEGUA </t>
  </si>
  <si>
    <t>2025-09-23 19:18:53</t>
  </si>
  <si>
    <t>https://storage.googleapis.com/deytha-prod/payments/XaRO8wqaA90Kfosahdn5V4gwx9FCjdzlqkcIj9ys.pdf</t>
  </si>
  <si>
    <t>https://storage.googleapis.com/deytha-prod/payments/FzmnqBdglH71ptQXdwu0tAmO4EHmNDBMbbIPEaLh.pdf</t>
  </si>
  <si>
    <t>2025-07-26 11:21:54</t>
  </si>
  <si>
    <t>PAGO DE ENCOMIENDA </t>
  </si>
  <si>
    <t>2025-09-23 19:19:03</t>
  </si>
  <si>
    <t>https://storage.googleapis.com/deytha-prod/payments/samWtdiX2BWAwhsaOotYlLwPGneQUh9VKVaFCIdF.pdf</t>
  </si>
  <si>
    <t>https://storage.googleapis.com/deytha-prod/payments/QqhbewuVVJTtL0qv2INk5SgkHDSiQlX8BXnrGeBz.pdf</t>
  </si>
  <si>
    <t>PAGO A COCHERA DE MESA METALICA </t>
  </si>
  <si>
    <t>2025-09-23 19:19:00</t>
  </si>
  <si>
    <t>https://storage.googleapis.com/deytha-prod/payments/DqnvdrsmRxaVu8n2AEYKjOkdkiRLC5obaHkzZ5Ei.pdf</t>
  </si>
  <si>
    <t>https://storage.googleapis.com/deytha-prod/payments/rC7kcpO9lJtz7kJ4XyoW7vtFBPkuEUQCGkVtrCXI.pdf</t>
  </si>
  <si>
    <t>2025-09-18 16:21:53</t>
  </si>
  <si>
    <t>2025-09-18 11:21:53</t>
  </si>
  <si>
    <t>0025-07-13 11:21:53</t>
  </si>
  <si>
    <t>TAXI PARA RECOJO DE MATERIAL - 13-07-25 </t>
  </si>
  <si>
    <t>2025-09-23 19:18:23</t>
  </si>
  <si>
    <t>https://storage.googleapis.com/deytha-prod/payments/qRlAl4jq8sUHRkRV25RLjlJt2CsRS0DD8PCYHkTY.pdf</t>
  </si>
  <si>
    <t>https://storage.googleapis.com/deytha-prod/payments/U66yVTKbM56yr1PHdXlODguMNJLuQSVh7ohk5t3b.pdf</t>
  </si>
  <si>
    <t>2025-07-20 11:21:53</t>
  </si>
  <si>
    <t>RECOJO DE ENCOMIENDA DE AREQUIPA HACIA MOQUEGUA</t>
  </si>
  <si>
    <t>2025-09-23 19:18:44</t>
  </si>
  <si>
    <t>https://storage.googleapis.com/deytha-prod/payments/n3PbRS3TJfeudb839ga9GpV3A0nFLawrSrnxZ5nq.pdf</t>
  </si>
  <si>
    <t>https://storage.googleapis.com/deytha-prod/payments/dtATGbY7rvaVEe0GYqPpTkkl53WeJxk7CAQhvLuJ.pdf</t>
  </si>
  <si>
    <t>2025-07-07 11:21:53</t>
  </si>
  <si>
    <t>COMPRA DE JARRAS </t>
  </si>
  <si>
    <t>2025-09-23 19:18:47</t>
  </si>
  <si>
    <t>https://storage.googleapis.com/deytha-prod/payments/3sholvbTu73QKpqjILj9QvK418guwDj1zNEhPxi8.pdf</t>
  </si>
  <si>
    <t>https://storage.googleapis.com/deytha-prod/payments/3MqcPBoUlWNG84JtvzVQ76EFHUByJaB7jugyA2XZ.pdf</t>
  </si>
  <si>
    <t>2025-07-31 11:21:53</t>
  </si>
  <si>
    <t>FORMATEO DE LAPTOP </t>
  </si>
  <si>
    <t>2025-09-23 19:18:50</t>
  </si>
  <si>
    <t>https://storage.googleapis.com/deytha-prod/payments/FAOZwmwsrnWSn5JQ5B9KtiGyJDAHOtURjQOEjT9c.pdf</t>
  </si>
  <si>
    <t>https://storage.googleapis.com/deytha-prod/payments/PNES2pl7cgtWHn2B3sbVSqwenzCjXICkg7fSnf6U.pdf</t>
  </si>
  <si>
    <t>2025-09-18 16:21:52</t>
  </si>
  <si>
    <t>2025-09-18 11:21:52</t>
  </si>
  <si>
    <t>2025-08-16 11:21:52</t>
  </si>
  <si>
    <t>2025-09-23 19:18:14</t>
  </si>
  <si>
    <t>https://storage.googleapis.com/deytha-prod/payments/70o3cEiMA3KAHfLw1tgR9EPT60WxduRoxYcqG4oe.pdf</t>
  </si>
  <si>
    <t>https://storage.googleapis.com/deytha-prod/payments/e5Mn1TCqi7OyFE4XKjmOm0Lx62mypaoUWFug0fm7.pdf</t>
  </si>
  <si>
    <t>2025-07-11 11:21:52</t>
  </si>
  <si>
    <t>TRASLADO DE MATERIALES DE PLAZA VEA DE MOQUEGUA HACIA SAMEGUA</t>
  </si>
  <si>
    <t>2025-09-23 19:18:10</t>
  </si>
  <si>
    <t>https://storage.googleapis.com/deytha-prod/payments/296Mo6rSu42BWvgsR3iRftbeacSjPmYamXY3Up3k.pdf</t>
  </si>
  <si>
    <t>https://storage.googleapis.com/deytha-prod/payments/dSazdrFjIoHsvt6Q2m6Qi5Yscxc8LwrjiHnM1BJN.pdf</t>
  </si>
  <si>
    <t>2025-07-21 11:21:52</t>
  </si>
  <si>
    <t>RECOJO DE ENCOMIENDA - DE LIMA HACIA MOQUEGUA </t>
  </si>
  <si>
    <t>2025-09-23 19:18:20</t>
  </si>
  <si>
    <t>https://storage.googleapis.com/deytha-prod/payments/ZmMxVf5QcAqKUEOPQQIRxynRx0CEWbajqslmsLdq.pdf</t>
  </si>
  <si>
    <t>https://storage.googleapis.com/deytha-prod/payments/kwm79aFSP1N0En5jxSY4vcNT1FBXSpCzlGxti2g1.pdf</t>
  </si>
  <si>
    <t>2025-07-14 11:21:52</t>
  </si>
  <si>
    <t>TAXI PARA RECOJO DE MATERIALES - DIA 14-07-25</t>
  </si>
  <si>
    <t>2025-09-23 19:18:17</t>
  </si>
  <si>
    <t>https://storage.googleapis.com/deytha-prod/payments/kHkdRJrp0pi4o8ZelRYsb6bYoXzjAq0RvFrKgJqx.pdf</t>
  </si>
  <si>
    <t>https://storage.googleapis.com/deytha-prod/payments/KfputuH7GSxvNkxRR64PPS64lkEikf3i4AUJzt3d.pdf</t>
  </si>
  <si>
    <t>2025-09-18 15:50:11</t>
  </si>
  <si>
    <t>2025-09-18 10:54:06</t>
  </si>
  <si>
    <t>2025-09-18 11:50:03</t>
  </si>
  <si>
    <t>PAGO POR EMO DE SILVA CASTILLO CRISTHIAM</t>
  </si>
  <si>
    <t>2025-09-18 12:34:00</t>
  </si>
  <si>
    <t>https://storage.googleapis.com/deytha-prod/payments/BmbOaA0tUk5k71Pd8fTFzbbQnkBQxdDTPsCGXQaj.png</t>
  </si>
  <si>
    <t>https://storage.googleapis.com/deytha-prod/paymentBills/uSduQxVaeAIn1FhQsB0sl8KqD2fiICH937IqfAId.png</t>
  </si>
  <si>
    <t>https://storage.googleapis.com/deytha-prod/supplierBills/6XVIpY63miylAGZeGWQd4iiDCVbn4Dgpv6A7w76c.pdf</t>
  </si>
  <si>
    <t>2025-09-15 22:01:17</t>
  </si>
  <si>
    <t>2025-09-17 19:16:22</t>
  </si>
  <si>
    <t>2025-09-15 17:01:06</t>
  </si>
  <si>
    <t>GARAY CAMANA JOHN WILLIAMS</t>
  </si>
  <si>
    <t>430-10583095-0-07</t>
  </si>
  <si>
    <t xml:space="preserve">TACO DE 45 TONELADAS Y FOCO DE PERTIGA AMERICANO 
RQ- 29 CIVIL </t>
  </si>
  <si>
    <t>2025-09-18 11:55:00</t>
  </si>
  <si>
    <t>https://storage.googleapis.com/deytha-prod/payments/nfT0xJscfLo9Fy94f7uDLdy2NoocZYAR8Fc5rn0O.pdf</t>
  </si>
  <si>
    <t>https://storage.googleapis.com/deytha-prod/paymentBills/H0isK2Qd9lsgv75AAkC2I7z2kTQWubIcLA2EYIRX.png</t>
  </si>
  <si>
    <t>https://storage.googleapis.com/deytha-prod/supplierBills/BSnbJ6PZkqMSw2Facswlw2hSjdxQUmNTcZRAdxgY.pdf</t>
  </si>
  <si>
    <t>2025-09-15 22:30:26</t>
  </si>
  <si>
    <t>2025-09-15 17:29:34</t>
  </si>
  <si>
    <t>BORDADOS DE LOGOS DE CHALECOS 
QR-22 SSOMA</t>
  </si>
  <si>
    <t>2025-09-18 11:59:00</t>
  </si>
  <si>
    <t>https://storage.googleapis.com/deytha-prod/payments/ihTnTVQEcy0teHCvxvLUciHKkPwMinTWxNklqwHB.pdf</t>
  </si>
  <si>
    <t>https://storage.googleapis.com/deytha-prod/paymentBills/zM8vYUFSUWTilmyRtZGwm00mplHLLhdHysyCo7nB.png</t>
  </si>
  <si>
    <t>https://storage.googleapis.com/deytha-prod/supplierBills/5AeEUPac1gpMuLdVcaIAm5Ifh4MFfRsYZLmVERPi.pdf</t>
  </si>
  <si>
    <t>2025-09-16 21:26:14</t>
  </si>
  <si>
    <t>2025-09-17 16:24:48</t>
  </si>
  <si>
    <t>TAI LOY S.A.</t>
  </si>
  <si>
    <t>191-0852628-0-02 - AREQUIPA</t>
  </si>
  <si>
    <t xml:space="preserve">UTILES DE ESCRITORIO DE LOS 
RGs
REQ # CIVL 29 /36
REQ # SSOMA 27 
REQ # RESIDENCIA 24 </t>
  </si>
  <si>
    <t>2025-09-18 11:52:00</t>
  </si>
  <si>
    <t>https://storage.googleapis.com/deytha-prod/payments/vpwKeXT0WdtJZCnyler5CmlE6GTdVhFsyhpgUnxG.pdf</t>
  </si>
  <si>
    <t>https://storage.googleapis.com/deytha-prod/paymentBills/HjwdMud0RRq5vbDbnoIqaCzIdQB56fQeAFmqz1Cp.png</t>
  </si>
  <si>
    <t>https://storage.googleapis.com/deytha-prod/supplierBills/MZt7A0TKvN7Qaj2gGqkQJ2d4SH3UlsRkvvwsAxo2.pdf</t>
  </si>
  <si>
    <t>2025-09-17 15:35:15</t>
  </si>
  <si>
    <t>2025-09-17 10:34:59</t>
  </si>
  <si>
    <t>JMR EQUIPOS S.A.C.</t>
  </si>
  <si>
    <t>284-3001100236</t>
  </si>
  <si>
    <t xml:space="preserve">CALIBRADOR DIGITAL PIE DE REY VERNIER INSIZE
RQ- 18 ELECTRICO 
</t>
  </si>
  <si>
    <t>2025-09-18 17:25:00</t>
  </si>
  <si>
    <t>https://storage.googleapis.com/deytha-prod/payments/oUBtbB9tWFd1iTLTZknqv9DReaoBxSkrMHIDR57r.pdf</t>
  </si>
  <si>
    <t>https://storage.googleapis.com/deytha-prod/paymentBills/KWMvpv3mT4cjlwpMXg9t6VYKr3p8lVenAJ56ZdRJ.png</t>
  </si>
  <si>
    <t>https://storage.googleapis.com/deytha-prod/supplierBills/UnWHnv6IsXFyKi2T00196HgNFdUOC4FUQYWYM7c7.pdf</t>
  </si>
  <si>
    <t>2025-09-17 23:18:08</t>
  </si>
  <si>
    <t>2025-09-19 09:17:58</t>
  </si>
  <si>
    <t>CONTADOR DE EVENTOS RAYOS JJT - 
REQ # 12 
AREA ELECTRICA</t>
  </si>
  <si>
    <t>2025-09-18 19:25:00</t>
  </si>
  <si>
    <t>https://storage.googleapis.com/deytha-prod/payments/yLNTXec8IokdBUInypyGlDCVmbLW1PEPyUanQ2uz.pdf</t>
  </si>
  <si>
    <t>https://storage.googleapis.com/deytha-prod/paymentBills/TcTQvmbQZiViQN8mIWR4oEPtKsDkqoPWBzt84kTf.png</t>
  </si>
  <si>
    <t>https://storage.googleapis.com/deytha-prod/supplierBills/cIw08zbBpxj1LdtgJfIRLIoTLmdGVROOX5fQOQGJ.pdf</t>
  </si>
  <si>
    <t>2025-09-17 15:51:18</t>
  </si>
  <si>
    <t>2025-09-17 12:02:58</t>
  </si>
  <si>
    <t>2025-09-17 10:51:05</t>
  </si>
  <si>
    <t xml:space="preserve">DISCO DE DESBASTE 4 NORTON Y PINZA DE TIERRA BRONCE
RQ- 18,20,21 ELECTRICO - 36 CIVIL </t>
  </si>
  <si>
    <t>2025-09-17 15:59:00</t>
  </si>
  <si>
    <t>https://storage.googleapis.com/deytha-prod/payments/Lyvs9hWSvr7vKiJdRMIghvlwvITSSSybnbehcQ9P.pdf</t>
  </si>
  <si>
    <t>https://storage.googleapis.com/deytha-prod/paymentBills/djXiLCCukJjrXEHVlfvRYL7scXpul93nGlmBAAZe.png</t>
  </si>
  <si>
    <t>https://storage.googleapis.com/deytha-prod/supplierBills/4IxWmNlTbrV8pPtvCWWdy8NVrO3y4lUtd2SQBi2B.pdf</t>
  </si>
  <si>
    <t>2025-09-17 16:26:30</t>
  </si>
  <si>
    <t>2025-09-17 11:25:08</t>
  </si>
  <si>
    <t xml:space="preserve">BENTONITA SODIACA X 30 KG
RQ- 21 ELECTRICO  
</t>
  </si>
  <si>
    <t>2025-09-17 15:49:00</t>
  </si>
  <si>
    <t>https://storage.googleapis.com/deytha-prod/payments/GEHxPPCV04i2DsEWPBIhDgr7VzWuoQhM8NAJZXZm.pdf</t>
  </si>
  <si>
    <t>https://storage.googleapis.com/deytha-prod/paymentBills/HftPxzEMMngtpP7mAM1XQb3aJZfRmA85E1BLTUcI.png</t>
  </si>
  <si>
    <t>https://storage.googleapis.com/deytha-prod/supplierBills/FoAzyv8jX4zC8fr5t8LMiETiy9nk8mVlQpV8lSRE.pdf</t>
  </si>
  <si>
    <t>MAMANI JULI ELISBAN ELVIS</t>
  </si>
  <si>
    <t>2025-09-15 22:26:15</t>
  </si>
  <si>
    <t>2025-09-17 11:10:00</t>
  </si>
  <si>
    <t>2025-09-15 17:20:09</t>
  </si>
  <si>
    <t xml:space="preserve">ESCUADRA CARPINTERO Y WINCHA GRIPER 5MTS 
RQ-15 18 ELECTRICO </t>
  </si>
  <si>
    <t>2025-09-18 12:02:00</t>
  </si>
  <si>
    <t>https://storage.googleapis.com/deytha-prod/payments/viNNd8gVA5WZABCu8RGlg6qD6nLLSrmrjZaJSDg3.pdf</t>
  </si>
  <si>
    <t>https://storage.googleapis.com/deytha-prod/paymentBills/tJtowPKAd9bolzEyVYrSiZNc48LFnNnRNuQiNRsk.png</t>
  </si>
  <si>
    <t>https://storage.googleapis.com/deytha-prod/supplierBills/2yIhWPycoeIrRGgCksmGE6I8lZOklgh5kEdW2O3T.pdf</t>
  </si>
  <si>
    <t>2025-09-15 22:31:27</t>
  </si>
  <si>
    <t>2025-09-16 17:31:11</t>
  </si>
  <si>
    <t>REINTEGRO PAGO DE TUBERIAS  GALVANIZADAS / 1.1/2 
SE PAGO ANTERIORMENTE EN CODIGO 28376 , ITEM 12 EL MONTO DE 209 SOLES , HUBO OBSERVACION EN OBRA AHORA SE ESTA REINTEGRANDO PARA EL TUBO CORRECTO EL MONTO DE 1056.00 ADJUNTARE LA COT DEL MONTO TOTALP ERO SOLO DEPOSITAR LO INDICADO</t>
  </si>
  <si>
    <t>2025-09-23 15:35:00</t>
  </si>
  <si>
    <t>https://storage.googleapis.com/deytha-prod/payments/2NTlBLdG4Y0yX3elxRKRVRZMtzyUHOqeh7AKAjW1.pdf</t>
  </si>
  <si>
    <t>https://storage.googleapis.com/deytha-prod/paymentBills/KofaAoPyTVeasmYUwwZmQ7pdhVAA9gp6NSaN2Qy8.png</t>
  </si>
  <si>
    <t>https://storage.googleapis.com/deytha-prod/supplierBills/oKTFGnsKfzrbvCLkMbs5IhOfY2TWyr9rxNgawfc2.pdf</t>
  </si>
  <si>
    <t>2025-09-16 13:54:18</t>
  </si>
  <si>
    <t>2025-09-17 08:53:39</t>
  </si>
  <si>
    <t xml:space="preserve">TUBO CONDUIT RGS 1" DE 3MTS CON UL
TUBO CONDUIT RGS 3/4" DE 3MTS CON UL
TUBERIA Q SE DEVOLVIO A PORVEEDOR A&amp;L </t>
  </si>
  <si>
    <t>2025-09-17 18:12:00</t>
  </si>
  <si>
    <t>https://storage.googleapis.com/deytha-prod/payments/49Zho9XCD5BEpofKXNKxYYZoRbBRtOLco6wZpxdA.pdf</t>
  </si>
  <si>
    <t>https://storage.googleapis.com/deytha-prod/paymentBills/lO3gNSgTjkDImV8aflzElT4rs8l0CzEwqaTx88o8.png</t>
  </si>
  <si>
    <t>https://storage.googleapis.com/deytha-prod/supplierBills/QnNTm4ujE1XKVet8NegNcwxS264m1rGHghSBvLgB.pdf</t>
  </si>
  <si>
    <t>2025-09-16 15:45:43</t>
  </si>
  <si>
    <t>2025-09-16 10:43:45</t>
  </si>
  <si>
    <t xml:space="preserve">PLATINA Y PLANCHAS DE ACERO LISA 
RQ- 9 TELECOMUNICACIONES </t>
  </si>
  <si>
    <t>2025-09-17 15:45:00</t>
  </si>
  <si>
    <t>https://storage.googleapis.com/deytha-prod/payments/lqz4wGWHEcmKQrcIZxkae7DDQ4gnfFVtRlz8qyum.pdf</t>
  </si>
  <si>
    <t>https://storage.googleapis.com/deytha-prod/paymentBills/drd1VTORgPHjOxobiIdJu9NxpvYsx3Ld2B9ujrw9.png</t>
  </si>
  <si>
    <t>https://storage.googleapis.com/deytha-prod/supplierBills/IFNRSfgqBjuefluWwRUYXVmY3K9Hj7H4YqmdSZA2.pdf</t>
  </si>
  <si>
    <t>2025-09-16 20:30:39</t>
  </si>
  <si>
    <t>2025-09-21 15:29:18</t>
  </si>
  <si>
    <t>GLOBALTEC S.A.C.</t>
  </si>
  <si>
    <t>CABLE N2XOH (LIBRE DE HALOGENO)
DE DIFERRENTES MEDIDAS Y</t>
  </si>
  <si>
    <t>2025-10-31 11:59:00</t>
  </si>
  <si>
    <t>https://storage.googleapis.com/deytha-prod/payments/QP8sF7HzJnJG05JMp1rVXISlgYzQtMKdip6za3zH.pdf</t>
  </si>
  <si>
    <t>https://storage.googleapis.com/deytha-prod/paymentBills/50vxLPmvB27Cv5GbWI9F9FCSF0dF7huJ5gEwzTVn.pdf</t>
  </si>
  <si>
    <t>https://storage.googleapis.com/deytha-prod/supplierBills/N1fGielX7P58MHs6BGF0HtQN43b8q4wEZ1AFsv3u.pdf</t>
  </si>
  <si>
    <t>2025-09-17 15:50:20</t>
  </si>
  <si>
    <t>2025-09-17 10:50:20</t>
  </si>
  <si>
    <t>2025-09-05 10:50:20</t>
  </si>
  <si>
    <t>AGOSTO-2025-IR 5TA-PY28-RG</t>
  </si>
  <si>
    <t>2026-02-23 12:26:51</t>
  </si>
  <si>
    <t>2025-09-17 15:22:48</t>
  </si>
  <si>
    <t>2025-09-17 10:22:48</t>
  </si>
  <si>
    <t>2025-09-05 10:22:48</t>
  </si>
  <si>
    <t>AGOSTO-2025-ESSALUD-PY28-RG</t>
  </si>
  <si>
    <t>2026-02-23 12:25:02</t>
  </si>
  <si>
    <t>2025-09-17 15:00:50</t>
  </si>
  <si>
    <t>2025-09-17 10:00:50</t>
  </si>
  <si>
    <t>2025-09-05 10:00:50</t>
  </si>
  <si>
    <t>AGOSTO-2025-AFP-PY28-RG</t>
  </si>
  <si>
    <t>2026-02-23 12:23:05</t>
  </si>
  <si>
    <t>2025-09-16 19:45:38</t>
  </si>
  <si>
    <t>2025-09-16 18:34:50</t>
  </si>
  <si>
    <t>2025-09-17 14:44:48</t>
  </si>
  <si>
    <t>ALQUILER DE CONTENEDOR TIPO ALMACEN COLOR AZUL VACIO EN SU INTERIOR, DESDE EL 17/09/2025 AL 16/10/2025</t>
  </si>
  <si>
    <t>https://storage.googleapis.com/deytha-prod/payments/gDPKKLkDophaoZlgfO00SP3GOFd1WZYn4iwoiyjM.pdf</t>
  </si>
  <si>
    <t>https://storage.googleapis.com/deytha-prod/paymentBills/zmtR6vXVPCcIjwhgSFGqMAKTyeeNaEh7TcFXulFc.pdf</t>
  </si>
  <si>
    <t>https://storage.googleapis.com/deytha-prod/supplierBills/LEla8xfeqv0KaJ5ROtykZNCoBS1j1UWsI9JLi2Hk.pdf</t>
  </si>
  <si>
    <t>2025-09-16 19:20:02</t>
  </si>
  <si>
    <t>2025-09-16 18:13:34</t>
  </si>
  <si>
    <t>2025-09-17 14:19:06</t>
  </si>
  <si>
    <t>Alimentación semana 18 (31/08/2025 al 06/09/2025)</t>
  </si>
  <si>
    <t>2025-09-17 10:18:00</t>
  </si>
  <si>
    <t>https://storage.googleapis.com/deytha-prod/payments/3vu2r1GcMpauS1b6s9NOwXOEi80GCllG817kxNOQ.pdf</t>
  </si>
  <si>
    <t>https://storage.googleapis.com/deytha-prod/paymentBills/xIlfmrU2Y7iybBgDRQ9HAJ4DliB2XO2STtLfEAoC.png</t>
  </si>
  <si>
    <t>https://storage.googleapis.com/deytha-prod/supplierBills/OQ7bBAmcYln1Qamysa4mRFxbF5a3hdVAHKNddm5P.png</t>
  </si>
  <si>
    <t>2025-09-16 19:43:36</t>
  </si>
  <si>
    <t>2025-09-17 14:43:13</t>
  </si>
  <si>
    <t>ALQUILER DE CONTENEDOR TIPO OFICINA DESDE EL 01/09/2025 AL 30/09/2025</t>
  </si>
  <si>
    <t>https://storage.googleapis.com/deytha-prod/payments/SSeJhmi6mqSR4iCXqopcAygQZX2KVCjX4uEFsxPE.pdf</t>
  </si>
  <si>
    <t>https://storage.googleapis.com/deytha-prod/paymentBills/24PQfWLFtPaGum8o4AQH0tEAfg6JcARwIh2OvpvK.pdf</t>
  </si>
  <si>
    <t>https://storage.googleapis.com/deytha-prod/supplierBills/UUh3p9fUzN7cZvEXcgsEGjE2splW0ehruzyOYYik.pdf</t>
  </si>
  <si>
    <t>2025-09-15 15:58:26</t>
  </si>
  <si>
    <t>2025-09-15 11:01:07</t>
  </si>
  <si>
    <t>2025-09-15 11:58:19</t>
  </si>
  <si>
    <t>PAGO POR EMO DE GARCIA CHERO BREENER JOEL/ PEREZ RODRIGUEZ RAMIRO MAURICIO</t>
  </si>
  <si>
    <t>2025-09-15 15:46:00</t>
  </si>
  <si>
    <t>https://storage.googleapis.com/deytha-prod/payments/cWLYADmBT4rjO7236IPZiKHR6iu2iBmJVMNzUhQR.pdf</t>
  </si>
  <si>
    <t>https://storage.googleapis.com/deytha-prod/paymentBills/AlHJitaQnUV1vZOEgWkRjWj8s7nzsnLJAVrJMvWk.png</t>
  </si>
  <si>
    <t>https://storage.googleapis.com/deytha-prod/supplierBills/JdHtIPSeRD9SV033bwnAGJdH2K0Gu47aNGRdVAoJ.pdf</t>
  </si>
  <si>
    <t>2025-09-12 19:25:06</t>
  </si>
  <si>
    <t>2025-09-13 11:57:21</t>
  </si>
  <si>
    <t>2025-09-13 14:24:22</t>
  </si>
  <si>
    <t>POLEA DE 2TN 
REQ # 22 - RESIDENCIA</t>
  </si>
  <si>
    <t>2025-09-15 16:58:00</t>
  </si>
  <si>
    <t>https://storage.googleapis.com/deytha-prod/payments/qjzlqpYl4BKB7H82N9oiczrMxS4s5FDd49FrIsP9.pdf</t>
  </si>
  <si>
    <t>https://storage.googleapis.com/deytha-prod/paymentBills/qWx0IcDTESolNk1BTJpaSBj97LxRAvOnkUGpqSFN.png</t>
  </si>
  <si>
    <t>https://storage.googleapis.com/deytha-prod/supplierBills/c71VrMOMNAEy2MeEFXcgRqa1kFOERGEbvG2qJjZU.pdf</t>
  </si>
  <si>
    <t>2025-09-12 19:31:27</t>
  </si>
  <si>
    <t>2025-09-13 14:31:20</t>
  </si>
  <si>
    <t>FIORELLA REPRESENTACIONES S.A.C.</t>
  </si>
  <si>
    <t>191-7395761-1-64</t>
  </si>
  <si>
    <t>COT - TUBO GALVANIZADO SERIE I (STANDAR) ISO 65 NPT X 6.4 
MT.  2"</t>
  </si>
  <si>
    <t>2025-09-15 17:02:00</t>
  </si>
  <si>
    <t>https://storage.googleapis.com/deytha-prod/payments/oz4qzhNq465QVq1FrYIKfd7zNwiwpbNibvbTNtO7.pdf</t>
  </si>
  <si>
    <t>https://storage.googleapis.com/deytha-prod/paymentBills/tGIkbdwkJiTAqGKziqxsXcVUhJU4RWMHF3vX60Ve.png</t>
  </si>
  <si>
    <t>https://storage.googleapis.com/deytha-prod/supplierBills/wGPlGh60vcPQIBorEwp1e6EXyFm5WXtRmuUBQ8lV.pdf</t>
  </si>
  <si>
    <t>2025-09-12 18:24:16</t>
  </si>
  <si>
    <t>2025-09-13 11:27:46</t>
  </si>
  <si>
    <t>2025-09-13 13:24:04</t>
  </si>
  <si>
    <t>TECNOLOGIA INTEGRAL Y SERVICIOS ELECTRICOS-MECANICOS S.A.C.</t>
  </si>
  <si>
    <t>001108470100004440</t>
  </si>
  <si>
    <t>Grapas Morseto de amarre exterior para cables:SFTP,FTP,UTP Y Fibra óptica 2X, S271FTP6E2-B, para 6 cables.  
REQ # 03 - TELECOMUNICACION</t>
  </si>
  <si>
    <t>2025-09-24 16:20:00</t>
  </si>
  <si>
    <t>https://storage.googleapis.com/deytha-prod/payments/I5WOIDKIc6Jo2R0eMhvmR2WYd6RhAqCtEaam91vo.pdf</t>
  </si>
  <si>
    <t>https://storage.googleapis.com/deytha-prod/paymentBills/oEEv48QMQSacKfJJnAIn5Y4LOKeSYvvzuioAntT7.png</t>
  </si>
  <si>
    <t>https://storage.googleapis.com/deytha-prod/supplierBills/MitWg0UXEupbvcOWhc5cLa3EiplStihn67ZTA8Oe.pdf</t>
  </si>
  <si>
    <t>2025-09-12 18:54:44</t>
  </si>
  <si>
    <t>2025-09-13 13:51:16</t>
  </si>
  <si>
    <t>MATERIALES , LENTES , LAVAOJOS
REQ # 17 / # 19  / # 22   / # 26  SSOMA
CIVIL # 34</t>
  </si>
  <si>
    <t>2025-09-16 16:06:00</t>
  </si>
  <si>
    <t>https://storage.googleapis.com/deytha-prod/payments/HMOku3vfDcYEnah0QTn61R51cmZRGBuQQly1ygiq.pdf</t>
  </si>
  <si>
    <t>https://storage.googleapis.com/deytha-prod/paymentBills/NyPF90hJ3lKUFmiOrvFiVK16p8JiiV6nnKuXrZMo.png</t>
  </si>
  <si>
    <t>https://storage.googleapis.com/deytha-prod/supplierBills/E5Lz2L2PBIBt6AmrWQGn9rx0oPkBVkvuP09BEcJa.pdf</t>
  </si>
  <si>
    <t>2025-09-12 21:02:19</t>
  </si>
  <si>
    <t>TI</t>
  </si>
  <si>
    <t>HERRERA VASQUEZ JIMMY ARON</t>
  </si>
  <si>
    <t>2025-09-12 16:02:19</t>
  </si>
  <si>
    <t>STARLINK</t>
  </si>
  <si>
    <t>SERV ICIO DE INTERNET SATELITAL</t>
  </si>
  <si>
    <t>2025-09-12 16:07:41</t>
  </si>
  <si>
    <t>https://storage.googleapis.com/deytha-prod/payments/v03MopvjFP8ggqtu1ikHKtDRMOo6W5qLd7mQs0qf.pdf</t>
  </si>
  <si>
    <t>https://storage.googleapis.com/deytha-prod/payments/lglrk69o5BjPQr8MhNWABJPuUqilt90TCr8YihMZ.pdf</t>
  </si>
  <si>
    <t>2025-09-12 21:02:17</t>
  </si>
  <si>
    <t>2025-09-12 16:02:17</t>
  </si>
  <si>
    <t>2025-09-12 16:07:28</t>
  </si>
  <si>
    <t>https://storage.googleapis.com/deytha-prod/payments/jNLQzfZkQT7MnQ2iJzmyjzOCwkvvM0SaSM6Ai7NJ.pdf</t>
  </si>
  <si>
    <t>https://storage.googleapis.com/deytha-prod/payments/591PA3dQsqMcl87BDi50hnjBPocifO1q2ym0wktv.pdf</t>
  </si>
  <si>
    <t>2025-09-11 01:49:26</t>
  </si>
  <si>
    <t>2025-09-12 15:48:25</t>
  </si>
  <si>
    <t>2025-09-12 11:48:29</t>
  </si>
  <si>
    <t xml:space="preserve">ADELANTO DEL 50 % (51 HORAS MINIMAS) DE 17 DIAS (11/09/2025 AL 30/09/2025 SIN CONTAR LOS DOMINGOS) DE ACUERDO A COTIZACION 6HM X DIA 
</t>
  </si>
  <si>
    <t>2025-10-03 18:56:00</t>
  </si>
  <si>
    <t>https://storage.googleapis.com/deytha-prod/payments/G9dgR01O39TqBQcUlB78zPyDqKLU8x7L5CuMiowk.pdf</t>
  </si>
  <si>
    <t>https://storage.googleapis.com/deytha-prod/paymentBills/QHDqr02iIX1VQKxDCEhQHDIjzbfzYeIYBSi89B3q.png</t>
  </si>
  <si>
    <t>https://storage.googleapis.com/deytha-prod/rqf/30086/ad86ed81-647f-41ec-91d3-f91bd18ff896_PDF-DOC-E001-11410742857013[1]  adelanto.pdf</t>
  </si>
  <si>
    <t>2025-09-12 16:30:29</t>
  </si>
  <si>
    <t>2025-09-12 12:25:34</t>
  </si>
  <si>
    <t>2025-09-13 11:30:23</t>
  </si>
  <si>
    <t>CONTENEDOR PARA COMEDOR, INSTALACION 13/09/2025 A 13/10/2025, PARA BASE A3</t>
  </si>
  <si>
    <t>2025-09-12 18:01:00</t>
  </si>
  <si>
    <t>https://storage.googleapis.com/deytha-prod/payments/qyqgfebFLIaY7gqzcv1xR05fCh4nwtbWIDuk3lbb.pdf</t>
  </si>
  <si>
    <t>https://storage.googleapis.com/deytha-prod/paymentBills/rPM13ONSUYcC0U5otJjc3dBdrqehKBlba5bCfA83.pdf</t>
  </si>
  <si>
    <t>https://storage.googleapis.com/deytha-prod/supplierBills/AaVZuVbvdiLxqnxLUPWzLeEyx6SdvyzBIQsL0itH.pdf</t>
  </si>
  <si>
    <t>2025-09-12 16:23:18</t>
  </si>
  <si>
    <t>2025-09-12 11:23:18</t>
  </si>
  <si>
    <t>GASTOS VARIOS</t>
  </si>
  <si>
    <t>https://storage.googleapis.com/deytha-prod/payments/kaOXFPPmAXWX6CZjmusodjfNMtg0cx4FJUu9iRKs.pdf</t>
  </si>
  <si>
    <t>2025-09-12 16:03:39</t>
  </si>
  <si>
    <t>2025-09-12 11:03:39</t>
  </si>
  <si>
    <t>TAXI RECOJO CAMIONETA IDA Y VUELTA A PY32</t>
  </si>
  <si>
    <t>https://storage.googleapis.com/deytha-prod/payments/wmfW0kUNCIkQXULLOhXdyJYE3xhB97iOLlwjZBcw.png</t>
  </si>
  <si>
    <t>https://storage.googleapis.com/deytha-prod/payments/JvFc3CQP9AnC8TyANGMVRNkAjKKtoYq6wJyjebMl.pdf</t>
  </si>
  <si>
    <t>2025-09-12 16:02:58</t>
  </si>
  <si>
    <t>2025-09-12 11:02:58</t>
  </si>
  <si>
    <t>ZAPATOS DE SEGURIDAD</t>
  </si>
  <si>
    <t>https://storage.googleapis.com/deytha-prod/payments/R77JU273eNHr0BFi6D5FNMQluPrig8UBD7ajqfJh.png</t>
  </si>
  <si>
    <t>https://storage.googleapis.com/deytha-prod/payments/ATKYKR89JmWQkihURuqesEAaUlWNXp4mlpkUI2B0.pdf</t>
  </si>
  <si>
    <t>2025-09-12 15:38:49</t>
  </si>
  <si>
    <t>2025-09-12 10:38:49</t>
  </si>
  <si>
    <t>ZAPATOS DE SEGURIDAD Y PASAJE INICIO DE OBRA </t>
  </si>
  <si>
    <t>https://storage.googleapis.com/deytha-prod/payments/BzlfzH4d6VLHV8F8tOtOmJxpb6vwzdoQ4ksteR3b.png</t>
  </si>
  <si>
    <t>https://storage.googleapis.com/deytha-prod/payments/0KKO1kGUPJdlzB3Wo0Aiaz49IIJPrhATUZNoYeS2.pdf</t>
  </si>
  <si>
    <t>2025-09-12 15:17:21</t>
  </si>
  <si>
    <t>2025-09-12 10:17:21</t>
  </si>
  <si>
    <t>https://storage.googleapis.com/deytha-prod/payments/RZ8Y04u4nEXUM9s5RLKCutqqppYCJjAjTrY50EJf.png</t>
  </si>
  <si>
    <t>https://storage.googleapis.com/deytha-prod/payments/sG77etRjZjXVZ6lDfvwhcxkDwJxZWrq5lSTpHkva.pdf</t>
  </si>
  <si>
    <t>2025-09-12 15:14:08</t>
  </si>
  <si>
    <t>2025-09-12 10:14:08</t>
  </si>
  <si>
    <t>GASTOS VARIOS </t>
  </si>
  <si>
    <t>https://storage.googleapis.com/deytha-prod/payments/XIzLwN0uJOkNXzgG11tV3e4SW25W88VCONkOfDx2.png</t>
  </si>
  <si>
    <t>https://storage.googleapis.com/deytha-prod/payments/wCx6oUFzd4FgJVYFg5MvT2gTl6D1i3j2NmLGicMX.pdf</t>
  </si>
  <si>
    <t>2025-09-12 14:42:09</t>
  </si>
  <si>
    <t>2025-09-12 09:42:09</t>
  </si>
  <si>
    <t>2025-09-05 09:42:09</t>
  </si>
  <si>
    <t>AGOSTO-2025-REM NETAS-PY28-RG</t>
  </si>
  <si>
    <t>2026-02-23 12:21:06</t>
  </si>
  <si>
    <t>2025-09-11 23:02:14</t>
  </si>
  <si>
    <t>2025-09-11 18:02:14</t>
  </si>
  <si>
    <t>2025-09-11 18:03:11</t>
  </si>
  <si>
    <t>https://storage.googleapis.com/deytha-prod/payments/ZV0OvnpnT6IqSDSflkltl2cx2qvKC5sEaqQuBvRU.jpg</t>
  </si>
  <si>
    <t>https://storage.googleapis.com/deytha-prod/payments/xNnbY3NCNv1bkVrxZaomNBhC237K6QWfMQ6hy8el.jpg</t>
  </si>
  <si>
    <t>2025-09-10 13:01:49</t>
  </si>
  <si>
    <t>2025-09-11 16:48:55</t>
  </si>
  <si>
    <t>2025-09-11 09:01:32</t>
  </si>
  <si>
    <t xml:space="preserve">RESPIRADORES REUTILIZABLES 6000 
FILTROS 2091 </t>
  </si>
  <si>
    <t>2025-09-12 18:10:00</t>
  </si>
  <si>
    <t>https://storage.googleapis.com/deytha-prod/payments/G6Bi2RyAhHMGE3AemupIlGqy7uBrOlIpbcq5ekfL.pdf</t>
  </si>
  <si>
    <t>https://storage.googleapis.com/deytha-prod/paymentBills/M6b9y4KO6SSa3YdmA8wM0OOaXkaNra5vjZiiEUOG.png</t>
  </si>
  <si>
    <t>https://storage.googleapis.com/deytha-prod/supplierBills/ntYgFfFSiTdwEfeSYIqG6KZyJMaP1dHe3acjTxK2.pdf</t>
  </si>
  <si>
    <t>2025-09-10 18:38:17</t>
  </si>
  <si>
    <t>2025-09-11 13:37:33</t>
  </si>
  <si>
    <t>CILINDRO PARA COMBUSTIBLE 
CHAVOS DE 1000 LITROS 
REQ # 35 - CIVIL</t>
  </si>
  <si>
    <t>2025-09-12 15:56:00</t>
  </si>
  <si>
    <t>https://storage.googleapis.com/deytha-prod/payments/q4NEnWIF26XrqZt81LztCDAyh7qN8aohR2t5XMro.pdf</t>
  </si>
  <si>
    <t>https://storage.googleapis.com/deytha-prod/paymentBills/4uRLeKOzaPzQx7d2refLW15IR9BhNtUNQK6921RR.png</t>
  </si>
  <si>
    <t>https://storage.googleapis.com/deytha-prod/supplierBills/4kaLc8OPCpK3Yl3h21PMd3qmr21krsTkaZSQphdO.pdf</t>
  </si>
  <si>
    <t>2025-09-10 20:44:31</t>
  </si>
  <si>
    <t>2025-09-11 15:41:11</t>
  </si>
  <si>
    <t>MATERIALES DE TELECOMUNICACION
CABLE COAXIAL 
INTERRUPTOR 
TERMOCONTRAIBLE 
CINTA VELCRO
REQ # 3-4-8 / AREA TELECOMUNICACIONES</t>
  </si>
  <si>
    <t>https://storage.googleapis.com/deytha-prod/payments/IS0kaxNUzRTA7PAPE14LhQEtec7mlEbENCX4eiix.pdf</t>
  </si>
  <si>
    <t>https://storage.googleapis.com/deytha-prod/paymentBills/vWZ5cRbhgVEgW1CHrTm84VeQMp6l5zNSLBoUCdRd.pdf</t>
  </si>
  <si>
    <t>https://storage.googleapis.com/deytha-prod/supplierBills/S2uELQUTwPQGzKulIgCH1x3yxqQliwiVSk7mqZhs.pdf</t>
  </si>
  <si>
    <t>2025-09-10 20:53:12</t>
  </si>
  <si>
    <t>2025-09-11 15:52:58</t>
  </si>
  <si>
    <t xml:space="preserve">ADITIVOS SIKA CEM 
SIKA ANTISOL 
REQ # 34 CIVIL </t>
  </si>
  <si>
    <t>2025-09-12 16:06:00</t>
  </si>
  <si>
    <t>https://storage.googleapis.com/deytha-prod/payments/U9Nha3G8Pqu2XsKPGNam3BaxQzdP0QYFs21jZw47.pdf</t>
  </si>
  <si>
    <t>https://storage.googleapis.com/deytha-prod/paymentBills/tpMic4yWWYNVojcZlutuxnLN9jVU8WL8MjGug41D.png</t>
  </si>
  <si>
    <t>https://storage.googleapis.com/deytha-prod/supplierBills/xyW14Ro0l41MzYYD1fO5e8dQH2A99fPOlH3SVuy8.pdf</t>
  </si>
  <si>
    <t>2025-09-10 21:32:11</t>
  </si>
  <si>
    <t>2025-09-11 16:28:52</t>
  </si>
  <si>
    <t xml:space="preserve">MATERIALES VARIOS 
TEMPLE 
UREA 
DADOS 
DOBLADORA
REQ # 23 SSOMA 
REQ # 34 - 35 - CIVIL </t>
  </si>
  <si>
    <t>2025-09-12 16:01:00</t>
  </si>
  <si>
    <t>https://storage.googleapis.com/deytha-prod/payments/DnPxxVQErCPUxtlM6SmiEJ2l7raUQ4KKF2EMDg4h.pdf</t>
  </si>
  <si>
    <t>https://storage.googleapis.com/deytha-prod/paymentBills/WRPMKe7LllnbxV2GhVOkofS3G0iXZfU5jjG1NCTW.png</t>
  </si>
  <si>
    <t>https://storage.googleapis.com/deytha-prod/supplierBills/HUBtbx0KVS7mdlMdMxCtSGrYqjxEuTwMqEehH0gb.pdf</t>
  </si>
  <si>
    <t>2025-09-08 17:16:03</t>
  </si>
  <si>
    <t>2025-09-11 16:41:11</t>
  </si>
  <si>
    <t>2025-09-08 12:15:40</t>
  </si>
  <si>
    <t>COMBUSTIBLE DEL 20 AL 30 DE AGOSTO - VALORIZACION</t>
  </si>
  <si>
    <t>2025-09-12 20:02:00</t>
  </si>
  <si>
    <t>https://storage.googleapis.com/deytha-prod/payments/ZHZnB6qXWnReRKxrgJdfVSfObvnnhJPj1fZgamMd.pdf</t>
  </si>
  <si>
    <t>https://storage.googleapis.com/deytha-prod/paymentBills/qqlchzMoNDRUtJF5cuTOpx5IUQZZFIQbr42aQBpu.png</t>
  </si>
  <si>
    <t>https://storage.googleapis.com/deytha-prod/supplierBills/nf9qX7He12RPHQokZ5JYmXEbMPEDYhZSmDHUZjqF.pdf</t>
  </si>
  <si>
    <t>2025-09-08 19:33:52</t>
  </si>
  <si>
    <t>2025-09-08 14:33:03</t>
  </si>
  <si>
    <t>COOLER CONTOUR</t>
  </si>
  <si>
    <t>2025-09-16 15:57:00</t>
  </si>
  <si>
    <t>https://storage.googleapis.com/deytha-prod/payments/atRNAEobE1hZB3juADho0v7VATVRO7il9q7FEULM.pdf</t>
  </si>
  <si>
    <t>https://storage.googleapis.com/deytha-prod/paymentBills/CeoLIqm4czyLVCxF0sbdmKn60BultZZj1Nk3Xocx.pdf</t>
  </si>
  <si>
    <t>https://storage.googleapis.com/deytha-prod/supplierBills/Zaufj9qZtmg40sXOmhTBw8i2zRo623MbLwqp743x.pdf</t>
  </si>
  <si>
    <t>2025-09-09 20:09:12</t>
  </si>
  <si>
    <t>2025-09-09 15:09:06</t>
  </si>
  <si>
    <t>ITACOM E.I.R.L.</t>
  </si>
  <si>
    <t>000-3016424  CCI- 00943200000301642468</t>
  </si>
  <si>
    <t>RADIO TALKAOUT TRANSMISOR RECEPTOR PORTATIL MOTOROLA</t>
  </si>
  <si>
    <t>2025-09-16 15:50:00</t>
  </si>
  <si>
    <t>https://storage.googleapis.com/deytha-prod/payments/pRbdC2V0zOYefAzaaFa9e6skURVvhCSbLbe4tOQC.pdf</t>
  </si>
  <si>
    <t>https://storage.googleapis.com/deytha-prod/paymentBills/CcS4loCsNwFAokpYl4DmPVr7YN9GdHLPsgpPpqbh.pdf</t>
  </si>
  <si>
    <t>https://storage.googleapis.com/deytha-prod/supplierBills/qVarr9VkhPsgK1Ex9UyV9SsFIch2lrFxx4NcSePm.pdf</t>
  </si>
  <si>
    <t>2025-09-10 00:05:56</t>
  </si>
  <si>
    <t>2025-09-11 10:04:57</t>
  </si>
  <si>
    <t xml:space="preserve">COT 
BENTONICA 
TUBO 6" 
REQ ADICIONALELECTRICO 01 </t>
  </si>
  <si>
    <t>2025-09-12 18:24:00</t>
  </si>
  <si>
    <t>https://storage.googleapis.com/deytha-prod/payments/9LfmfvoDV0FKvdV2ErNTQjQCEBnDwuqgSD2H2UYs.pdf</t>
  </si>
  <si>
    <t>https://storage.googleapis.com/deytha-prod/paymentBills/RrjN2UuDk4S2CzT2SqgqCQ7YF4KJcVuK9DWyb1WI.png</t>
  </si>
  <si>
    <t>https://storage.googleapis.com/deytha-prod/supplierBills/F9zAvCuJeMsnDhi7KK42DXUmJwZWsGW4GUIpQO3a.pdf</t>
  </si>
  <si>
    <t>2025-09-11 04:23:23</t>
  </si>
  <si>
    <t>2025-09-11 11:08:39</t>
  </si>
  <si>
    <t>2025-09-11 14:22:40</t>
  </si>
  <si>
    <t xml:space="preserve">MESA CATERING PLEGABLE 
RQ 26 SSOMA </t>
  </si>
  <si>
    <t>2025-09-11 11:29:00</t>
  </si>
  <si>
    <t>https://storage.googleapis.com/deytha-prod/payments/oi2eJ7J9St9CCevPLc34r4fU375Fx5wg6cfE2TgS.pdf</t>
  </si>
  <si>
    <t>https://storage.googleapis.com/deytha-prod/paymentBills/ad4ENHtceox0hhwLSWrDDqTwmfThRVPZKWDCAHM0.pdf</t>
  </si>
  <si>
    <t>https://storage.googleapis.com/deytha-prod/supplierBills/FEYUvHYHVTJoGtqDEVaGZfcc6KGILZTCyZV9gy05.pdf</t>
  </si>
  <si>
    <t>2025-09-11 07:14:11</t>
  </si>
  <si>
    <t>2025-09-11 02:14:11</t>
  </si>
  <si>
    <t>2025-07-29 02:14:11</t>
  </si>
  <si>
    <t>PASAJE PARA AREQUIPA MOVILIZACION DE MATERIALES DE ALMACEN DE AREQUIPA HACIA MOQUEGUA </t>
  </si>
  <si>
    <t>2025-09-11 02:31:11</t>
  </si>
  <si>
    <t>https://storage.googleapis.com/deytha-prod/payments/PadOexW5vnJrNfjPIEOrR5B4kv0cu8AihaBx5pjs.pdf</t>
  </si>
  <si>
    <t>https://storage.googleapis.com/deytha-prod/payments/czeGQbhzQZ52lYFt6H4MsJToPT04v3FJwncbddok.pdf</t>
  </si>
  <si>
    <t>2025-09-11 07:11:31</t>
  </si>
  <si>
    <t>2025-09-11 02:11:31</t>
  </si>
  <si>
    <t>2025-07-17 02:11:31</t>
  </si>
  <si>
    <t>TRANSPORTE DE CARGA DE LIMA HACIA MOQUEGUA </t>
  </si>
  <si>
    <t>2025-09-11 02:31:16</t>
  </si>
  <si>
    <t>https://storage.googleapis.com/deytha-prod/payments/sw9liIVRPH3TiBj4mVQhTCy6bVXKc843I4sSvCU6.pdf</t>
  </si>
  <si>
    <t>https://storage.googleapis.com/deytha-prod/payments/wouwLovqtHpuhEtCvZrnpw4gq49dTIrBdkNPpJAj.pdf</t>
  </si>
  <si>
    <t>2025-09-11 07:11:21</t>
  </si>
  <si>
    <t>2025-09-11 02:11:21</t>
  </si>
  <si>
    <t>2025-07-31 02:11:21</t>
  </si>
  <si>
    <t>TRASLADO DE TUBOS DE AREQUIPA HACIA MOQUEGUA AREA MECANICA </t>
  </si>
  <si>
    <t>https://storage.googleapis.com/deytha-prod/payments/2G704OceblqQuNQjtffcZ5qMeyTdsbR92CVbVAlv.pdf</t>
  </si>
  <si>
    <t>https://storage.googleapis.com/deytha-prod/payments/WV2HqYsm0GE5NdBmjBdJiliSe2mcbREAnOfYbd29.pdf</t>
  </si>
  <si>
    <t>2025-09-11 07:11:14</t>
  </si>
  <si>
    <t>2025-09-11 02:11:14</t>
  </si>
  <si>
    <t>2025-08-03 02:11:14</t>
  </si>
  <si>
    <t>ENVIO DE VALIJA DE FACTURAS </t>
  </si>
  <si>
    <t>2025-09-11 02:35:06</t>
  </si>
  <si>
    <t>https://storage.googleapis.com/deytha-prod/payments/n0c4ukmOCQWK6IR7cAViSQbGHBifN7Qc9yXiobrs.pdf</t>
  </si>
  <si>
    <t>https://storage.googleapis.com/deytha-prod/payments/6UpqFzYUK2sWys0eZChu311ZUFE4jIYSgohsmiy3.pdf</t>
  </si>
  <si>
    <t>2025-09-11 07:11:10</t>
  </si>
  <si>
    <t>2025-09-11 02:11:10</t>
  </si>
  <si>
    <t>2025-08-01 02:11:10</t>
  </si>
  <si>
    <t>COMPRA DE PAPEL BOND</t>
  </si>
  <si>
    <t>2025-09-11 02:32:46</t>
  </si>
  <si>
    <t>https://storage.googleapis.com/deytha-prod/payments/Cd5ak2EVBpGEORtXiDwBres7mtyBDu8JRufevdvt.pdf</t>
  </si>
  <si>
    <t>https://storage.googleapis.com/deytha-prod/payments/BJkERbGAfH4NGBGZ5MncCTOZEhA5U8k5KWUk8WWF.pdf</t>
  </si>
  <si>
    <t>2025-09-11 07:11:06</t>
  </si>
  <si>
    <t>2025-09-11 02:11:06</t>
  </si>
  <si>
    <t>2025-08-01 02:11:06</t>
  </si>
  <si>
    <t>CAMBIO DE CAMARA Y PONCHO DE VOLQUETE DE PLACA BHL-878</t>
  </si>
  <si>
    <t>2025-09-11 02:31:28</t>
  </si>
  <si>
    <t>https://storage.googleapis.com/deytha-prod/payments/SmBak8pWWIemy2CSHDtdvL6pW5rere4WHKUlmTE1.pdf</t>
  </si>
  <si>
    <t>https://storage.googleapis.com/deytha-prod/payments/1dmDvtJ7UhTehdHaW2CGJt3BTLHqWYGv5LNHpRuC.pdf</t>
  </si>
  <si>
    <t>2025-09-11 07:11:05</t>
  </si>
  <si>
    <t>2025-09-11 02:11:05</t>
  </si>
  <si>
    <t>2025-07-24 02:11:05</t>
  </si>
  <si>
    <t>SERVICIO DE CMBIO DE UBICACION DE NEBLINERO E INSTALACION </t>
  </si>
  <si>
    <t>2025-09-11 02:31:02</t>
  </si>
  <si>
    <t>https://storage.googleapis.com/deytha-prod/payments/HGaRa6UKM01TmALMOvn6UeGMXRK5aFPo2ezwQGcj.pdf</t>
  </si>
  <si>
    <t>https://storage.googleapis.com/deytha-prod/payments/6WYtoy0NJZCl9RAfjQvpyLTyYVyx6IMuaQL1fngy.pdf</t>
  </si>
  <si>
    <t>2025-09-10 23:24:26</t>
  </si>
  <si>
    <t>2025-09-10 18:25:28</t>
  </si>
  <si>
    <t>2025-09-10 19:24:22</t>
  </si>
  <si>
    <t>CORPORACION PERUANA DE CENTROS MEDICOS S.A.C.</t>
  </si>
  <si>
    <t xml:space="preserve">5702081541040 </t>
  </si>
  <si>
    <t>PAGO POR EMO DE NOVOA CALLA VICTOR ROLANDO</t>
  </si>
  <si>
    <t>2025-09-10 19:29:00</t>
  </si>
  <si>
    <t>https://storage.googleapis.com/deytha-prod/payments/vAkP0iFPtKh0m5j88QMHcBHOToLg4oGQnCY3Pj1O.png</t>
  </si>
  <si>
    <t>https://storage.googleapis.com/deytha-prod/paymentBills/UWD6MBR6yXoC2pLOpK8Vbl2OVJENd9ERBkdOzVZz.png</t>
  </si>
  <si>
    <t>https://storage.googleapis.com/deytha-prod/supplierBills/oRygDORqW9rfc1sGBx3xWwm6b2cXkD5dBUe3YeBc.pdf</t>
  </si>
  <si>
    <t>2025-09-10 23:07:27</t>
  </si>
  <si>
    <t>2025-09-10 18:07:27</t>
  </si>
  <si>
    <t>FLORES VASQUEZ SOLEDAD ROSARIO</t>
  </si>
  <si>
    <t>430-08272323-0-95</t>
  </si>
  <si>
    <t>2025-09-10 18:58:00</t>
  </si>
  <si>
    <t>https://storage.googleapis.com/deytha-prod/worker/settle/ASj7JYRVy91fK4Irl3QWfTL72z4FThHTbGMOinwp.pdf</t>
  </si>
  <si>
    <t>https://storage.googleapis.com/deytha-prod/paymentBills/yQMrgg20XPIemobhZmNaXuQjvwVj2Z2s5zFB11qL.png</t>
  </si>
  <si>
    <t>2025-09-10 13:12:14</t>
  </si>
  <si>
    <t>2025-09-10 14:33:37</t>
  </si>
  <si>
    <t>2025-09-11 09:11:51</t>
  </si>
  <si>
    <t>430 - 96592649 -0 -44.</t>
  </si>
  <si>
    <t>UTILES DE ESCRITORIO 
REQ DE AREA ADMINISTRATIVA Y RECLUTAMIENTO</t>
  </si>
  <si>
    <t>2025-09-11 16:36:00</t>
  </si>
  <si>
    <t>https://storage.googleapis.com/deytha-prod/payments/0kCkiwZQArmIFAju2fXznxyoQli66D5zgv3RZk84.jpg</t>
  </si>
  <si>
    <t>https://storage.googleapis.com/deytha-prod/paymentBills/rhBf6oV6aRs9wBS4AGV9Y0cDLaTFKnFQ17FxHUvp.png</t>
  </si>
  <si>
    <t>https://storage.googleapis.com/deytha-prod/supplierBills/zABS1PT6m9bJxDk8PaCRNNk6Y8gN73gdo2JFHkC1.pdf</t>
  </si>
  <si>
    <t>2025-09-10 14:38:40</t>
  </si>
  <si>
    <t>2025-09-10 12:06:09</t>
  </si>
  <si>
    <t>2025-09-11 10:36:34</t>
  </si>
  <si>
    <t xml:space="preserve">EPPS 
BROCHAS 
CONO DE SEGURIDAD
REQ # 34 CIVIL
REQ # 35 CIVIL
REQ # 26 SSOMA </t>
  </si>
  <si>
    <t>2025-09-12 20:17:00</t>
  </si>
  <si>
    <t>https://storage.googleapis.com/deytha-prod/payments/7Hg9r9C42Ed2eguP4X7eTsQo0oQFQcGvm5OMGtez.pdf</t>
  </si>
  <si>
    <t>https://storage.googleapis.com/deytha-prod/paymentBills/xsN8h6HAKbrmmCBQIiPM8FC9z4mi5NSXbTRgPMW1.png</t>
  </si>
  <si>
    <t>https://storage.googleapis.com/deytha-prod/supplierBills/MK7OcdGkzh9oiAtkHjzNAqBGHYrts4LpwCZKcWwl.pdf</t>
  </si>
  <si>
    <t>2025-09-10 16:25:35</t>
  </si>
  <si>
    <t>2025-09-11 11:25:25</t>
  </si>
  <si>
    <t>PERSONAL PARAMÉDICO PARA EL PROYECTO 5940-006 REEMPLAZO BASE  3 POR INSTALACION DE DOS BASES DE COMUNICACIÓN - MINA CUAJONE</t>
  </si>
  <si>
    <t>2025-09-10 12:20:00</t>
  </si>
  <si>
    <t>https://storage.googleapis.com/deytha-prod/paymentBills/pPaMDmLh5IVQGlE202ukYU5I1eVWWiROlVBI4wxF.png</t>
  </si>
  <si>
    <t>https://storage.googleapis.com/deytha-prod/supplierBills/HroZmYIRfoUBPjGXTMqnc49jKQga1TNeNd2VYCgF.pdf</t>
  </si>
  <si>
    <t>2025-09-10 14:33:48</t>
  </si>
  <si>
    <t>2025-09-10 09:58:14</t>
  </si>
  <si>
    <t>2025-09-10 10:33:46</t>
  </si>
  <si>
    <t xml:space="preserve">PAGO POR EMO DE ZUMARAN NAMOC KEVIN ANDRE ULISES </t>
  </si>
  <si>
    <t>2025-09-10 10:05:00</t>
  </si>
  <si>
    <t>https://storage.googleapis.com/deytha-prod/payments/HTUYa1uuso8tPNkb2bj5p6eJvK2gSXiLerzY3Z2M.png</t>
  </si>
  <si>
    <t>https://storage.googleapis.com/deytha-prod/paymentBills/mZFC9Z4riRJcsQKozjzgshwbcfEISnDsLxKKgThk.png</t>
  </si>
  <si>
    <t>https://storage.googleapis.com/deytha-prod/supplierBills/vG2vxBHhZazPw6tPf82lpbW5Hk1Z7hsCQIF6TyTX.pdf</t>
  </si>
  <si>
    <t>2025-09-10 14:13:37</t>
  </si>
  <si>
    <t>2025-09-10 09:31:52</t>
  </si>
  <si>
    <t>2025-09-10 10:13:22</t>
  </si>
  <si>
    <t>PAGO POR EMO DE VASQUEZ FLORES JOSE LUIS</t>
  </si>
  <si>
    <t>2025-09-10 09:46:00</t>
  </si>
  <si>
    <t>https://storage.googleapis.com/deytha-prod/payments/Cj5mR40lGFwyKBJpNamEeYDFIBoThzz0g0UyS6h5.png</t>
  </si>
  <si>
    <t>https://storage.googleapis.com/deytha-prod/paymentBills/alPky14X1kIrRXnVZZkxjtes4BAiujaCgbVoG3VX.png</t>
  </si>
  <si>
    <t>https://storage.googleapis.com/deytha-prod/supplierBills/fpNbWbh4ZBp95cNOpQEoplexHtaK1cpQ1yMgUjlY.pdf</t>
  </si>
  <si>
    <t>2025-09-09 18:00:00</t>
  </si>
  <si>
    <t>2025-09-09 17:42:14</t>
  </si>
  <si>
    <t>2025-09-09 13:59:53</t>
  </si>
  <si>
    <t>PAGO POR EMO DE ESTACA GOMEZ DANIEL ERICK Y GUTIERREZ FERNANDEZ ALEJANDRO</t>
  </si>
  <si>
    <t>2025-09-09 17:18:00</t>
  </si>
  <si>
    <t>https://storage.googleapis.com/deytha-prod/payments/o2DksNiqoXMokWGcvqdVs3fdPPD5cqJBscfe2rxc.xlsx</t>
  </si>
  <si>
    <t>https://storage.googleapis.com/deytha-prod/paymentBills/kZBkNbOmb5hkQUM6EsE7i0AjVQkYw14qhqXOL3EN.png</t>
  </si>
  <si>
    <t>https://storage.googleapis.com/deytha-prod/supplierBills/1LB6OhQ2HH8pVIjU0NA73aBDxmdHpe2FdlEWCgAZ.pdf</t>
  </si>
  <si>
    <t>2025-09-09 21:20:04</t>
  </si>
  <si>
    <t>2025-09-09 17:19:58</t>
  </si>
  <si>
    <t>PAGO POR EMO DE VALDIVIA HUAMAN RICARDO FERNANDO/ ALFARO FLORES LUIS ENRIQUE/ SINACAY PINCHI ALEXANDER AUGUSTO</t>
  </si>
  <si>
    <t>2025-09-09 17:15:00</t>
  </si>
  <si>
    <t>https://storage.googleapis.com/deytha-prod/payments/j9qU9eeavg6L7ujzqzwn88PI44NuCK3u6UZTc0yY.pdf</t>
  </si>
  <si>
    <t>https://storage.googleapis.com/deytha-prod/paymentBills/vSXBdM4AnOm59q7DhT0Ib4DTOKiqBuyGn3fgIBRa.png</t>
  </si>
  <si>
    <t>https://storage.googleapis.com/deytha-prod/supplierBills/PHV1nUR6phAaQtZsp1wdLMVUTBml1fIoagna3ru5.pdf</t>
  </si>
  <si>
    <t>2025-09-09 16:54:51</t>
  </si>
  <si>
    <t>2025-09-09 11:54:51</t>
  </si>
  <si>
    <t>2025-07-11 11:54:51</t>
  </si>
  <si>
    <t>SERVICIO DE ENCOMIENDA LIMA - MOQUEGUA MATERIALES VARIOS </t>
  </si>
  <si>
    <t>https://storage.googleapis.com/deytha-prod/payments/Nj8KELHpRmx24lc21oKuOZn3yHBizpNDaDJFmr7y.pdf</t>
  </si>
  <si>
    <t>https://storage.googleapis.com/deytha-prod/payments/kAbcb1WY7I1Xla6gvGYbqMIJagbJ4cmITwvSjAcg.pdf</t>
  </si>
  <si>
    <t>2025-09-09 16:54:47</t>
  </si>
  <si>
    <t>2025-09-09 11:54:47</t>
  </si>
  <si>
    <t>2025-08-22 11:54:47</t>
  </si>
  <si>
    <t>COMPRA DE ARCHIVADORES</t>
  </si>
  <si>
    <t>2025-09-11 02:30:57</t>
  </si>
  <si>
    <t>https://storage.googleapis.com/deytha-prod/payments/i4qS6T8uPkrVP0F8hbjLlxc9iMNi7Tt3XHCNYEXV.pdf</t>
  </si>
  <si>
    <t>https://storage.googleapis.com/deytha-prod/payments/F0iUk18zYJQR5hCeSlrnENhv6TZtP5zHf8gZgRq1.pdf</t>
  </si>
  <si>
    <t>2025-09-09 16:24:22</t>
  </si>
  <si>
    <t>2025-09-09 11:45:06</t>
  </si>
  <si>
    <t>2025-09-09 12:24:12</t>
  </si>
  <si>
    <t>PAGO POR EMO DE ALAVE ORDOÑEZ NOEL ARTURO</t>
  </si>
  <si>
    <t>2025-09-09 16:05:00</t>
  </si>
  <si>
    <t>https://storage.googleapis.com/deytha-prod/payments/s250x3y0oPqmFUFNc4qgM1gIz85Zcqqmbc9goLxS.pdf</t>
  </si>
  <si>
    <t>https://storage.googleapis.com/deytha-prod/paymentBills/i1n4ppKwEt1n85SzeVddsN3U4r7MkXH6WnBTU63F.pdf</t>
  </si>
  <si>
    <t>https://storage.googleapis.com/deytha-prod/supplierBills/a8P5eN9fXEiMeBHwLh3IW1WS97BXPBc3yLeV9Lpi.pdf</t>
  </si>
  <si>
    <t>2025-09-09 16:13:00</t>
  </si>
  <si>
    <t>2025-09-09 11:13:00</t>
  </si>
  <si>
    <t>2025-08-26 11:13:00</t>
  </si>
  <si>
    <t>SERVICIO DE ENCOMIENDA AREQUIPA - MOQUEGUA </t>
  </si>
  <si>
    <t>https://storage.googleapis.com/deytha-prod/payments/F3n8eF1OjwtcV8a2txLZV6NKJXaNmKTKQ4EMoOSo.pdf</t>
  </si>
  <si>
    <t>https://storage.googleapis.com/deytha-prod/payments/swH9wrCAUY9wKJSORapNVU5SMww33efVoavj3js2.pdf</t>
  </si>
  <si>
    <t>2025-09-09 16:12:54</t>
  </si>
  <si>
    <t>2025-09-09 11:12:54</t>
  </si>
  <si>
    <t>2025-08-22 11:12:54</t>
  </si>
  <si>
    <t>SERVICIO DE ENCOMIENDA AREQIPA - MOQUEGUA</t>
  </si>
  <si>
    <t>2025-09-11 02:30:53</t>
  </si>
  <si>
    <t>https://storage.googleapis.com/deytha-prod/payments/Tb6mvoArU6gSYTLHB5j8MJ0EfGk4XzxBSQ37Vqat.pdf</t>
  </si>
  <si>
    <t>https://storage.googleapis.com/deytha-prod/payments/tRHKwPYTIJTNrTq2Y95qjJ54hYnXnQ3VyHMvWFvx.pdf</t>
  </si>
  <si>
    <t>2025-09-09 16:12:49</t>
  </si>
  <si>
    <t>2025-09-09 11:12:49</t>
  </si>
  <si>
    <t>2025-07-30 11:12:49</t>
  </si>
  <si>
    <t>TICONA RODRIGUEZ RICKY MARTIN</t>
  </si>
  <si>
    <t>MANTENIMIENTO DE IMPRESORA </t>
  </si>
  <si>
    <t>2025-09-11 02:31:06</t>
  </si>
  <si>
    <t>https://storage.googleapis.com/deytha-prod/payments/dJ47fgb3w6CRd8aHByxwbj02VQw2zGY27N9zQS4E.pdf</t>
  </si>
  <si>
    <t>https://storage.googleapis.com/deytha-prod/payments/VazZAtIUyPB65be0qTDJM7aEiK59xneB7uko3Dc6.pdf</t>
  </si>
  <si>
    <t>2025-09-08 17:35:18</t>
  </si>
  <si>
    <t>2025-09-08 12:35:18</t>
  </si>
  <si>
    <t>2025-07-09 12:35:18</t>
  </si>
  <si>
    <t>SERVICIO DE TRASPORTE DE CARGA  TACNA - MOQUEGUA</t>
  </si>
  <si>
    <t>https://storage.googleapis.com/deytha-prod/payments/Vd1D44rPcNkMNy40eHdcvSVm6xluR1ZJu9z10GZq.pdf</t>
  </si>
  <si>
    <t>https://storage.googleapis.com/deytha-prod/payments/wlhPF6dixN89MN52MyAGXHuTB8CE58y4C0Ujq6nN.pdf</t>
  </si>
  <si>
    <t>2025-09-08 17:35:15</t>
  </si>
  <si>
    <t>2025-09-08 12:35:15</t>
  </si>
  <si>
    <t>2025-08-14 12:35:15</t>
  </si>
  <si>
    <t>SERVICIO DE ENCOMIENDA </t>
  </si>
  <si>
    <t>2025-09-11 02:30:48</t>
  </si>
  <si>
    <t>https://storage.googleapis.com/deytha-prod/payments/O1fDHh3HvgJdLNxGYker5PdnJVvv4T819w919ORK.pdf</t>
  </si>
  <si>
    <t>https://storage.googleapis.com/deytha-prod/payments/6Sk3fJ0DkbqyTvsrRewDRlqEa0JeYgSJZX8YHGHp.pdf</t>
  </si>
  <si>
    <t>2025-09-08 17:35:10</t>
  </si>
  <si>
    <t>2025-09-08 12:35:10</t>
  </si>
  <si>
    <t>2025-07-08 12:35:10</t>
  </si>
  <si>
    <t>COMPRA DE CARBONES </t>
  </si>
  <si>
    <t>https://storage.googleapis.com/deytha-prod/payments/yaUofujMWZSn98NoUQAO6VLhX2m8gOTzYCLQkVip.pdf</t>
  </si>
  <si>
    <t>https://storage.googleapis.com/deytha-prod/payments/K17KZycSDETGEJMDXihzdsRRLoUGDYMJ1BL5uJdB.pdf</t>
  </si>
  <si>
    <t>2025-09-08 17:35:07</t>
  </si>
  <si>
    <t>2025-09-08 12:35:07</t>
  </si>
  <si>
    <t>2025-07-16 12:35:07</t>
  </si>
  <si>
    <t>2025-09-11 02:30:39</t>
  </si>
  <si>
    <t>https://storage.googleapis.com/deytha-prod/payments/k4f6IpPKZuM4hMim6IrZ3pcbCfajBR9oPuywfFHp.pdf</t>
  </si>
  <si>
    <t>https://storage.googleapis.com/deytha-prod/payments/Y48CJtgWGvfB6Q0MGJrz6yN45NVRz4vMV9Aj081d.pdf</t>
  </si>
  <si>
    <t>2025-09-08 17:35:01</t>
  </si>
  <si>
    <t>2025-09-08 12:35:01</t>
  </si>
  <si>
    <t>2025-07-15 12:35:01</t>
  </si>
  <si>
    <t>SERVICIO DE ENCOMINEDA </t>
  </si>
  <si>
    <t>2025-09-11 02:30:34</t>
  </si>
  <si>
    <t>https://storage.googleapis.com/deytha-prod/payments/ozlLytYicCdBlt4yhbANixT3pWTHoKQDxW0G0bty.pdf</t>
  </si>
  <si>
    <t>https://storage.googleapis.com/deytha-prod/payments/SJM2ANxhMxMGkTPe9pkF8TTpUCxWUs1ecvHZyhpi.pdf</t>
  </si>
  <si>
    <t>2025-09-08 17:34:53</t>
  </si>
  <si>
    <t>2025-09-08 12:34:53</t>
  </si>
  <si>
    <t>2025-08-02 12:34:53</t>
  </si>
  <si>
    <t>SERVICIO DE  ENCOMIENDAS </t>
  </si>
  <si>
    <t>https://storage.googleapis.com/deytha-prod/payments/aNfgoVR2i9k1NPxjj7zue0z4aWQJXcXGrFXQxxBG.pdf</t>
  </si>
  <si>
    <t>https://storage.googleapis.com/deytha-prod/payments/Z4RG5prKGAFwglvgVjJUQsHVLgtBkaZBV50lJYUL.pdf</t>
  </si>
  <si>
    <t>2025-09-08 17:34:43</t>
  </si>
  <si>
    <t>2025-09-08 12:34:43</t>
  </si>
  <si>
    <t>2025-07-30 12:34:43</t>
  </si>
  <si>
    <t>SERVICIO DE TRASPORTE DE CARGA </t>
  </si>
  <si>
    <t>https://storage.googleapis.com/deytha-prod/payments/SGAZ4IdGSkTlHsQAfNja4rIhNjI32On2e6KzxCt8.pdf</t>
  </si>
  <si>
    <t>https://storage.googleapis.com/deytha-prod/payments/43GNLnsh1e0sMUqboaVPnBNk9oxTFvv9y8fVX5WK.pdf</t>
  </si>
  <si>
    <t>2025-09-08 17:34:38</t>
  </si>
  <si>
    <t>2025-09-08 12:34:38</t>
  </si>
  <si>
    <t>2025-08-11 12:34:38</t>
  </si>
  <si>
    <t>2025-09-11 02:30:29</t>
  </si>
  <si>
    <t>https://storage.googleapis.com/deytha-prod/payments/OEI5gDsUxo1uYvin7K0NSAPPI6YdyOtqGT3jpCaL.pdf</t>
  </si>
  <si>
    <t>https://storage.googleapis.com/deytha-prod/payments/cjeS8iZQ2cCUYty1bNjSXNVHizV0LCQ43ZY1navQ.pdf</t>
  </si>
  <si>
    <t>2025-09-08 17:34:36</t>
  </si>
  <si>
    <t>2025-09-08 12:34:36</t>
  </si>
  <si>
    <t>2025-08-05 12:34:36</t>
  </si>
  <si>
    <t>SERVICIO DE ENCOMIENDA  AREQUIPA - MOQUEGUA </t>
  </si>
  <si>
    <t>2025-09-11 02:30:25</t>
  </si>
  <si>
    <t>https://storage.googleapis.com/deytha-prod/payments/g5tAAQTD4sRmvglaWeZx6sLIIh9nePlMzstvxxPg.pdf</t>
  </si>
  <si>
    <t>https://storage.googleapis.com/deytha-prod/payments/TVt2JjOKkYr6tdSQ14dWsU2HpNhROflIS6nA0HrS.pdf</t>
  </si>
  <si>
    <t>2025-09-08 17:34:32</t>
  </si>
  <si>
    <t>2025-09-08 12:34:32</t>
  </si>
  <si>
    <t>2025-07-22 12:34:32</t>
  </si>
  <si>
    <t>SERVICIO DE ENCOMIENDAS LIMA - MOQUEGUA </t>
  </si>
  <si>
    <t>https://storage.googleapis.com/deytha-prod/payments/MMsQt3oo7B5lRVdXr92cymg7vTKiBC2d8TeYotTw.pdf</t>
  </si>
  <si>
    <t>https://storage.googleapis.com/deytha-prod/payments/efoQPBdME2XPre7MDWg229jwgb3X0tBlArBVSH0i.pdf</t>
  </si>
  <si>
    <t>2025-09-08 17:34:30</t>
  </si>
  <si>
    <t>2025-09-08 12:34:30</t>
  </si>
  <si>
    <t>2025-07-21 12:34:30</t>
  </si>
  <si>
    <t>COMPRA DE CAJA DE TEMPERAS </t>
  </si>
  <si>
    <t>https://storage.googleapis.com/deytha-prod/payments/KLM4teoS1g12qMBJElhXCyUdle40bSOaUMdRu9Qg.pdf</t>
  </si>
  <si>
    <t>https://storage.googleapis.com/deytha-prod/payments/YnIoV4m6vbLlSw95UfNlXYZ8t0mjNWLbhzPWongP.pdf</t>
  </si>
  <si>
    <t>2025-09-08 17:34:28</t>
  </si>
  <si>
    <t>2025-09-08 12:34:28</t>
  </si>
  <si>
    <t>2025-07-30 12:34:28</t>
  </si>
  <si>
    <t>https://storage.googleapis.com/deytha-prod/payments/2e1wPf05fZnMbf5YMYX4mcLH5NG21KxnPVDOgxF0.pdf</t>
  </si>
  <si>
    <t>https://storage.googleapis.com/deytha-prod/payments/mCIozVXCsBP21FAM9G1kMkEzkmHD5pkLZAsc8I9c.pdf</t>
  </si>
  <si>
    <t>2025-09-08 17:34:27</t>
  </si>
  <si>
    <t>2025-09-08 12:34:27</t>
  </si>
  <si>
    <t>2025-08-16 12:34:27</t>
  </si>
  <si>
    <t>COMPRA DE CARBON </t>
  </si>
  <si>
    <t>2025-09-11 02:30:13</t>
  </si>
  <si>
    <t>https://storage.googleapis.com/deytha-prod/payments/W2ScNE3K5foWIN2n03ME0S3jVFrZ4hhu3fZFZib4.pdf</t>
  </si>
  <si>
    <t>https://storage.googleapis.com/deytha-prod/payments/4Z9anhzEpdqAXu9F9eroTnPXiELqr6tYyIDvpn3N.pdf</t>
  </si>
  <si>
    <t>2025-09-08 17:34:25</t>
  </si>
  <si>
    <t>2025-09-08 12:34:25</t>
  </si>
  <si>
    <t>2025-07-20 12:34:25</t>
  </si>
  <si>
    <t>SERVICIO DE ENCOMIENDA AREQUIPA - MOQUEGUA</t>
  </si>
  <si>
    <t>2025-09-11 02:30:43</t>
  </si>
  <si>
    <t>https://storage.googleapis.com/deytha-prod/payments/DB8cXl3IsIQdTBZK713Zhe0CKmYTtkMPsuveQNKn.pdf</t>
  </si>
  <si>
    <t>https://storage.googleapis.com/deytha-prod/payments/473QtrvprklVdVhwxYcX4F2xGl229uILkWikrYZJ.pdf</t>
  </si>
  <si>
    <t>2025-09-08 17:34:24</t>
  </si>
  <si>
    <t>2025-09-08 12:34:24</t>
  </si>
  <si>
    <t>2025-07-20 12:34:24</t>
  </si>
  <si>
    <t>SERVICIO DE ENCOMIENDA AREQUIPA MOQUEGUA</t>
  </si>
  <si>
    <t>2025-09-11 02:30:20</t>
  </si>
  <si>
    <t>https://storage.googleapis.com/deytha-prod/payments/kaRuk9dbT1hntmRHSmMZ1KqvsBi4UYAPIKRZ7cwo.pdf</t>
  </si>
  <si>
    <t>https://storage.googleapis.com/deytha-prod/payments/YlNv6FGEg5NlKjqMO4UCdP50FSV4X6uSXucO2ovH.pdf</t>
  </si>
  <si>
    <t>2025-07-16 12:34:24</t>
  </si>
  <si>
    <t>2025-09-11 02:30:15</t>
  </si>
  <si>
    <t>https://storage.googleapis.com/deytha-prod/payments/mHNLiwgMURuTHdmDXYAkx00ZUSHhElgVy5pZpVib.pdf</t>
  </si>
  <si>
    <t>https://storage.googleapis.com/deytha-prod/payments/owHresUGGBAClTsCtRDnB4mlKfIcHjeNnAUuBOvU.pdf</t>
  </si>
  <si>
    <t>2025-09-08 17:34:21</t>
  </si>
  <si>
    <t>2025-09-08 12:34:21</t>
  </si>
  <si>
    <t>2025-07-11 12:34:21</t>
  </si>
  <si>
    <t>SERVICIO DE ENVIOA MOQUEGUA - CAJAMARCA </t>
  </si>
  <si>
    <t>https://storage.googleapis.com/deytha-prod/payments/9AP7DmhYBzSInmr5HBi51QfNp8kBTu6mJAhN8Ue0.pdf</t>
  </si>
  <si>
    <t>https://storage.googleapis.com/deytha-prod/payments/aYmPGMZZSbMhtPpKc0FOfJfiI22SS1lmvmOxafyR.pdf</t>
  </si>
  <si>
    <t>2025-09-08 17:34:19</t>
  </si>
  <si>
    <t>2025-09-08 12:34:19</t>
  </si>
  <si>
    <t>2025-07-11 12:34:19</t>
  </si>
  <si>
    <t>COMPRA DE CONECTOR ANDERSON </t>
  </si>
  <si>
    <t>2025-09-11 02:30:10</t>
  </si>
  <si>
    <t>https://storage.googleapis.com/deytha-prod/payments/MZ0U4m7K5ckAyZG6kBNpSzwY8Physmg9HaR5OPht.pdf</t>
  </si>
  <si>
    <t>https://storage.googleapis.com/deytha-prod/payments/mTxcXDrRQFixm5LjAfyog4Q9UflnvBcYu9hQ5Zq8.pdf</t>
  </si>
  <si>
    <t>2025-09-08 17:34:17</t>
  </si>
  <si>
    <t>2025-09-08 12:34:17</t>
  </si>
  <si>
    <t>2025-07-15 12:34:17</t>
  </si>
  <si>
    <t>COMPRA DE PAPELBOND</t>
  </si>
  <si>
    <t>2025-09-11 02:30:08</t>
  </si>
  <si>
    <t>https://storage.googleapis.com/deytha-prod/payments/PgcgwaHUix2qWZ2gcW7Iqe9iWxkKKsaOFWIdGNNb.pdf</t>
  </si>
  <si>
    <t>https://storage.googleapis.com/deytha-prod/payments/S1czd5UvADbUfTcerxstJ10WVFxDDZSOXOd53aTA.pdf</t>
  </si>
  <si>
    <t>2025-09-08 17:34:14</t>
  </si>
  <si>
    <t>2025-09-08 12:34:14</t>
  </si>
  <si>
    <t>2025-07-15 12:34:14</t>
  </si>
  <si>
    <t>COMPRA DE CUADERNO DE OBRAS </t>
  </si>
  <si>
    <t>2025-09-11 02:30:06</t>
  </si>
  <si>
    <t>https://storage.googleapis.com/deytha-prod/payments/5fwug4dQubIFQbR1f6FBGEFbf82iM0Cmeit8386e.pdf</t>
  </si>
  <si>
    <t>https://storage.googleapis.com/deytha-prod/payments/JfhWkArHMkhGb2pLwKWQHQ9iH6tBecGVZkHPEn3J.pdf</t>
  </si>
  <si>
    <t>2025-09-08 02:04:51</t>
  </si>
  <si>
    <t>2025-09-08 12:02:55</t>
  </si>
  <si>
    <t>2025-09-08 12:04:37</t>
  </si>
  <si>
    <t>COMERCIAL MARYCIELO E.I.R.L.</t>
  </si>
  <si>
    <t xml:space="preserve">RESPIRADOR MEDIA CARA 3M Y LENTES GOOGLE </t>
  </si>
  <si>
    <t>2025-09-09 17:36:00</t>
  </si>
  <si>
    <t>https://storage.googleapis.com/deytha-prod/payments/QUFdPYGF7cdzNp139kcVovVH8udKVqqdjGwZZrV2.pdf</t>
  </si>
  <si>
    <t>https://storage.googleapis.com/deytha-prod/paymentBills/RqRqGNcWfa0hIHjSthVjdUQ2Av8AvInA0JJYIULH.png</t>
  </si>
  <si>
    <t>https://storage.googleapis.com/deytha-prod/supplierBills/zSrDU2PrrtvqQw4TFAotAFGeWJIR9hIlceodPyAq.pdf</t>
  </si>
  <si>
    <t>2025-09-06 12:47:20</t>
  </si>
  <si>
    <t>2025-09-08 12:02:26</t>
  </si>
  <si>
    <t>2025-09-07 07:47:16</t>
  </si>
  <si>
    <t xml:space="preserve">ALQUILER DE ANDAMIOS 1ER DESPACHO - 11 AL 31 AGOSTO DEL 2025 </t>
  </si>
  <si>
    <t>2025-09-11 16:33:00</t>
  </si>
  <si>
    <t>https://storage.googleapis.com/deytha-prod/payments/T5TZtHchbwWeUQ9zjd2HQCAier7zPOjpilf7MtIQ.pdf</t>
  </si>
  <si>
    <t>https://storage.googleapis.com/deytha-prod/paymentBills/bQdXC7LxOF4mcpNAIHx9dwnFLHwjkZr8Jx5oaIQ7.png</t>
  </si>
  <si>
    <t>https://storage.googleapis.com/deytha-prod/supplierBills/IMEFSVT6RYv3ka6GwjXMjUV9mMd89CxAQ93MqJYu.pdf</t>
  </si>
  <si>
    <t>2025-09-06 12:52:01</t>
  </si>
  <si>
    <t>2025-09-07 07:51:26</t>
  </si>
  <si>
    <t xml:space="preserve">ALQUILER DE ANDAMIOS 2DO DESPACHO - 11 AL 31 AGOSTO DEL 2025 </t>
  </si>
  <si>
    <t>2025-09-12 16:21:00</t>
  </si>
  <si>
    <t>https://storage.googleapis.com/deytha-prod/payments/wYBpufjuU3FGUdirZDhnYTAB62l46wiv7FnLhiBt.pdf</t>
  </si>
  <si>
    <t>https://storage.googleapis.com/deytha-prod/paymentBills/P5tDvfcLoDYLzc5pLsJLNNaYPmrLMn3V3L4PJBAF.png</t>
  </si>
  <si>
    <t>https://storage.googleapis.com/deytha-prod/supplierBills/3CfiVi8JkOVNFT4aAUWg5I7gFD1HIsjCk7QLyhEB.pdf</t>
  </si>
  <si>
    <t>2025-09-06 14:56:47</t>
  </si>
  <si>
    <t>2025-09-07 09:56:18</t>
  </si>
  <si>
    <t xml:space="preserve">EPPS Y MATERIALES 
REQ SSOMA # 25 
REQ TELECOMUNICACIONES # 05 
REQ CIVL #  31 </t>
  </si>
  <si>
    <t>2025-09-11 16:29:00</t>
  </si>
  <si>
    <t>https://storage.googleapis.com/deytha-prod/payments/uNmXMVkHrryBppl9dO8sgtCtzT05EaBMU9SGdM8j.pdf</t>
  </si>
  <si>
    <t>https://storage.googleapis.com/deytha-prod/paymentBills/AV7Zw2gnd7o3TZVrWRerTdnknagmKh3QaUmISCmD.png</t>
  </si>
  <si>
    <t>https://storage.googleapis.com/deytha-prod/supplierBills/IA67a4adohwuBtxlq892g1z15m1BxLnZKiXzf243.pdf</t>
  </si>
  <si>
    <t>2025-09-06 15:45:21</t>
  </si>
  <si>
    <t>2025-09-07 10:44:58</t>
  </si>
  <si>
    <t xml:space="preserve">ALQUILER DE APISONADOR TIPO CANGURO CORRESPONDIENTE DEL 20 DE AGOSTO HASTA EL  30 DE AGOSTO </t>
  </si>
  <si>
    <t>2025-09-09 17:21:00</t>
  </si>
  <si>
    <t>https://storage.googleapis.com/deytha-prod/payments/prwggXixu0TvawsWKLCmTrok0lHPDXnWDCNr4Ub0.pdf</t>
  </si>
  <si>
    <t>https://storage.googleapis.com/deytha-prod/paymentBills/EWjamcyxdqong0IATa6tJhfzEsifMPfK2lUGGwx0.png</t>
  </si>
  <si>
    <t>https://storage.googleapis.com/deytha-prod/supplierBills/RieEVnRSnbz2ZoySBUVbMEjhdWoeoUusol4xZh8E.pdf</t>
  </si>
  <si>
    <t>2025-09-06 15:57:31</t>
  </si>
  <si>
    <t>2025-09-07 10:57:23</t>
  </si>
  <si>
    <t>MATERIALES CIVILES  - 
REQ ELEC # 15 
REQ CIVIL # 31, #32 , #33</t>
  </si>
  <si>
    <t>2025-09-11 16:25:00</t>
  </si>
  <si>
    <t>https://storage.googleapis.com/deytha-prod/payments/6IwnHV6C76E6GWFlrqc5BS7JjVLyFitn9Zi8xwYY.pdf</t>
  </si>
  <si>
    <t>https://storage.googleapis.com/deytha-prod/paymentBills/ubOdXeTUBazydJGXHk6w3D2riTrHINxzGnqdgNan.png</t>
  </si>
  <si>
    <t>https://storage.googleapis.com/deytha-prod/supplierBills/9swPqUjx2bAoEibc3HkCMyH93AqFqQJVLxD3WJBe.pdf</t>
  </si>
  <si>
    <t>2025-09-06 16:04:33</t>
  </si>
  <si>
    <t>2025-09-07 11:04:24</t>
  </si>
  <si>
    <t>2025-09-24 17:20:00</t>
  </si>
  <si>
    <t>https://storage.googleapis.com/deytha-prod/paymentBills/uTQmjgswOvrEGkvXQnXPDG2UUTrc7A2ZBiNFjzlJ.png</t>
  </si>
  <si>
    <t>2025-09-06 17:23:08</t>
  </si>
  <si>
    <t>2025-09-07 12:22:58</t>
  </si>
  <si>
    <t>MATERIALES VARIOS 
REQ # 31 - CIVL 
REQ # 32 - CIVIL 
REQ 33 - CIVIL 
REQ # 16 - ELECTRICO</t>
  </si>
  <si>
    <t>2025-09-12 20:09:00</t>
  </si>
  <si>
    <t>https://storage.googleapis.com/deytha-prod/payments/J5rbLRyaC750HZjgNmriyI3ShDmOMUWFU4E3aqsF.pdf</t>
  </si>
  <si>
    <t>https://storage.googleapis.com/deytha-prod/paymentBills/br4l59vxgq9nuaaOOl8cKRtzaABVyEQqg7ofOJ3I.png</t>
  </si>
  <si>
    <t>https://storage.googleapis.com/deytha-prod/supplierBills/li6gGQqlJQHvZs5CVSFQidYC7zcZEfLkUE0LAxwy.pdf</t>
  </si>
  <si>
    <t>2025-09-06 18:14:40</t>
  </si>
  <si>
    <t>2025-09-07 13:14:25</t>
  </si>
  <si>
    <t>ALQUILER DE ESTACION TOTAL 
MODELO : TS071-
SERIE : 3335994
CORRESPONDIENTE DE 14 DE AGOSTO HACIA 30 DE AGOSTO</t>
  </si>
  <si>
    <t>2025-09-09 17:31:00</t>
  </si>
  <si>
    <t>https://storage.googleapis.com/deytha-prod/payments/8XASl8hZCCztm7IpBnwsYtqxs6nRmtby2HgMO04Y.pdf</t>
  </si>
  <si>
    <t>https://storage.googleapis.com/deytha-prod/paymentBills/Egbae5aEmw7lnl6E2a1hFL3mBUoy4z4JPkCFg4DU.png</t>
  </si>
  <si>
    <t>https://storage.googleapis.com/deytha-prod/supplierBills/UABPIHxHnKBrDqM0MMitc3WdlO5edDgoxOuoDs16.pdf</t>
  </si>
  <si>
    <t>2025-09-02 18:57:17</t>
  </si>
  <si>
    <t>2025-09-08 12:00:32</t>
  </si>
  <si>
    <t>2025-09-30 13:57:11</t>
  </si>
  <si>
    <t>ALQUILER DE MINIVAN TOYOTA HIACE PLACA Z7A598 CORRESPONDIENTE AL PERIODO AGOSTO 2025</t>
  </si>
  <si>
    <t>2025-09-26 17:43:00</t>
  </si>
  <si>
    <t>https://storage.googleapis.com/deytha-prod/payments/uINcLUWixxpKeikH6uoPRybCWBIv1NE3sCKsyBQs.pdf</t>
  </si>
  <si>
    <t>https://storage.googleapis.com/deytha-prod/paymentBills/Xbj14nl1xKXu0RtjPlz05ApXlA9OdHiyZe8soDfZ.png</t>
  </si>
  <si>
    <t>https://storage.googleapis.com/deytha-prod/supplierBills/YNx5dMnIiORNBWGULYL8JPto7V6XdzVaGGjFM4x3.pdf</t>
  </si>
  <si>
    <t>2025-09-02 18:58:49</t>
  </si>
  <si>
    <t>2025-09-30 13:58:11</t>
  </si>
  <si>
    <t xml:space="preserve">ALQUILER DE MINIVAN TOYOTA HIACE PLACA Z5S236 - CORRESPONDIENTE AL PERIODO AGOSTO 2025
</t>
  </si>
  <si>
    <t>2025-10-31 12:30:00</t>
  </si>
  <si>
    <t>https://storage.googleapis.com/deytha-prod/payments/3i2u9ihVU6ML1t9rbvD0LigyKe52QkkYqYeSbLWx.pdf</t>
  </si>
  <si>
    <t>https://storage.googleapis.com/deytha-prod/paymentBills/QaiAvxNzlaMRSB8x9EQetGspFEeVdJt6MKzDI1QN.png</t>
  </si>
  <si>
    <t>https://storage.googleapis.com/deytha-prod/supplierBills/GbvIlfBM3tnbROE3LYXdANATUBviFOzX0nhnhGV9.pdf</t>
  </si>
  <si>
    <t>2025-09-02 19:00:27</t>
  </si>
  <si>
    <t>2025-09-30 14:00:23</t>
  </si>
  <si>
    <t xml:space="preserve">ALQUILER DE CAMIONETA TOYOTA HILUX DE PLACA Z7T860 CORRESPONDIENTE AL PERIODO AGOSTO 2025
</t>
  </si>
  <si>
    <t>2025-10-31 12:25:00</t>
  </si>
  <si>
    <t>https://storage.googleapis.com/deytha-prod/payments/zJevqLMwdjFVLxxyfBOFTfhPuxT7olh1N9SV5wQM.pdf</t>
  </si>
  <si>
    <t>https://storage.googleapis.com/deytha-prod/paymentBills/cvXoKG2js7mPNBGB86hq1gBkH2AseMDjVD0bjPSi.png</t>
  </si>
  <si>
    <t>https://storage.googleapis.com/deytha-prod/supplierBills/Noqfrq5wXHwVjKYjxY6phrGmOSFJW7EIun2GoPbl.pdf</t>
  </si>
  <si>
    <t>2025-09-08 03:33:00</t>
  </si>
  <si>
    <t>2025-09-09 13:32:47</t>
  </si>
  <si>
    <t>ALQUILER TARIFA MES AMBULANCIA RURAL TIPO II PLACA EUF- 560 MES AGOSTO (DEL 01/08/2025 AL 31/08/2025)</t>
  </si>
  <si>
    <t>2025-10-02 20:12:00</t>
  </si>
  <si>
    <t>https://storage.googleapis.com/deytha-prod/payments/UhxaI2172r5Edn2GGenw4iArNXGDXsoeVX7eaHeR.pdf</t>
  </si>
  <si>
    <t>https://storage.googleapis.com/deytha-prod/paymentBills/sTgOnhMgJh0yCLaSKfTrCoA01qIpvThElx2r3o36.png</t>
  </si>
  <si>
    <t>https://storage.googleapis.com/deytha-prod/supplierBills/8bX1Gh9D1ij7Y2mDw8XIbA8TYzRzwGqsdaMLERaz.pdf</t>
  </si>
  <si>
    <t>2025-09-08 13:53:24</t>
  </si>
  <si>
    <t>2025-09-08 08:52:01</t>
  </si>
  <si>
    <t>SERV. ALQ. BAÑO EJECUTIVO C/LAVAMANOS - SERV. ALQ. LAVAMANOS MULTIPLE SUPERTWIN D2 (09/09/2025 - 08/10/2025)</t>
  </si>
  <si>
    <t>2025-09-23 16:18:00</t>
  </si>
  <si>
    <t>https://storage.googleapis.com/deytha-prod/payments/WF09C8IBideU0AzAO1VyE7j7Wb5j8CJpWR9dcuJm.pdf</t>
  </si>
  <si>
    <t>https://storage.googleapis.com/deytha-prod/paymentBills/3dINMcgG5Ybov4CuweeGQB8VPFChlybtt6RyaxI7.png</t>
  </si>
  <si>
    <t>https://storage.googleapis.com/deytha-prod/supplierBills/qj4yRUnzCIb9quIDybz9zmuOA090rAiU72q6VFW1.pdf</t>
  </si>
  <si>
    <t>2025-09-08 13:56:27</t>
  </si>
  <si>
    <t>2025-09-23 08:56:14</t>
  </si>
  <si>
    <t>SERV. ALQ. BAÑO EJECUTIVO C/LAVAMANOS - SERV. ALQ. LAVAMANOS MULTIPLE SUPERTWIN A3 (23/08/2025 - 22/09/2025)</t>
  </si>
  <si>
    <t>2025-09-23 16:22:00</t>
  </si>
  <si>
    <t>https://storage.googleapis.com/deytha-prod/payments/GbhjIka6xzypoUieYgoqvRWCEWsivZF1YzQPiRXo.pdf</t>
  </si>
  <si>
    <t>https://storage.googleapis.com/deytha-prod/paymentBills/Y2x1VEuf4ylzT34SMnXhdrtc6ZDcU0CvdcAXDEP4.png</t>
  </si>
  <si>
    <t>https://storage.googleapis.com/deytha-prod/supplierBills/17YRTW2EyWC4CH8Rs7zvjvPvJgGvwiJEMJrg1df5.pdf</t>
  </si>
  <si>
    <t>2025-09-08 13:57:24</t>
  </si>
  <si>
    <t>2025-09-23 08:57:12</t>
  </si>
  <si>
    <t>SERV. ALQ. BAÑO EJECUTIVO C/LAVAMANOS D2 (DAMA) (23/08/2025 - 22/09/2025)</t>
  </si>
  <si>
    <t>2025-09-23 16:25:00</t>
  </si>
  <si>
    <t>https://storage.googleapis.com/deytha-prod/payments/k1AZg4HEozPLBac2Ky2AhNOjjEWbmOiGdpt72AYT.pdf</t>
  </si>
  <si>
    <t>https://storage.googleapis.com/deytha-prod/paymentBills/F8VIDUh69mfwr1GegFSkTVPIJwPkEhIYhh5E0g7w.png</t>
  </si>
  <si>
    <t>https://storage.googleapis.com/deytha-prod/supplierBills/fDd7FmECITG3XGrS0LeoXPVXbfyG64mWtudiUb7s.pdf</t>
  </si>
  <si>
    <t>2025-09-08 13:59:58</t>
  </si>
  <si>
    <t>2025-09-30 08:59:52</t>
  </si>
  <si>
    <t>SERV. ALQ. BAÑO EJECUTIVO C/LAVAMANOS A3 (DAMA) (30/09/2025 - 30/10/2025)</t>
  </si>
  <si>
    <t>2025-09-23 16:28:00</t>
  </si>
  <si>
    <t>https://storage.googleapis.com/deytha-prod/payments/nUpmYi0R4xROLVuD4SiVvznBf4KdhKzXlJGpEmSt.pdf</t>
  </si>
  <si>
    <t>https://storage.googleapis.com/deytha-prod/paymentBills/peaHIFN4x6f7K5683pE66DTbWMzWQPjHNKOvdGCs.png</t>
  </si>
  <si>
    <t>https://storage.googleapis.com/deytha-prod/supplierBills/r12ezlEZmsqpzKOXuctJVo96RrGNX4omd8LvIFdR.pdf</t>
  </si>
  <si>
    <t>2025-09-08 14:43:03</t>
  </si>
  <si>
    <t>2025-09-23 09:42:48</t>
  </si>
  <si>
    <t>ALIMENTACION EN MINA CORRESPONDIENTE AL MES DE AGOSTO</t>
  </si>
  <si>
    <t>2025-10-02 20:35:00</t>
  </si>
  <si>
    <t>https://storage.googleapis.com/deytha-prod/payments/ylbKRSlrV4dnj5qFMJy1IHsvMuWsL9HCVISrRFb3.pdf</t>
  </si>
  <si>
    <t>https://storage.googleapis.com/deytha-prod/paymentBills/CMpq3Q67BXlzehzT5RcqnQyTbQml78DT36w8rmWu.png</t>
  </si>
  <si>
    <t>https://storage.googleapis.com/deytha-prod/supplierBills/3wKxcdCotbf3Q8J1En4vmlxBC0EYdL9pJXTl1VX8.pdf</t>
  </si>
  <si>
    <t>2025-09-08 16:09:35</t>
  </si>
  <si>
    <t>2025-09-08 11:11:44</t>
  </si>
  <si>
    <t>2025-09-08 12:09:26</t>
  </si>
  <si>
    <t xml:space="preserve">PAGO POR EMO DE MULLISACA ESCALANTE RONALD FRANKLIN
</t>
  </si>
  <si>
    <t>2025-09-08 11:24:00</t>
  </si>
  <si>
    <t>https://storage.googleapis.com/deytha-prod/payments/mclkqxjRJaOcQaFdATuXAshffFdg2vdHyknv2PnX.pdf</t>
  </si>
  <si>
    <t>https://storage.googleapis.com/deytha-prod/paymentBills/afnP648ZFtIyYfA0dpUcYqZS0A7R0ecxkTG0Arcx.png</t>
  </si>
  <si>
    <t>https://storage.googleapis.com/deytha-prod/supplierBills/SzKntr1Wq6wDGqc1mDj04QebOLZCgU7RwMqefNaD.pdf</t>
  </si>
  <si>
    <t>2025-09-08 15:34:21</t>
  </si>
  <si>
    <t>2025-09-08 10:36:35</t>
  </si>
  <si>
    <t>2025-09-08 11:34:11</t>
  </si>
  <si>
    <t>PAGO POR EMO DE PANIAGUA HEREDIA AMADOR, MENDOZA HUARAHUARA RIQUELME HENRY</t>
  </si>
  <si>
    <t>2025-09-08 18:24:00</t>
  </si>
  <si>
    <t>https://storage.googleapis.com/deytha-prod/payments/Nketjg6vpIbSq0fGVl1f1TJbJSwawI3v6jnIFvxD.pdf</t>
  </si>
  <si>
    <t>https://storage.googleapis.com/deytha-prod/paymentBills/d0XVCUXm4REBmYWFNDI6n32RvyGAhn4jRvPPvHXa.pdf</t>
  </si>
  <si>
    <t>https://storage.googleapis.com/deytha-prod/supplierBills/UkxZ20VJmUAGO47sGTuAYKvKGlGdxUaiGm09iXZl.pdf</t>
  </si>
  <si>
    <t>2025-09-06 16:15:12</t>
  </si>
  <si>
    <t>2025-09-06 12:41:51</t>
  </si>
  <si>
    <t>2025-09-07 11:13:43</t>
  </si>
  <si>
    <t>SIKA DUR 32  
REQ CIVIL #  32</t>
  </si>
  <si>
    <t>2025-09-09 10:42:00</t>
  </si>
  <si>
    <t>https://storage.googleapis.com/deytha-prod/payments/Z3TBmfb6gTWp8BMnSTvupJLHcw6KUQUFnR9GoHST.pdf</t>
  </si>
  <si>
    <t>https://storage.googleapis.com/deytha-prod/paymentBills/ADjV0otbIaX53SnMlHkwN8k9PM9O06DVcd8JJN6p.png</t>
  </si>
  <si>
    <t>https://storage.googleapis.com/deytha-prod/supplierBills/SBkPQ2DMWR5jGMVxLwogJCzYTAi9OfTuiwpu5EMf.pdf</t>
  </si>
  <si>
    <t>2025-09-06 17:06:43</t>
  </si>
  <si>
    <t>2025-09-07 12:06:32</t>
  </si>
  <si>
    <t xml:space="preserve">BIDONES DE AGUA PARA OBRA </t>
  </si>
  <si>
    <t>2025-09-08 16:48:00</t>
  </si>
  <si>
    <t>https://storage.googleapis.com/deytha-prod/payments/nZ76wWYw8FnEGci3uSt5fJOCtQLgjYY78vGguX54.pdf</t>
  </si>
  <si>
    <t>https://storage.googleapis.com/deytha-prod/paymentBills/SQovkfc1O70svQB0Hc9K8Tqi4q1H9gl4EzNK92gJ.png</t>
  </si>
  <si>
    <t>https://storage.googleapis.com/deytha-prod/supplierBills/JT5tPou5ButbsBqf2mlEPb0djFcqwEvTtcBF77E3.pdf</t>
  </si>
  <si>
    <t>2025-09-05 19:50:43</t>
  </si>
  <si>
    <t>2025-09-05 15:16:16</t>
  </si>
  <si>
    <t>2025-09-05 14:50:13</t>
  </si>
  <si>
    <t xml:space="preserve">ALQUILER DE SANITARIOS </t>
  </si>
  <si>
    <t>2025-09-05 15:29:00</t>
  </si>
  <si>
    <t>https://storage.googleapis.com/deytha-prod/payments/U59DXdJBgow3PyRj5jRAU2heUfsjIbAuGTagwNTF.pdf</t>
  </si>
  <si>
    <t>https://storage.googleapis.com/deytha-prod/paymentBills/jv9iezsKR6AJRtblQkzposKGlu7Iq9Odm3Rh4B3q.png</t>
  </si>
  <si>
    <t>https://storage.googleapis.com/deytha-prod/supplierBills/4nLGhwzgFOZeTZFfIGzZJZXkZEdlXcZYErMQu6Tt.pdf</t>
  </si>
  <si>
    <t>2025-09-04 21:51:45</t>
  </si>
  <si>
    <t>2025-09-05 08:45:43</t>
  </si>
  <si>
    <t>2025-09-04 17:51:40</t>
  </si>
  <si>
    <t>PAGO POR EMO DE HUANCA HUANCA IVONNE VANESSA</t>
  </si>
  <si>
    <t>2025-09-05 09:49:00</t>
  </si>
  <si>
    <t>https://storage.googleapis.com/deytha-prod/payments/S4QKDHIuZwsM4W9hRPvYBKzWXqbp7oY9Ey0H1mVL.pdf</t>
  </si>
  <si>
    <t>https://storage.googleapis.com/deytha-prod/paymentBills/ERM1G5xa2RK9WwbzMfLXpqR6hFD2qmYNayUpIgTe.png</t>
  </si>
  <si>
    <t>https://storage.googleapis.com/deytha-prod/supplierBills/Q7XqqnYEE8AnDTmTJsBe10byv1jWlcVO4ATs7maF.pdf</t>
  </si>
  <si>
    <t>2025-09-04 22:31:40</t>
  </si>
  <si>
    <t>2025-09-04 18:31:32</t>
  </si>
  <si>
    <t>PAGO POR EMO DE ZANGA CASTRO ABRAN JUAN</t>
  </si>
  <si>
    <t>2025-09-05 11:33:00</t>
  </si>
  <si>
    <t>https://storage.googleapis.com/deytha-prod/payments/TBgQXjA71HVEEXo7wKOXfJeo9yLq72GWoLgz6qXx.pdf</t>
  </si>
  <si>
    <t>https://storage.googleapis.com/deytha-prod/paymentBills/zophPSu066tAqEHC1ZKNJEjnQJc2JI4GeafZrKrB.pdf</t>
  </si>
  <si>
    <t>https://storage.googleapis.com/deytha-prod/supplierBills/utlv1bbOKpTttjLBymfxoQBv9OPsQYDQUAyckoVg.pdf</t>
  </si>
  <si>
    <t>2025-09-04 14:21:29</t>
  </si>
  <si>
    <t>2025-09-04 23:30:21</t>
  </si>
  <si>
    <t>2025-09-04 09:21:13</t>
  </si>
  <si>
    <t>CANCAMOS GRANDES</t>
  </si>
  <si>
    <t>2025-09-05 10:43:00</t>
  </si>
  <si>
    <t>https://storage.googleapis.com/deytha-prod/payments/belRjaerQbGSObViQpbaNdNbS3e8hQ9nGewHdU0z.pdf</t>
  </si>
  <si>
    <t>https://storage.googleapis.com/deytha-prod/paymentBills/c2waJAmj2OSK8dXaPDaa6Tkik3BmbVdet84E2K0G.png</t>
  </si>
  <si>
    <t>https://storage.googleapis.com/deytha-prod/supplierBills/9glM26aEQqhdLIkm8CPeHikvsqqdiQy20zPrwVBO.pdf</t>
  </si>
  <si>
    <t>2025-09-03 14:17:06</t>
  </si>
  <si>
    <t>2025-09-04 16:12:27</t>
  </si>
  <si>
    <t>2025-09-04 09:16:52</t>
  </si>
  <si>
    <t xml:space="preserve">RECOJO DE ENCOMIENDAS 
CONTIENE ESCALERAS 
CONTIENE CABLES </t>
  </si>
  <si>
    <t>2025-09-04 16:15:00</t>
  </si>
  <si>
    <t>https://storage.googleapis.com/deytha-prod/payments/hPU8H1obeeSCp9ryUkgq02XOLgQ3Pz7uCZZJkS4L.pdf</t>
  </si>
  <si>
    <t>https://storage.googleapis.com/deytha-prod/paymentBills/iLVlCcEhK6yuAu6c3UwQaqapuLwKVdH9gwHRGXmU.png</t>
  </si>
  <si>
    <t>https://storage.googleapis.com/deytha-prod/supplierBills/F3ecpZhdl7WDc0CXcyDSCvDQFazzvS0mcsqrlLkg.pdf</t>
  </si>
  <si>
    <t>2025-09-03 14:58:37</t>
  </si>
  <si>
    <t>2025-09-04 14:52:45</t>
  </si>
  <si>
    <t>2025-09-04 09:58:24</t>
  </si>
  <si>
    <t>PILCO MAMANI OLGA</t>
  </si>
  <si>
    <t>430-77986397-0-49</t>
  </si>
  <si>
    <t xml:space="preserve">COMPRA DE LLANTAS NUEVAS PARA LA CAMIONETA CEB-791 MOQUEGUA </t>
  </si>
  <si>
    <t>2025-09-04 16:23:00</t>
  </si>
  <si>
    <t>https://storage.googleapis.com/deytha-prod/payments/Dd5uM7R139gRgPmabzq5xI2XtDusQp2m13PyI3O9.pdf</t>
  </si>
  <si>
    <t>https://storage.googleapis.com/deytha-prod/paymentBills/cNVH8QjTSW8NLKGuACv6ta1rGS3cZZklTVYMd1gX.png</t>
  </si>
  <si>
    <t>2025-09-03 17:50:00</t>
  </si>
  <si>
    <t>2025-09-03 16:18:10</t>
  </si>
  <si>
    <t>2025-09-03 13:49:52</t>
  </si>
  <si>
    <t>PAGO POR EMO DE CUAYLA CORI HENRY TANISLAO</t>
  </si>
  <si>
    <t>2025-09-03 17:44:00</t>
  </si>
  <si>
    <t>https://storage.googleapis.com/deytha-prod/payments/HcDlHMAePkfe9XQKa08zksNljwQd9FvmjzcE35y5.xlsx</t>
  </si>
  <si>
    <t>https://storage.googleapis.com/deytha-prod/paymentBills/1rBYCVRivSBDQ37FE8NiSfoJ8mQcX1tBqOeJcu9a.png</t>
  </si>
  <si>
    <t>https://storage.googleapis.com/deytha-prod/supplierBills/Tw8hA35EKDlr1se5MOtVZh6PTj0qRH2NJGFSO52X.pdf</t>
  </si>
  <si>
    <t>2025-09-02 22:59:10</t>
  </si>
  <si>
    <t>2025-09-03 08:58:15</t>
  </si>
  <si>
    <t>2025-09-02 18:59:07</t>
  </si>
  <si>
    <t>EMO PARA ASTOQUILCA GUEVARA JEISON WALTHER</t>
  </si>
  <si>
    <t>2025-09-03 09:12:00</t>
  </si>
  <si>
    <t>https://storage.googleapis.com/deytha-prod/payments/H1WIjvjpi94O3Vtdrfn65DxvafMhafT7eBy5Ta8I.xlsx</t>
  </si>
  <si>
    <t>https://storage.googleapis.com/deytha-prod/paymentBills/gFzcsceIRTTRAuHV3RmdcYM727ChNpKRPvxQfZli.png</t>
  </si>
  <si>
    <t>https://storage.googleapis.com/deytha-prod/supplierBills/Tl7JXCHkSNBOoWdDfAyVDSs7i9PUjRPBeMgoPChT.pdf</t>
  </si>
  <si>
    <t>2025-08-22 19:43:34</t>
  </si>
  <si>
    <t>2025-09-03 00:10:31</t>
  </si>
  <si>
    <t>2025-08-23 14:43:06</t>
  </si>
  <si>
    <t xml:space="preserve">PLANCHAS DE ACERO Y FIERRO LISO 
AREA MECANICA </t>
  </si>
  <si>
    <t>2025-09-03 17:51:00</t>
  </si>
  <si>
    <t>https://storage.googleapis.com/deytha-prod/payments/HrZQAYFZS22CxvC7GUZz9qktySj1j8PFFnfSIf8l.jpg</t>
  </si>
  <si>
    <t>https://storage.googleapis.com/deytha-prod/paymentBills/bBWPNOzzqJCc7ZxteMBAAzw5KU25vmxlsIYG9NWp.pdf</t>
  </si>
  <si>
    <t>https://storage.googleapis.com/deytha-prod/supplierBills/WOoA5BMwSDlGjiEdndvKwfwBLyNQoFGvZ98USKIi.pdf</t>
  </si>
  <si>
    <t>2025-09-03 04:51:02</t>
  </si>
  <si>
    <t>2025-09-04 14:50:39</t>
  </si>
  <si>
    <t>RECOJO DE ENCOMIENDAS DE LIMA HACIA AERQUIPA PROVEEDOR Q ENVIO ES GLOBATEC MATERIAL CABLES</t>
  </si>
  <si>
    <t>2025-09-03 09:17:00</t>
  </si>
  <si>
    <t>https://storage.googleapis.com/deytha-prod/payments/pe99fDmrZrw4sbtqRCncKoYAi299ofYL9DsIvcmB.jpg</t>
  </si>
  <si>
    <t>https://storage.googleapis.com/deytha-prod/paymentBills/ObdaYaSL5XQ2jajI8SmHdXNGbRaBvwQcGivpv2Zz.png</t>
  </si>
  <si>
    <t>https://storage.googleapis.com/deytha-prod/supplierBills/MIxbCdVmu9eL60tgbsDDaVCJ9oAVmryweistG8is.pdf</t>
  </si>
  <si>
    <t>2025-09-02 20:24:39</t>
  </si>
  <si>
    <t>2025-09-03 00:10:00</t>
  </si>
  <si>
    <t>2025-09-03 15:24:33</t>
  </si>
  <si>
    <t xml:space="preserve">ALIMENTACION SEMANA 17 </t>
  </si>
  <si>
    <t>2025-09-04 16:03:00</t>
  </si>
  <si>
    <t>https://storage.googleapis.com/deytha-prod/payments/3BbeYp3hRMOYHj71mbtyK9i7D8M6TR3M4Qo20iC0.pdf</t>
  </si>
  <si>
    <t>https://storage.googleapis.com/deytha-prod/paymentBills/ZJd7dCde6YBWhm4wZrSPnvwYCPNrvavMsfQVbjNO.png</t>
  </si>
  <si>
    <t>https://storage.googleapis.com/deytha-prod/supplierBills/ESHWt2Ss7dDxEDxAiSxaHUAmu2MyiA3vM4OFDv0K.png</t>
  </si>
  <si>
    <t>2025-09-03 04:37:09</t>
  </si>
  <si>
    <t>2025-09-02 23:37:09</t>
  </si>
  <si>
    <t>adjunto correo cdonde se aprueba los recibos</t>
  </si>
  <si>
    <t>2025-09-02 23:42:31</t>
  </si>
  <si>
    <t>https://storage.googleapis.com/deytha-prod/payments/CNQu5oDbBC0DgLab1E8TqVMX3KumqRURa6RR8ECV.jpg</t>
  </si>
  <si>
    <t>https://storage.googleapis.com/deytha-prod/payments/2zbGpTToo500q3kLf4TgtudyMyAeqNanePUc93rX.jpg</t>
  </si>
  <si>
    <t>2025-09-02 15:46:04</t>
  </si>
  <si>
    <t>2025-09-02 10:46:04</t>
  </si>
  <si>
    <t>VILCA MAMANI RENE</t>
  </si>
  <si>
    <t>430-08941450-0-80</t>
  </si>
  <si>
    <t>2025-09-05 12:04:00</t>
  </si>
  <si>
    <t>https://storage.googleapis.com/deytha-prod/worker/settle/nhsDK0SIJiAmM86AMUr9L6EJ7Bt26I56QhcfT1Bd.pdf</t>
  </si>
  <si>
    <t>https://storage.googleapis.com/deytha-prod/paymentBills/PAYCWPcHotj5p6weYD1apQPbUUvtCcvuMQIhPL1z.png</t>
  </si>
  <si>
    <t>2025-09-01 21:58:28</t>
  </si>
  <si>
    <t>2025-09-01 18:54:06</t>
  </si>
  <si>
    <t>2025-09-01 16:57:36</t>
  </si>
  <si>
    <t>COLOR CENTRO TACNA E.I.R.L.</t>
  </si>
  <si>
    <t>PINTURA CCP LATEX SATINADA 9002</t>
  </si>
  <si>
    <t>2025-09-01 19:01:00</t>
  </si>
  <si>
    <t>https://storage.googleapis.com/deytha-prod/payments/R7pCR09ux4qVGy6ISDOlErg8Lx058oyhyJxMBgKj.pdf</t>
  </si>
  <si>
    <t>https://storage.googleapis.com/deytha-prod/paymentBills/waqXtqwhflCaBnWltSe8mRP9965JNLkRALVu3IZg.png</t>
  </si>
  <si>
    <t>https://storage.googleapis.com/deytha-prod/supplierBills/ZA6MlsyQs7gDwEVPK2sfbhSFIigbNLZj1voS2M7O.pdf</t>
  </si>
  <si>
    <t>2025-08-14 20:27:01</t>
  </si>
  <si>
    <t>2025-08-31 21:07:34</t>
  </si>
  <si>
    <t>2025-08-31 15:26:55</t>
  </si>
  <si>
    <t>POR SERVICIO DE ALQUILER DE CAMION GRUA 7 TN PLACA Z7Z-828 DEL 27/06/2025 AL 22/07/2025 (5940-006 REEMPLAZO BASE 3 POR INSTALACION DE DOS BASES DE COMUNICACION-MINA CUAJONE)</t>
  </si>
  <si>
    <t>2025-09-15 16:05:00</t>
  </si>
  <si>
    <t>https://storage.googleapis.com/deytha-prod/paymentBills/TjIgCqGzQa3O30jEiLnZgBKTYOK5SR8dsU5qhbrJ.pdf</t>
  </si>
  <si>
    <t>https://storage.googleapis.com/deytha-prod/supplierBills/De3xuTqt55xAlhqJjx9lCmJ1i43NsVSYLFPgsih4.pdf</t>
  </si>
  <si>
    <t>2025-08-19 04:51:30</t>
  </si>
  <si>
    <t>2025-08-31 14:51:23</t>
  </si>
  <si>
    <t>SERVICIO DE HOSPEDAJE (CAMA DOBLE O TRIPLE) / SERVICIO DE HOSPEDAJE (CAMA INDIVIDUAL) MES DE JUNIO</t>
  </si>
  <si>
    <t>2025-09-23 16:15:00</t>
  </si>
  <si>
    <t>https://storage.googleapis.com/deytha-prod/paymentBills/hueKhrq4ThsXPiA9ccMfjFLqqOBhIiTljPueCGEH.png</t>
  </si>
  <si>
    <t>https://storage.googleapis.com/deytha-prod/supplierBills/OtdO2D1Y3FapjqppqGgrTf5iaYOxxQb8sviqlPla.pdf</t>
  </si>
  <si>
    <t>2025-08-19 05:49:54</t>
  </si>
  <si>
    <t>2025-08-31 15:49:30</t>
  </si>
  <si>
    <t>ALIMENTACION MES DE JUNIO</t>
  </si>
  <si>
    <t>https://storage.googleapis.com/deytha-prod/payments/GtWxfyrReDuAqODpxyEbIZ63bZ8DYl6m1XwjBENJ.pdf</t>
  </si>
  <si>
    <t>https://storage.googleapis.com/deytha-prod/paymentBills/Q9QifPDylyD29hSFnciRTd5zwEVpgAqQm3VSga5A.png</t>
  </si>
  <si>
    <t>https://storage.googleapis.com/deytha-prod/supplierBills/X0ElXZPUwe3EOzKcn8AIayRQ5n7DqlwoIh9FxjCu.pdf</t>
  </si>
  <si>
    <t>2025-08-20 21:13:46</t>
  </si>
  <si>
    <t>2025-09-02 16:13:33</t>
  </si>
  <si>
    <t>Servicio Alimentación Cuajone Mes Julio 2025</t>
  </si>
  <si>
    <t>2025-09-24 16:27:00</t>
  </si>
  <si>
    <t>https://storage.googleapis.com/deytha-prod/payments/EMups2guQr2ofO54MPuc0O28QCsYp0I7nkWIwCdL.pdf</t>
  </si>
  <si>
    <t>https://storage.googleapis.com/deytha-prod/paymentBills/FUqZMjJKWfU9xyelVG8XIRu9kw9ExU8rTOzS5WC4.png</t>
  </si>
  <si>
    <t>https://storage.googleapis.com/deytha-prod/supplierBills/Ab92hyH7qXdm5jfBrk20b1WKb6Nx7Csx9nZyRENG.pdf</t>
  </si>
  <si>
    <t>2025-08-20 21:29:25</t>
  </si>
  <si>
    <t>2025-08-21 16:29:17</t>
  </si>
  <si>
    <t>PAGO DE ALQUILER DEL MES DE JUNIO POR 24 DIAS DEL 07 AL 30 DE JUNIO</t>
  </si>
  <si>
    <t>2025-09-26 15:10:00</t>
  </si>
  <si>
    <t>https://storage.googleapis.com/deytha-prod/payments/0D3aIoXotZc8W39IpnxRH46c1ef7oVnWeKBBzVEG.pdf</t>
  </si>
  <si>
    <t>https://storage.googleapis.com/deytha-prod/paymentBills/EIgl2HCs2p90tNQ7SKWCFAEoIHeHhDjlNwTaMgNI.pdf</t>
  </si>
  <si>
    <t>https://storage.googleapis.com/deytha-prod/supplierBills/hjnLJfqWUZurJg3R6lInuLwQ3HUdBdqQ0eQ7LrCy.pdf</t>
  </si>
  <si>
    <t>2025-08-27 18:23:33</t>
  </si>
  <si>
    <t>2025-08-28 13:23:00</t>
  </si>
  <si>
    <t>VALORIZACION GRUA DEL 30/07/25 AL 22/08/2025</t>
  </si>
  <si>
    <t>2025-10-20 17:05:00</t>
  </si>
  <si>
    <t>https://storage.googleapis.com/deytha-prod/payments/WE19UuvdYDdjNBo5RXScdCDJrSuEnGZex2tOyCyI.pdf</t>
  </si>
  <si>
    <t>https://storage.googleapis.com/deytha-prod/paymentBills/T3XwPYxqrlUlVWEEd6HyKC2zSWq9WkaFKRYqRMzK.pdf</t>
  </si>
  <si>
    <t>https://storage.googleapis.com/deytha-prod/supplierBills/YF43aplygmVXGzzZscNdSheDYP3BjSvx4zRbaYYl.pdf</t>
  </si>
  <si>
    <t>2025-08-22 17:19:23</t>
  </si>
  <si>
    <t>2025-08-31 21:05:21</t>
  </si>
  <si>
    <t>2025-08-22 12:17:37</t>
  </si>
  <si>
    <t xml:space="preserve">DISCO DE CORTE Y TUBO PVC LUZ SAP 4" NICOLL </t>
  </si>
  <si>
    <t>2025-09-02 10:07:00</t>
  </si>
  <si>
    <t>https://storage.googleapis.com/deytha-prod/payments/diUvKbKnlZqlpkcIePGSDNDU0U8xVd2KEzqcFRvD.pdf</t>
  </si>
  <si>
    <t>https://storage.googleapis.com/deytha-prod/paymentBills/OWboZKXBRUxM2sriJr4kgrYu6EwBULFTM0Cpj2PS.png</t>
  </si>
  <si>
    <t>https://storage.googleapis.com/deytha-prod/supplierBills/Ss1sfPUua3GImwxEGDliMiQlFeBfTprgl3RoyASJ.pdf</t>
  </si>
  <si>
    <t>2025-08-28 17:19:37</t>
  </si>
  <si>
    <t>2025-08-28 12:18:16</t>
  </si>
  <si>
    <t>ABRAZADERA U BOLT Y VARILLA ROSCADO Y TUERCAS</t>
  </si>
  <si>
    <t>2025-09-01 14:55:00</t>
  </si>
  <si>
    <t>https://storage.googleapis.com/deytha-prod/payments/hmkdnF0goNYB64F7MSDU5Q7sDqSZmL6CvTVJGRbh.pdf</t>
  </si>
  <si>
    <t>https://storage.googleapis.com/deytha-prod/paymentBills/vpKHJrTKphEpcescnWy6fejB13CeVwKaSUewL8hw.png</t>
  </si>
  <si>
    <t>https://storage.googleapis.com/deytha-prod/supplierBills/BJdJtpscCUlpGYcjoPsJVMM3Wod6IjF9Rmv1mIKJ.pdf</t>
  </si>
  <si>
    <t>2025-08-29 19:51:43</t>
  </si>
  <si>
    <t>2025-08-29 14:50:49</t>
  </si>
  <si>
    <t xml:space="preserve">CEMENTO CONDUCTIVO </t>
  </si>
  <si>
    <t>2025-09-01 17:11:00</t>
  </si>
  <si>
    <t>https://storage.googleapis.com/deytha-prod/payments/bf1kuAen7OEypUZ9Fao4fU2It8i7KPCcq3wo0pTM.pdf</t>
  </si>
  <si>
    <t>https://storage.googleapis.com/deytha-prod/paymentBills/CfizOLI0cUbt8zWlrKh463G3ihaVAdx8pA0bQbSu.png</t>
  </si>
  <si>
    <t>https://storage.googleapis.com/deytha-prod/supplierBills/pCVTm2WT0kVofflRVZBAzEAy1qGYqZuCy4jp6zVX.pdf</t>
  </si>
  <si>
    <t>2025-08-30 18:50:31</t>
  </si>
  <si>
    <t>2025-08-30 13:50:20</t>
  </si>
  <si>
    <t xml:space="preserve">SERVICIO DE ALQUILER DE EQUIPO DE TENDIDO CANCAMOS
</t>
  </si>
  <si>
    <t>2025-09-01 12:48:00</t>
  </si>
  <si>
    <t>https://storage.googleapis.com/deytha-prod/payments/T4FvxCdwRBEVlbE26Uw0l7SF8jmjwJeBJqjbKGuH.pdf</t>
  </si>
  <si>
    <t>https://storage.googleapis.com/deytha-prod/paymentBills/9n0ZXEH79xEGKUx6whgDULG5BMn83mhKVvPj8qmt.png</t>
  </si>
  <si>
    <t>https://storage.googleapis.com/deytha-prod/supplierBills/ECTzrG52AiL8CwfY7caHyrFcBHNeaVX9XvWX4ss3.pdf</t>
  </si>
  <si>
    <t>2025-08-31 23:37:57</t>
  </si>
  <si>
    <t>2025-09-01 09:37:54</t>
  </si>
  <si>
    <t xml:space="preserve">BROCA DE METAL COBALTO Y TALADRO DE BANCO </t>
  </si>
  <si>
    <t>2025-09-04 16:45:00</t>
  </si>
  <si>
    <t>https://storage.googleapis.com/deytha-prod/payments/Z9d9l1nNE6NCWQCpEhgYJYME9JmcwlBrrN7keQuz.pdf</t>
  </si>
  <si>
    <t>https://storage.googleapis.com/deytha-prod/paymentBills/Vkd1doRr2NuVjN2SXttqrRkaC0ic9PXpjMaLFwCB.png</t>
  </si>
  <si>
    <t>https://storage.googleapis.com/deytha-prod/supplierBills/jAqaGwHnisLnfWVDJ2tX47LvvtWeRlMdMLT0eqXK.pdf</t>
  </si>
  <si>
    <t>2025-08-27 13:26:08</t>
  </si>
  <si>
    <t>2025-08-31 21:03:14</t>
  </si>
  <si>
    <t>2025-08-28 08:25:57</t>
  </si>
  <si>
    <t>MATERIALES VARIOS PARA REGULARIZACION</t>
  </si>
  <si>
    <t>2025-09-03 17:55:00</t>
  </si>
  <si>
    <t>https://storage.googleapis.com/deytha-prod/payments/rk5kHZp3r27Q2nC48apdRrWTRJdLDIYFv1nQ8xEB.pdf</t>
  </si>
  <si>
    <t>https://storage.googleapis.com/deytha-prod/paymentBills/eBS7Z0anmQZgcCCO75q195AHfXDTEnYHZWw02BsK.png</t>
  </si>
  <si>
    <t>https://storage.googleapis.com/deytha-prod/supplierBills/rHcyH5oUsHWWd0aQ4nIKnTplq7FeEDPeG6qRLxJo.pdf</t>
  </si>
  <si>
    <t>2025-08-28 14:49:37</t>
  </si>
  <si>
    <t>2025-08-29 09:49:15</t>
  </si>
  <si>
    <t xml:space="preserve">TUBOS 
CANAL U </t>
  </si>
  <si>
    <t>2025-09-01 18:10:00</t>
  </si>
  <si>
    <t>https://storage.googleapis.com/deytha-prod/payments/NeKkZZbBc8exd2CK1ttoY2LnbSrg211bJYmNwFke.jpg</t>
  </si>
  <si>
    <t>https://storage.googleapis.com/deytha-prod/paymentBills/1jsWpchFOw79OyRUiyiygUGAo04uQdgpVkCr74qa.pdf</t>
  </si>
  <si>
    <t>https://storage.googleapis.com/deytha-prod/supplierBills/bY1ruIayI6UvpFLm3SKUI8XYZtxQuwVzYf698e1N.pdf</t>
  </si>
  <si>
    <t>2025-08-29 18:59:18</t>
  </si>
  <si>
    <t>2025-08-29 13:58:25</t>
  </si>
  <si>
    <t>CONSUMO DE COMBUSTIBLE DEL 11 AL 19 AGOSTO</t>
  </si>
  <si>
    <t>2025-09-01 18:25:00</t>
  </si>
  <si>
    <t>https://storage.googleapis.com/deytha-prod/payments/EGbFsgIHTyuEsPM7je0imAK6MlAADKfIUV7Y9gjZ.pdf</t>
  </si>
  <si>
    <t>https://storage.googleapis.com/deytha-prod/paymentBills/pDhufznxYftVLGnbMi0nrmvN4MHQBLRr6GMogJae.png</t>
  </si>
  <si>
    <t>https://storage.googleapis.com/deytha-prod/supplierBills/YSL0481EjNfYiP2pp9KylBRvOju49I86D5fHeri2.pdf</t>
  </si>
  <si>
    <t>2025-08-29 23:41:44</t>
  </si>
  <si>
    <t>2025-08-29 18:41:44</t>
  </si>
  <si>
    <t>SEDANO ROSAS NESTOR AGUSTO</t>
  </si>
  <si>
    <t>210-0400304</t>
  </si>
  <si>
    <t>2025-08-29 20:00:00</t>
  </si>
  <si>
    <t>https://storage.googleapis.com/deytha-prod/worker/settle/QljLCO0ME06B74dHdjRZpV5R7gLKncI7DJSSF8ZC.pdf</t>
  </si>
  <si>
    <t>https://storage.googleapis.com/deytha-prod/paymentBills/Y7SR4rrrqFtyxwf3evURJfBMEWU8K364MAdnpC2Z.pdf</t>
  </si>
  <si>
    <t>2025-08-29 23:17:55</t>
  </si>
  <si>
    <t>2025-08-29 18:26:47</t>
  </si>
  <si>
    <t>2025-08-29 19:17:50</t>
  </si>
  <si>
    <t xml:space="preserve">PAGO POR EMO DE RAMIREZ NOLASCO ALEX WILMER	</t>
  </si>
  <si>
    <t>2025-08-29 19:03:00</t>
  </si>
  <si>
    <t>https://storage.googleapis.com/deytha-prod/payments/G8fRQZXk2ynw3NcpXCzWPZEoxFlVSEpxyJd6j8m7.png</t>
  </si>
  <si>
    <t>https://storage.googleapis.com/deytha-prod/paymentBills/5Hwu8RH4M6QcHarLZNDiLTwPaTfQ9wQEkn85ZlmY.png</t>
  </si>
  <si>
    <t>https://storage.googleapis.com/deytha-prod/supplierBills/3Wrdxs0xkmDNpVBN2qLAmxFfHJEmmJe5cQGmVldJ.pdf</t>
  </si>
  <si>
    <t>2025-08-29 19:55:50</t>
  </si>
  <si>
    <t>2025-08-29 14:55:50</t>
  </si>
  <si>
    <t>2025-08-24 14:55:50</t>
  </si>
  <si>
    <t>TAXI PARA RECOJO DE MATERIALES DEL DIA  24-08-25</t>
  </si>
  <si>
    <t>2025-09-23 19:18:07</t>
  </si>
  <si>
    <t>https://storage.googleapis.com/deytha-prod/payments/WlmWrTEKexp92hNCD3DEvaapaaJcZ8Zg0bG4VlTx.pdf</t>
  </si>
  <si>
    <t>https://storage.googleapis.com/deytha-prod/payments/T4mkqDZ2AVkA2nKtVGk1p53GKIDcj61D0gSV5rrm.pdf</t>
  </si>
  <si>
    <t>2025-08-29 17:21:38</t>
  </si>
  <si>
    <t>2025-08-29 12:21:38</t>
  </si>
  <si>
    <t>SALAS PEÑALOZA YEFFER ISRAEL JESUS</t>
  </si>
  <si>
    <t>430-08272312-0-84</t>
  </si>
  <si>
    <t>2025-08-29 19:00:00</t>
  </si>
  <si>
    <t>https://storage.googleapis.com/deytha-prod/worker/settle/DQGJbiJA5lQlRhbl4fXw5IrSrCsDqawgTgmuKU6w.pdf</t>
  </si>
  <si>
    <t>https://storage.googleapis.com/deytha-prod/paymentBills/AySYK2tmqLI29c4yL0vOhac6VZOosKJe9zJM9zYs.pdf</t>
  </si>
  <si>
    <t>2025-08-29 01:42:27</t>
  </si>
  <si>
    <t>2025-08-28 20:42:27</t>
  </si>
  <si>
    <t xml:space="preserve">ZUÑIGA  RETAMOZO YANITZE VANIA </t>
  </si>
  <si>
    <t>430-08941455-0-85</t>
  </si>
  <si>
    <t>https://storage.googleapis.com/deytha-prod/worker/settle/CN4GppmP3ihEFSpO7WhZ7xGNNYNNzquzMpe4glv7.pdf</t>
  </si>
  <si>
    <t>https://storage.googleapis.com/deytha-prod/paymentBills/LyRwpv4GalZwNDksAGgaC3gz8hybyLPQLqffF4I9.pdf</t>
  </si>
  <si>
    <t>2025-08-29 01:32:02</t>
  </si>
  <si>
    <t>2025-08-28 20:32:02</t>
  </si>
  <si>
    <t>QUISPE FLORES EDWIN ALBERTO</t>
  </si>
  <si>
    <t>430-08272113-0-83</t>
  </si>
  <si>
    <t>https://storage.googleapis.com/deytha-prod/worker/settle/ZI26vMqL27vVjYZWltQCXKuM0tUg2E0ao7Oxe1HG.pdf</t>
  </si>
  <si>
    <t>https://storage.googleapis.com/deytha-prod/paymentBills/ROsHLqm6FWm3BZkloxcmdHOX7h8A3IgQDZfKUOWW.pdf</t>
  </si>
  <si>
    <t>2025-08-29 01:24:57</t>
  </si>
  <si>
    <t>2025-08-28 20:24:57</t>
  </si>
  <si>
    <t>BOCANEGRA SANCHEZ JONATHAN EDSON</t>
  </si>
  <si>
    <t>430-08272066-0-35</t>
  </si>
  <si>
    <t>https://storage.googleapis.com/deytha-prod/worker/settle/J8OPp80kSgOdzaMoqxng7x7CYhIKJDi26caJBR54.pdf</t>
  </si>
  <si>
    <t>https://storage.googleapis.com/deytha-prod/paymentBills/1wSlbrkVYxSvdYUTJ5qoZLNKc75MmTsmKQ93nG4C.pdf</t>
  </si>
  <si>
    <t>2025-08-29 01:19:46</t>
  </si>
  <si>
    <t>2025-08-28 20:19:46</t>
  </si>
  <si>
    <t>ALVARADO FLORES DAVID ELOY</t>
  </si>
  <si>
    <t>430-08272290-0-61</t>
  </si>
  <si>
    <t>https://storage.googleapis.com/deytha-prod/worker/settle/1zJ27M5guR53X3QMb8kPLRp5Qb8TX1ZBuOLaO5SG.pdf</t>
  </si>
  <si>
    <t>https://storage.googleapis.com/deytha-prod/paymentBills/FgrelNtXBKVB0WJux1yc6gjjaZLhrijEkv1f8R4G.pdf</t>
  </si>
  <si>
    <t>2025-08-29 00:52:36</t>
  </si>
  <si>
    <t>2025-08-28 19:52:36</t>
  </si>
  <si>
    <t>2025-07-10 19:52:36</t>
  </si>
  <si>
    <t>REPARACION DE LLANTA DEL VOLQUETE </t>
  </si>
  <si>
    <t>2025-09-02 23:42:34</t>
  </si>
  <si>
    <t>https://storage.googleapis.com/deytha-prod/payments/2AOvQEDC43nerl7RFdAsAc3MqE0zph40NOKt0XFq.pdf</t>
  </si>
  <si>
    <t>https://storage.googleapis.com/deytha-prod/payments/YyTPo74EiE0bAtSGqrvjjaTLobd1PoMxsu3ptPTg.pdf</t>
  </si>
  <si>
    <t>2025-08-29 00:33:48</t>
  </si>
  <si>
    <t>2025-08-28 19:33:48</t>
  </si>
  <si>
    <t>2025-07-06 19:33:48</t>
  </si>
  <si>
    <t>COMPRA DE PAPEL BOND - EN OBRA </t>
  </si>
  <si>
    <t>2025-09-02 23:43:36</t>
  </si>
  <si>
    <t>https://storage.googleapis.com/deytha-prod/payments/GoQGmZae1TBhAmPNHn7oEL7sEZJJWb7Cf4YANTQz.pdf</t>
  </si>
  <si>
    <t>https://storage.googleapis.com/deytha-prod/payments/Ae4TRdaVcdJ2UgkhOZsDkaaOf81ZQFVwDdhft0lk.pdf</t>
  </si>
  <si>
    <t>2025-07-13 19:33:48</t>
  </si>
  <si>
    <t>COMPRA DE ARCHIVADORES </t>
  </si>
  <si>
    <t>2025-09-02 23:43:46</t>
  </si>
  <si>
    <t>https://storage.googleapis.com/deytha-prod/payments/ta5FHF5zEHun25kpT8IwCV8www5u97POjObDC2H3.pdf</t>
  </si>
  <si>
    <t>https://storage.googleapis.com/deytha-prod/payments/LvdOZeDLEqF9GjbancQB6Xi2pXKC1xo1umdG5eiA.pdf</t>
  </si>
  <si>
    <t>2025-08-29 00:33:47</t>
  </si>
  <si>
    <t>2025-08-28 19:33:47</t>
  </si>
  <si>
    <t>2025-07-23 19:33:47</t>
  </si>
  <si>
    <t>COMPRA DE PAPEL BOND Y CUADRNO DE APUNTES </t>
  </si>
  <si>
    <t>2025-09-02 23:43:44</t>
  </si>
  <si>
    <t>https://storage.googleapis.com/deytha-prod/payments/TKAPjUzg5PqxWJVf6daKVhNYEZcIY9bxEufzfAOa.pdf</t>
  </si>
  <si>
    <t>https://storage.googleapis.com/deytha-prod/payments/6N9aQLnXdoPOYQW1b8pvIP5fgrVMqjYgooK8yJEw.pdf</t>
  </si>
  <si>
    <t>2025-08-29 00:23:43</t>
  </si>
  <si>
    <t>2025-08-28 19:23:43</t>
  </si>
  <si>
    <t>2025-06-11 19:23:43</t>
  </si>
  <si>
    <t>MOVILIDAD DE CUAJONE HACIA MOQUEGUA </t>
  </si>
  <si>
    <t>https://storage.googleapis.com/deytha-prod/payments/ZDVwCaepzxRPbTgPmZ4eS5sesUjyd7jQgujiG5uB.pdf</t>
  </si>
  <si>
    <t>https://storage.googleapis.com/deytha-prod/payments/A1WpTht4KnVh1ryLAJC47NYVmBSJMoMAcuaL7mTO.pdf</t>
  </si>
  <si>
    <t>2025-07-11 19:23:43</t>
  </si>
  <si>
    <t>TAXI PARA RECOJO DE INDA Y VUELTA EN DOS DIAS </t>
  </si>
  <si>
    <t>2025-09-02 23:43:40</t>
  </si>
  <si>
    <t>https://storage.googleapis.com/deytha-prod/payments/WCJt7fMrb5jTi61Uj4oUX33B5ko8HSEDv6Lc7bZ1.pdf</t>
  </si>
  <si>
    <t>https://storage.googleapis.com/deytha-prod/payments/vTSxbBsgUrbWzm1pRnfWvN44FnH7BXs2LQ7dXg6Q.pdf</t>
  </si>
  <si>
    <t>2025-08-29 00:23:41</t>
  </si>
  <si>
    <t>2025-08-28 19:23:41</t>
  </si>
  <si>
    <t>2025-06-15 19:23:41</t>
  </si>
  <si>
    <t>LEGALIZACION DE UN LIBRO DE ACTAS DE 100 HOJAS PARA AREA SSOMA</t>
  </si>
  <si>
    <t>2025-09-02 23:43:33</t>
  </si>
  <si>
    <t>https://storage.googleapis.com/deytha-prod/payments/QWdDx42MBKtJPtu9hb5Om12MEtQjaFHXt97cABiV.pdf</t>
  </si>
  <si>
    <t>https://storage.googleapis.com/deytha-prod/payments/3qvCZux4qplAPCugCZTexWrFxRhaZmKmthAneb6k.pdf</t>
  </si>
  <si>
    <t>2025-08-28 23:14:48</t>
  </si>
  <si>
    <t>2025-08-28 18:14:48</t>
  </si>
  <si>
    <t>2025-07-20 18:14:48</t>
  </si>
  <si>
    <t>SERVICIO DE ENCOMIENDA MOQUEGUA AREQUIPA </t>
  </si>
  <si>
    <t>2025-09-02 23:43:32</t>
  </si>
  <si>
    <t>https://storage.googleapis.com/deytha-prod/payments/IIlGhWLVsSR0FckGKJjEiv28V06VHt7ppxYVK7Jf.pdf</t>
  </si>
  <si>
    <t>https://storage.googleapis.com/deytha-prod/payments/56cJMJVVTdVnVkYAQQdei4pBLnGfCx6BIEKNtB2n.pdf</t>
  </si>
  <si>
    <t>2025-08-28 23:08:26</t>
  </si>
  <si>
    <t>2025-08-28 18:08:26</t>
  </si>
  <si>
    <t>2025-06-28 18:08:26</t>
  </si>
  <si>
    <t>COMPRA DE COMBUSTIBLE REGULAR</t>
  </si>
  <si>
    <t>2025-09-02 23:43:29</t>
  </si>
  <si>
    <t>https://storage.googleapis.com/deytha-prod/payments/pIpyBEHIhVscpYAFQwh0w2h5lJNp9wtcAX5ZFUDo.pdf</t>
  </si>
  <si>
    <t>https://storage.googleapis.com/deytha-prod/payments/LUuayauYRf3hwirL0jywcZYdwk4Bx5vDIwqy1HZN.pdf</t>
  </si>
  <si>
    <t>2025-08-28 23:08:13</t>
  </si>
  <si>
    <t>2025-08-28 18:08:13</t>
  </si>
  <si>
    <t>2025-06-11 18:08:13</t>
  </si>
  <si>
    <t>COMPRA DE CINTA DE EMBALAJE - PAPEL STICKER </t>
  </si>
  <si>
    <t>2025-09-02 23:43:23</t>
  </si>
  <si>
    <t>https://storage.googleapis.com/deytha-prod/payments/VesKKxDMAezn15DK5xTPBcKKMjb3YClvk44Zvlhk.pdf</t>
  </si>
  <si>
    <t>https://storage.googleapis.com/deytha-prod/payments/L1resHR0PoKB0ETp0yjiQHdISFCseoCWDZnI11O2.pdf</t>
  </si>
  <si>
    <t>2025-07-03 18:08:13</t>
  </si>
  <si>
    <t>RECOJO DE ENCOMIENDA DE AREQUIPA HACIA MOQ  TROMPO MEZCLADORA </t>
  </si>
  <si>
    <t>2025-09-02 23:43:50</t>
  </si>
  <si>
    <t>https://storage.googleapis.com/deytha-prod/payments/sVQlh2ovbXUJ78bDEFKMUrwGZdWDy5MVntlcVMM0.pdf</t>
  </si>
  <si>
    <t>https://storage.googleapis.com/deytha-prod/payments/i45pWdfrNgjoI72RGmyngqo7vWLdqLMQnijtog5B.pdf</t>
  </si>
  <si>
    <t>2025-08-28 23:08:09</t>
  </si>
  <si>
    <t>2025-08-28 18:08:09</t>
  </si>
  <si>
    <t>2025-06-11 18:08:09</t>
  </si>
  <si>
    <t>CAMBIO DE SELLOS 
COMPRA DE ALDABAS </t>
  </si>
  <si>
    <t>2025-09-02 23:43:26</t>
  </si>
  <si>
    <t>https://storage.googleapis.com/deytha-prod/payments/WMQPPTtiMj3Ucz7t6wTosjYyMhrbd4DYX05SOPRG.pdf</t>
  </si>
  <si>
    <t>https://storage.googleapis.com/deytha-prod/payments/qzyz9OzUapDP9YmiFzau51BjPbjFLPB2RxkADJ8g.pdf</t>
  </si>
  <si>
    <t>2025-08-27 02:53:24</t>
  </si>
  <si>
    <t>2025-08-28 14:24:57</t>
  </si>
  <si>
    <t>2025-08-27 12:53:01</t>
  </si>
  <si>
    <t>ROLDAN VILLANUEVA RICARDO</t>
  </si>
  <si>
    <t>43003565630059 TITULAR: CHAMBILLA FLORES BRIAN</t>
  </si>
  <si>
    <t xml:space="preserve">SERVICIO DE RECONSTRUCCION DE PROTECTOR DE MEZCLADORA DE CONCRETO </t>
  </si>
  <si>
    <t>2025-08-29 16:42:00</t>
  </si>
  <si>
    <t>https://storage.googleapis.com/deytha-prod/payments/opl8TBPjnd5xoF7yD3AcdximPZMcVd5nGlpOpq2Y.pdf</t>
  </si>
  <si>
    <t>https://storage.googleapis.com/deytha-prod/paymentBills/Kj1luh6x85VVslW5WLrtBYyTUjcSq09lKgD7oHLW.png</t>
  </si>
  <si>
    <t>https://storage.googleapis.com/deytha-prod/supplierBills/h1a1zHHQYxmrTDxYJTKduml6E5ilSBueaKnJHl8o.pdf</t>
  </si>
  <si>
    <t>2025-08-27 21:21:20</t>
  </si>
  <si>
    <t>2025-08-27 16:20:56</t>
  </si>
  <si>
    <t>JK DIESEL S.A.C.</t>
  </si>
  <si>
    <t xml:space="preserve"> FOCO DE PERTIGA Y FUSIBLES </t>
  </si>
  <si>
    <t>2025-08-28 15:27:00</t>
  </si>
  <si>
    <t>https://storage.googleapis.com/deytha-prod/payments/E5opaIz4rAX9FnBIGaliCcvElfNBvV82cpgPRpSr.pdf</t>
  </si>
  <si>
    <t>https://storage.googleapis.com/deytha-prod/paymentBills/iqIxtTdboa7Ups3yZ7erX118UetyJBi51uHHVwOB.png</t>
  </si>
  <si>
    <t>https://storage.googleapis.com/deytha-prod/supplierBills/4CGgAJCpeiBvWIOp4jvNB1el9hZkFBHLFpuEloLE.pdf</t>
  </si>
  <si>
    <t>2025-08-28 13:44:36</t>
  </si>
  <si>
    <t>2025-08-28 08:42:59</t>
  </si>
  <si>
    <t>DOSIS ELECTROLITICA Y DOSIS TERRAKIT MARGUZTERR</t>
  </si>
  <si>
    <t>2025-08-29 14:26:00</t>
  </si>
  <si>
    <t>https://storage.googleapis.com/deytha-prod/payments/h2pd4NBYfiB3T3UkDYwsQeBjWFRoQMVslEbfHlRv.pdf</t>
  </si>
  <si>
    <t>https://storage.googleapis.com/deytha-prod/paymentBills/qZkisCqkQp8Y1pqlHpNjGwj0pZjiYRGpKLsa2DJv.png</t>
  </si>
  <si>
    <t>https://storage.googleapis.com/deytha-prod/supplierBills/bT4FUabm4H1zpGI3Pc0COV87bJwqGCp42q32FwjH.pdf</t>
  </si>
  <si>
    <t>2025-08-28 16:06:26</t>
  </si>
  <si>
    <t>2025-08-28 11:06:26</t>
  </si>
  <si>
    <t>2025-07-07 11:06:26</t>
  </si>
  <si>
    <t>-COMPRA DE MATERIAL - BANDERAS GRANDES </t>
  </si>
  <si>
    <t>https://storage.googleapis.com/deytha-prod/payments/8BiyqCBu7j54nLP0xkPoZAxPkGptXR8JB0ZTqHTE.pdf</t>
  </si>
  <si>
    <t>https://storage.googleapis.com/deytha-prod/payments/wHDeP07JYL2uiqH1XujhlRl6i3OeOGqJ02To94Jh.pdf</t>
  </si>
  <si>
    <t>2025-07-31 11:06:26</t>
  </si>
  <si>
    <t>COMERCIALIZADORA INDUSTRIAL LAURA E.I.R.L.</t>
  </si>
  <si>
    <t>SERVICIO DE TRANSPORTE DE MATERIAL DE LA VARIANTE -AV PARRA EN AREQUIPA </t>
  </si>
  <si>
    <t>2025-09-02 23:43:53</t>
  </si>
  <si>
    <t>https://storage.googleapis.com/deytha-prod/payments/puV9Z1NFaeEEKahnt1sF1GVJdIzpeVqwPiqKCOck.pdf</t>
  </si>
  <si>
    <t>https://storage.googleapis.com/deytha-prod/payments/7saym20kp7Pwb8H16EYjppX20mf0bKyGuQCVir0y.pdf</t>
  </si>
  <si>
    <t>2025-08-28 16:06:25</t>
  </si>
  <si>
    <t>2025-08-28 11:06:25</t>
  </si>
  <si>
    <t>2025-07-04 11:06:25</t>
  </si>
  <si>
    <t>COMPRA DE MATERIAL TORTOL GRANDE COMPRA URGENTE </t>
  </si>
  <si>
    <t>2025-09-02 23:42:46</t>
  </si>
  <si>
    <t>https://storage.googleapis.com/deytha-prod/payments/SzAm8KqXGs4iMEwKJBDCRgsHV5cS57Tbm6JAPIpo.pdf</t>
  </si>
  <si>
    <t>https://storage.googleapis.com/deytha-prod/payments/ASs5YVljdIktFssp7dsItuYXC2e4FDSvnbMD9H7E.pdf</t>
  </si>
  <si>
    <t>2025-08-28 16:06:13</t>
  </si>
  <si>
    <t>2025-08-28 11:06:13</t>
  </si>
  <si>
    <t>2025-06-21 11:06:13</t>
  </si>
  <si>
    <t>TAXI PARA RECOJO DE MATERAILES MOQUEGUA , TERMINAL TERRESTRE , SAN AANTONIO</t>
  </si>
  <si>
    <t>2025-09-02 23:42:38</t>
  </si>
  <si>
    <t>https://storage.googleapis.com/deytha-prod/payments/cyoQLJRff2KjMBNWHRosDFAKejaPABzaXFEpz6pU.pdf</t>
  </si>
  <si>
    <t>https://storage.googleapis.com/deytha-prod/payments/2EtWB0rM1VbRZUuax7blOe5yutoFMc77Ez7XzYUZ.pdf</t>
  </si>
  <si>
    <t>2025-06-18 11:06:13</t>
  </si>
  <si>
    <t>SELLOS PARA PERSONAL STAFF </t>
  </si>
  <si>
    <t>2025-09-02 23:43:12</t>
  </si>
  <si>
    <t>https://storage.googleapis.com/deytha-prod/payments/RpbOJBy5j6SuBsyLGhcpP3MlCs87rTufcfElVyRv.pdf</t>
  </si>
  <si>
    <t>https://storage.googleapis.com/deytha-prod/payments/euM6Lsv7pTBek4XbIwO4GehfI2a9Lcn22uszckJc.pdf</t>
  </si>
  <si>
    <t>2025-06-30 11:06:13</t>
  </si>
  <si>
    <t>TAXI PARA RECOJO DE MATERIALES VARIOS EN TERMINAL TERRESTRE Y SAN AANTONIO</t>
  </si>
  <si>
    <t>https://storage.googleapis.com/deytha-prod/payments/OUitJRNCNfEOE98GcvpPJhpacns7n8VHKn8lOybF.pdf</t>
  </si>
  <si>
    <t>https://storage.googleapis.com/deytha-prod/payments/8R4EPCbUJUVLX6LlGd0wdB6vjToZDqFsQPWuZGPL.pdf</t>
  </si>
  <si>
    <t>2025-06-12 11:06:13</t>
  </si>
  <si>
    <t>PAGO PRA PERSONAL DE ESTIBA CEMENTO</t>
  </si>
  <si>
    <t>2025-09-02 23:42:42</t>
  </si>
  <si>
    <t>https://storage.googleapis.com/deytha-prod/payments/rfQibxA2moCfBKrxh9yndXmINm9HH4O6OpMp8fgu.pdf</t>
  </si>
  <si>
    <t>https://storage.googleapis.com/deytha-prod/payments/9v11sTnfWS4EPNvbOQIu7e0iEO8AHWNnS8W9aI4S.pdf</t>
  </si>
  <si>
    <t>2025-07-11 11:06:13</t>
  </si>
  <si>
    <t>PAGO DE FLETE DE LIMA HACIA MOQUEGUA </t>
  </si>
  <si>
    <t>https://storage.googleapis.com/deytha-prod/payments/0cHGciEydg2c5Nk9ZA3ho3Qq9dlLSoIsH4X4XmvC.pdf</t>
  </si>
  <si>
    <t>https://storage.googleapis.com/deytha-prod/payments/gDPRALgAL6r2ie7JkjBxgkkfp1Wea45nt9uAnkHU.pdf</t>
  </si>
  <si>
    <t>2025-07-05 11:06:13</t>
  </si>
  <si>
    <t>BENCAR S.R.L.</t>
  </si>
  <si>
    <t>COMPRA DE COMBUSTIBLE </t>
  </si>
  <si>
    <t>https://storage.googleapis.com/deytha-prod/payments/uqpR1UgFjhaeW8pXBrjTt2opC7CHuQlZubGMNljB.pdf</t>
  </si>
  <si>
    <t>https://storage.googleapis.com/deytha-prod/payments/NmVIcXYG6WDozLx8JdXsaoKso5F5QEjXmIpxrkoN.pdf</t>
  </si>
  <si>
    <t>2025-08-28 16:06:12</t>
  </si>
  <si>
    <t>2025-08-28 11:06:12</t>
  </si>
  <si>
    <t>2025-07-12 11:06:12</t>
  </si>
  <si>
    <t>TAXI RECOJO DE TELUROMETRO EN AREQUIPA Y ENVIO HACIA MOQUEGUA </t>
  </si>
  <si>
    <t>2025-09-02 23:42:58</t>
  </si>
  <si>
    <t>https://storage.googleapis.com/deytha-prod/payments/SNKT6a8i8LNYotZ7X16KQ2mMbAN4szEVLTubKyrp.pdf</t>
  </si>
  <si>
    <t>https://storage.googleapis.com/deytha-prod/payments/x9zlop4INSVLNh63yylmsvDWDax9KHoBRCzXjHxo.pdf</t>
  </si>
  <si>
    <t>2025-07-24 11:06:12</t>
  </si>
  <si>
    <t>TAXI  - EN MOQUEGUA AL COLABORADOR ABRAHAN </t>
  </si>
  <si>
    <t>2025-09-02 23:43:01</t>
  </si>
  <si>
    <t>https://storage.googleapis.com/deytha-prod/payments/ziv12wabBnVmC8tJJILjDblguumdy9GuCSpdBCgD.pdf</t>
  </si>
  <si>
    <t>https://storage.googleapis.com/deytha-prod/payments/LOpFI4SIGkTPTeRYVlByRthe773WtIAoilaUlLuW.pdf</t>
  </si>
  <si>
    <t>2025-06-30 11:06:12</t>
  </si>
  <si>
    <t>recojo de encomeindas por empresa SHALOM </t>
  </si>
  <si>
    <t>2025-09-02 23:43:04</t>
  </si>
  <si>
    <t>https://storage.googleapis.com/deytha-prod/payments/5iVqYxJmsccqfRFIeZU0GJ9gWT01EaQ4EeEiovYY.pdf</t>
  </si>
  <si>
    <t>https://storage.googleapis.com/deytha-prod/payments/wnbPFvyPV4gTvV7E757ubmvwUecOFytOsdH06yIO.pdf</t>
  </si>
  <si>
    <t>2025-06-20 11:06:12</t>
  </si>
  <si>
    <t>TAXI RECOJO DE MATERAILES EN MOQEUGUA - SAN ANTONIO - CERCADO DE MOQUEGUA</t>
  </si>
  <si>
    <t>2025-09-02 23:43:08</t>
  </si>
  <si>
    <t>https://storage.googleapis.com/deytha-prod/payments/Btf9ptW80524EJSwNKk7DUAmlX1y0hsIJq5o0xOg.pdf</t>
  </si>
  <si>
    <t>https://storage.googleapis.com/deytha-prod/payments/1FNNw3qjKNEfYkFsTgq8gRdeZj0B6LcLIMX0mXQU.pdf</t>
  </si>
  <si>
    <t>2025-06-13 11:06:12</t>
  </si>
  <si>
    <t>RCOJO DE ENCOMIENDAS </t>
  </si>
  <si>
    <t>https://storage.googleapis.com/deytha-prod/payments/aF5KtUVDbhRaqtDdCOdjzM7X68TkFteZD783koZi.pdf</t>
  </si>
  <si>
    <t>https://storage.googleapis.com/deytha-prod/payments/TsEVDILAubqeDocmuB8Q1wyR8q2nuoVpUn4hBFFJ.pdf</t>
  </si>
  <si>
    <t>2025-08-28 16:06:11</t>
  </si>
  <si>
    <t>2025-08-28 11:06:11</t>
  </si>
  <si>
    <t>2025-07-13 11:06:11</t>
  </si>
  <si>
    <t>RECOJO DE ENCOMIENDA </t>
  </si>
  <si>
    <t>2025-09-02 23:42:50</t>
  </si>
  <si>
    <t>https://storage.googleapis.com/deytha-prod/payments/6Tfy5HPXJ0BvGgGQD5hvL5WyUS8vByX3mdZUhFpp.pdf</t>
  </si>
  <si>
    <t>https://storage.googleapis.com/deytha-prod/payments/L5MSm6wfZQvYKai4BmNZWBuqWflpANq2NWQ6ahmE.pdf</t>
  </si>
  <si>
    <t>2025-08-28 14:43:27</t>
  </si>
  <si>
    <t>2025-08-28 09:47:46</t>
  </si>
  <si>
    <t>2025-08-29 09:42:38</t>
  </si>
  <si>
    <t>ALIMENTACION SEMANA 16</t>
  </si>
  <si>
    <t>2025-08-29 16:52:00</t>
  </si>
  <si>
    <t>https://storage.googleapis.com/deytha-prod/payments/vZQlkI4NFxbQOy2PjYCaogFKWXEmHmwQi4N5mHRx.pdf</t>
  </si>
  <si>
    <t>https://storage.googleapis.com/deytha-prod/paymentBills/Y2XSME7QEPBffYeK1EswqMAv1BPOhSM7x9fxtWEB.png</t>
  </si>
  <si>
    <t>https://storage.googleapis.com/deytha-prod/supplierBills/J78OQziHD4hbSbWVEYKXw2eIzQ5v8qduSzZtOgSU.png</t>
  </si>
  <si>
    <t>2025-08-27 12:53:30</t>
  </si>
  <si>
    <t>2025-08-28 09:34:24</t>
  </si>
  <si>
    <t>2025-08-28 07:53:02</t>
  </si>
  <si>
    <t>DADOS 
GRILLETES 
ESLINGAS</t>
  </si>
  <si>
    <t>2025-08-29 16:39:00</t>
  </si>
  <si>
    <t>https://storage.googleapis.com/deytha-prod/payments/f87bi9lo1t3YmpDF4QWi2b9U2bP4vvvYvMHrLIr9.pdf</t>
  </si>
  <si>
    <t>https://storage.googleapis.com/deytha-prod/paymentBills/xoevfm037J0NGp47ngwl007KL00DNOBwagraR5ZK.png</t>
  </si>
  <si>
    <t>https://storage.googleapis.com/deytha-prod/supplierBills/mCTjdbgu4B9paEySc2eyp9YtTBLD1e65kKApxD8y.pdf</t>
  </si>
  <si>
    <t>2025-08-27 18:43:04</t>
  </si>
  <si>
    <t>2025-08-28 13:43:03</t>
  </si>
  <si>
    <t>TRASLADO VIGILANCIA A OBRA DEL 25/08/2025 AL 07/09/2025</t>
  </si>
  <si>
    <t>2025-08-28 11:17:00</t>
  </si>
  <si>
    <t>https://storage.googleapis.com/deytha-prod/payments/ErlvSmPakN0moF1cIpn7frbEilPDtWZA5QFvqfzN.pdf</t>
  </si>
  <si>
    <t>https://storage.googleapis.com/deytha-prod/paymentBills/uenSsdt0C90BGsExwMQDfVj8PjigiXUBWSJsf5zA.png</t>
  </si>
  <si>
    <t>https://storage.googleapis.com/deytha-prod/supplierBills/yinGpcqk3As1zTjzt1xHXxOuIdygLxNehyt1kBQ8.pdf</t>
  </si>
  <si>
    <t>2025-08-27 20:35:14</t>
  </si>
  <si>
    <t>2025-08-28 15:34:20</t>
  </si>
  <si>
    <t xml:space="preserve">GUANTES HYFLEX MODELO 11727 
TRAJES DESCARTABLE </t>
  </si>
  <si>
    <t>2025-08-29 16:35:00</t>
  </si>
  <si>
    <t>https://storage.googleapis.com/deytha-prod/payments/lGDnBYRNAa16dWmSHxmqonVvJS63THvzI7yiKlyd.pdf</t>
  </si>
  <si>
    <t>https://storage.googleapis.com/deytha-prod/paymentBills/XtJEm5jbqpHVEFEPB6VJZBOoDVnEFMkpN76XnZgD.png</t>
  </si>
  <si>
    <t>https://storage.googleapis.com/deytha-prod/supplierBills/qc7ok0oo4sdtspByiXKn3ueEmGz8fZl2z3GosApb.pdf</t>
  </si>
  <si>
    <t>2025-08-28 00:06:15</t>
  </si>
  <si>
    <t>2025-08-28 19:05:28</t>
  </si>
  <si>
    <t xml:space="preserve">UTILES DE ESCRITORIO </t>
  </si>
  <si>
    <t>2025-08-29 16:33:00</t>
  </si>
  <si>
    <t>https://storage.googleapis.com/deytha-prod/payments/sGfyAJg3WBLQtJ0H6GDKucq4CEKEa9EloOxRjr7z.pdf</t>
  </si>
  <si>
    <t>https://storage.googleapis.com/deytha-prod/paymentBills/gK7Kl2vDtDlr5LwWtLEQUE0sF8G2lsEmMcL3Mldk.png</t>
  </si>
  <si>
    <t>https://storage.googleapis.com/deytha-prod/supplierBills/86mRQkh8yLwuyYwwF1cTNChFBS08pQNgbLzkW8qI.pdf</t>
  </si>
  <si>
    <t>2025-08-28 13:30:45</t>
  </si>
  <si>
    <t>2025-08-29 08:29:49</t>
  </si>
  <si>
    <t xml:space="preserve">RECOJO DE ENCOMIENDAS - </t>
  </si>
  <si>
    <t>2025-08-28 14:21:00</t>
  </si>
  <si>
    <t>https://storage.googleapis.com/deytha-prod/payments/dcIKCjlAVtCrlFwPmwA4vfql5UB9bddBX4r159mX.pdf</t>
  </si>
  <si>
    <t>https://storage.googleapis.com/deytha-prod/paymentBills/0YODCuODFF19fHgvzVCEPMOQyLgRutumpN6fyQHy.png</t>
  </si>
  <si>
    <t>https://storage.googleapis.com/deytha-prod/supplierBills/DE8f86kNwpB2BCQFQbCrGZzDiyrgLWOebGtLRBaq.pdf</t>
  </si>
  <si>
    <t>2025-08-28 13:59:32</t>
  </si>
  <si>
    <t>2025-08-29 08:59:13</t>
  </si>
  <si>
    <t>caja chica py028</t>
  </si>
  <si>
    <t>2025-09-11 19:38:00</t>
  </si>
  <si>
    <t>https://storage.googleapis.com/deytha-prod/paymentBills/T2Zwu8vL5AncVFVQ8mrlA0P9hhiflUVuiajE9Ryp.png</t>
  </si>
  <si>
    <t>2025-08-27 13:01:35</t>
  </si>
  <si>
    <t>2025-08-27 10:51:05</t>
  </si>
  <si>
    <t>2025-08-28 08:01:15</t>
  </si>
  <si>
    <t>PARA RECOJO DE ENCOMIENDA EN MOQUEGUA MATERIAL ELECTRICO</t>
  </si>
  <si>
    <t>2025-08-28 14:35:00</t>
  </si>
  <si>
    <t>https://storage.googleapis.com/deytha-prod/payments/X8hyI0Z4l5zYM5vwTV5XiY4lI8EipHLxZMfzuDgO.png</t>
  </si>
  <si>
    <t>https://storage.googleapis.com/deytha-prod/paymentBills/kOajp4UuSgM0nhzRz8T0pHmQbzefoI11RERMst4o.png</t>
  </si>
  <si>
    <t>https://storage.googleapis.com/deytha-prod/supplierBills/PFC6ie8WXUpY7VfNVCVw1h85rzBlbJsrtqtAHlpi.pdf</t>
  </si>
  <si>
    <t>2025-08-27 14:13:25</t>
  </si>
  <si>
    <t>2025-08-28 09:12:43</t>
  </si>
  <si>
    <t>RECOJO DE ENCOMIENDA 210 SOLES</t>
  </si>
  <si>
    <t>2025-08-28 14:28:00</t>
  </si>
  <si>
    <t>https://storage.googleapis.com/deytha-prod/payments/chT5QdqXvmiZFjbSeKagFmizweapEph1o2EwoxgD.jpg</t>
  </si>
  <si>
    <t>https://storage.googleapis.com/deytha-prod/paymentBills/qFl18JAgurBnAwI0LeGGjSzwHWBGApafyzgU721w.png</t>
  </si>
  <si>
    <t>https://storage.googleapis.com/deytha-prod/supplierBills/ii7wwL9FheVKk3XUVv6wrnnttvPByWHw23nO18tz.pdf</t>
  </si>
  <si>
    <t>2025-08-25 17:56:08</t>
  </si>
  <si>
    <t>2025-08-27 10:46:45</t>
  </si>
  <si>
    <t>2025-08-25 12:52:01</t>
  </si>
  <si>
    <t>LUMINARIAS INTERIORES, CAJAS PARA TOMACORRIENTES Y INTERRUPTORES RQ 10</t>
  </si>
  <si>
    <t>2025-08-27 18:58:00</t>
  </si>
  <si>
    <t>https://storage.googleapis.com/deytha-prod/payments/tJNv8NLlqy4s3WQdt5gug8gb8XE8tnIc9NyEIo9s.pdf</t>
  </si>
  <si>
    <t>https://storage.googleapis.com/deytha-prod/paymentBills/dSp9ZxycrIA50WHfPjyixUWPwFnBJYHLaAaXyTJr.png</t>
  </si>
  <si>
    <t>https://storage.googleapis.com/deytha-prod/supplierBills/FHjic7bdjsiYU1yDX3LeWuNsqtGfySm0QLhQ8Hh8.pdf</t>
  </si>
  <si>
    <t>2025-08-26 21:34:36</t>
  </si>
  <si>
    <t>2025-08-26 16:34:15</t>
  </si>
  <si>
    <t xml:space="preserve">RECARGA DE BIDONES DE AGUA TULUM </t>
  </si>
  <si>
    <t>2025-08-27 17:16:00</t>
  </si>
  <si>
    <t>https://storage.googleapis.com/deytha-prod/payments/Rm7FK5uWl59JZyDesbPhkIexeTe50ZC4Z4MmcgG8.pdf</t>
  </si>
  <si>
    <t>https://storage.googleapis.com/deytha-prod/paymentBills/rt5ANNnTFjKrqOaUvbWFb2fnmPODz7CjbjIIzKM7.png</t>
  </si>
  <si>
    <t>https://storage.googleapis.com/deytha-prod/supplierBills/2ZY9i96bcnliXh9Qsw4OKmUuH1ULqdqwMqDEWi7O.pdf</t>
  </si>
  <si>
    <t>2025-08-26 21:39:38</t>
  </si>
  <si>
    <t>2025-08-26 16:39:06</t>
  </si>
  <si>
    <t xml:space="preserve">SAL INDUSTRIAL GRANULADO </t>
  </si>
  <si>
    <t>2025-08-27 17:11:00</t>
  </si>
  <si>
    <t>https://storage.googleapis.com/deytha-prod/payments/oiOWVCiprZkf2OSKthwcMxgPO2DBuH4VaKKTthkA.pdf</t>
  </si>
  <si>
    <t>https://storage.googleapis.com/deytha-prod/paymentBills/gPbgfqo7W3IsCHPlxXLxQH9fsQx64oXLWZcSE2gV.png</t>
  </si>
  <si>
    <t>https://storage.googleapis.com/deytha-prod/supplierBills/bmy3eCp0AzLtOn1NCHOOzOYD9VCcJKij3g4l627I.pdf</t>
  </si>
  <si>
    <t>2025-08-26 21:57:41</t>
  </si>
  <si>
    <t>2025-08-26 16:56:28</t>
  </si>
  <si>
    <t>361 3064798818  // CCI 00336101306479881832</t>
  </si>
  <si>
    <t xml:space="preserve">TEMPLE BASE PARA PINTAR MAJESTAD Y RODILLO DE 6 TORO </t>
  </si>
  <si>
    <t>2025-08-29 14:57:00</t>
  </si>
  <si>
    <t>https://storage.googleapis.com/deytha-prod/payments/Wc8yp3r2YXZgcIcKIM2YNWS5H6HHp1UdFokm5pFK.pdf</t>
  </si>
  <si>
    <t>https://storage.googleapis.com/deytha-prod/paymentBills/SdHkgfVHHLQamcjjoOiTofZbuveESigGqU5xPG36.pdf</t>
  </si>
  <si>
    <t>https://storage.googleapis.com/deytha-prod/supplierBills/9yWr4Y5Aj8WmjKjK3sSKcGY1HfVfF0Zqw076QGCp.pdf</t>
  </si>
  <si>
    <t>2025-08-22 19:42:53</t>
  </si>
  <si>
    <t>2025-08-27 10:38:58</t>
  </si>
  <si>
    <t>2025-08-23 14:42:45</t>
  </si>
  <si>
    <t>TAPIA LAMCHONG MIGUEL HUMBERTO</t>
  </si>
  <si>
    <t>430-08272142-0-12</t>
  </si>
  <si>
    <t>BONO MES DE AGOSTO</t>
  </si>
  <si>
    <t>2025-09-03 13:01:00</t>
  </si>
  <si>
    <t>https://storage.googleapis.com/deytha-prod/payments/toIPFR49AR6Q5Tan35RnRFyYqV3Rbnuk7FD54MH4.pdf</t>
  </si>
  <si>
    <t>https://storage.googleapis.com/deytha-prod/paymentBills/MPoQbhpd2Wguo3egbvuCddhKBIopRqv3m3zhHTp8.png</t>
  </si>
  <si>
    <t>https://storage.googleapis.com/deytha-prod/supplierBills/0FemsdvbqEqWnU7eOl0ETExaVHpm3GpHVYZ0FFLm.pdf</t>
  </si>
  <si>
    <t>2025-08-22 19:50:19</t>
  </si>
  <si>
    <t>2025-08-23 14:50:08</t>
  </si>
  <si>
    <t xml:space="preserve"> BARRIGA HUYHUA ALFREDO ÁNGEL</t>
  </si>
  <si>
    <t xml:space="preserve">2010570840 </t>
  </si>
  <si>
    <t xml:space="preserve">TRASLADO ING. TELECOMUNICACIONES DE LIMA A TACNA </t>
  </si>
  <si>
    <t>2025-09-09 16:00:00</t>
  </si>
  <si>
    <t>https://storage.googleapis.com/deytha-prod/paymentBills/L85rsUey4U2EhPa5xjxga72l872aciJlYmac2wP3.pdf</t>
  </si>
  <si>
    <t>https://storage.googleapis.com/deytha-prod/supplierBills/pKOh2eTzFYS8NERzdcwxmOL4tnpmRRlyVI09iX1N.pdf</t>
  </si>
  <si>
    <t>USD SCOTIABANK DOLARES 000-4830635</t>
  </si>
  <si>
    <t>2025-08-22 20:32:44</t>
  </si>
  <si>
    <t>2025-08-23 15:31:31</t>
  </si>
  <si>
    <t>PASAJE PERSONAL ANDAMIERO DE LIMA A MOQUEGUA</t>
  </si>
  <si>
    <t>2025-08-29 16:48:00</t>
  </si>
  <si>
    <t>https://storage.googleapis.com/deytha-prod/payments/T9LW3fUWYk7pHU2WDbi3YFSijjHqgdN7R7qBTSzO.png</t>
  </si>
  <si>
    <t>https://storage.googleapis.com/deytha-prod/paymentBills/x8t0wExgy8Py4Nw9ADtorNlTs3hNvLYHYGjfPHr0.png</t>
  </si>
  <si>
    <t>https://storage.googleapis.com/deytha-prod/supplierBills/bpLDexDrOI1GX2K2a579zHXf6LDSRvsJrDrXScB1.pdf</t>
  </si>
  <si>
    <t>2025-08-27 13:58:55</t>
  </si>
  <si>
    <t>2025-08-28 08:58:51</t>
  </si>
  <si>
    <t>PASAJE AEREO PERSONAL JHAN SILVA CJA-AQP</t>
  </si>
  <si>
    <t>2025-08-27 09:59:00</t>
  </si>
  <si>
    <t>https://storage.googleapis.com/deytha-prod/payments/hp5nFBqViILs7NguZDTPrnh7mVvHGPMBrRor4Cyw.png</t>
  </si>
  <si>
    <t>https://storage.googleapis.com/deytha-prod/paymentBills/pccx1nkvfj0nn3GFTnxZ5R5Ydmp0ICEHPM87NSmD.pdf</t>
  </si>
  <si>
    <t>https://storage.googleapis.com/deytha-prod/supplierBills/xSWCL7lgs5QrUjzZaxUgzXIRPjsVnIM2un9UhNGv.pdf</t>
  </si>
  <si>
    <t>2025-08-27 14:19:25</t>
  </si>
  <si>
    <t>2025-08-27 09:19:25</t>
  </si>
  <si>
    <t>2025-08-05 09:19:25</t>
  </si>
  <si>
    <t>JULIO-2025-AFP-PY28-RG</t>
  </si>
  <si>
    <t>2026-02-23 12:19:14</t>
  </si>
  <si>
    <t>2025-08-27 13:46:58</t>
  </si>
  <si>
    <t>2025-08-27 08:46:58</t>
  </si>
  <si>
    <t>2025-08-05 08:46:58</t>
  </si>
  <si>
    <t>JULIO-2025-ESSALUD-PY28-RG</t>
  </si>
  <si>
    <t>2026-02-23 12:16:51</t>
  </si>
  <si>
    <t>2025-08-26 23:49:05</t>
  </si>
  <si>
    <t>2025-08-26 18:49:05</t>
  </si>
  <si>
    <t>2025-08-05 18:49:05</t>
  </si>
  <si>
    <t>JULIO-2025-IR 5TA-PY028-RG</t>
  </si>
  <si>
    <t>2026-02-23 12:15:04</t>
  </si>
  <si>
    <t>2025-08-26 23:13:39</t>
  </si>
  <si>
    <t>2025-08-26 18:13:39</t>
  </si>
  <si>
    <t>2025-08-05 18:13:39</t>
  </si>
  <si>
    <t>JULIO-2025-ONP-PY028-RG</t>
  </si>
  <si>
    <t>2026-02-23 12:13:28</t>
  </si>
  <si>
    <t>2025-08-26 22:45:40</t>
  </si>
  <si>
    <t>2025-08-26 17:45:40</t>
  </si>
  <si>
    <t>2025-08-05 17:45:40</t>
  </si>
  <si>
    <t>JULIO-2025-REM NETAS-PY028-RG</t>
  </si>
  <si>
    <t>2026-02-23 12:11:38</t>
  </si>
  <si>
    <t>APUMAYTA ESCOBAR JAVIER SANTOS</t>
  </si>
  <si>
    <t>2025-08-22 21:39:24</t>
  </si>
  <si>
    <t>2025-08-25 12:00:55</t>
  </si>
  <si>
    <t>2025-08-22 16:38:43</t>
  </si>
  <si>
    <t>SIKA REP - 500 X 30 KG</t>
  </si>
  <si>
    <t>2025-08-25 12:39:00</t>
  </si>
  <si>
    <t>https://storage.googleapis.com/deytha-prod/payments/XbbUuMUr7NU8Dm8P96X7n3nKfVRNBnC6c2zJuIdx.pdf</t>
  </si>
  <si>
    <t>https://storage.googleapis.com/deytha-prod/paymentBills/cgNGpnBtL89ZSnciIFQXBgSlt4FPQeM9e7bK00iA.png</t>
  </si>
  <si>
    <t>https://storage.googleapis.com/deytha-prod/supplierBills/HEuCjlY9umYf0R4wJ02m6Jba2DhWKXRpDodso0Tq.pdf</t>
  </si>
  <si>
    <t>2025-08-25 16:05:33</t>
  </si>
  <si>
    <t>2025-08-25 11:05:23</t>
  </si>
  <si>
    <t>MANIOBRAS AREQUIPA S.A.C.</t>
  </si>
  <si>
    <t>215-2252868-0-57</t>
  </si>
  <si>
    <t xml:space="preserve">ESLINGA DE POLIÉSTER Y ESTROBO DE CABLE DE ACERO </t>
  </si>
  <si>
    <t>2025-08-25 15:16:00</t>
  </si>
  <si>
    <t>https://storage.googleapis.com/deytha-prod/payments/QS86hZl41cyMe4sY4k4sXvgLYyYoygbHAkEgbdKI.pdf</t>
  </si>
  <si>
    <t>https://storage.googleapis.com/deytha-prod/paymentBills/Cq0L3Q9iZmPlfcSSLarnlo98wCJcCqebSphROLmR.png</t>
  </si>
  <si>
    <t>https://storage.googleapis.com/deytha-prod/supplierBills/dt72mL9K2KNhanjbcpvbHCtRs0OmhLb6YKG5iWWn.pdf</t>
  </si>
  <si>
    <t>2025-08-25 16:13:01</t>
  </si>
  <si>
    <t>2025-08-25 11:12:20</t>
  </si>
  <si>
    <t>CAL NIEVE Y PEGAMENTO EPOXICO HILTI RE500</t>
  </si>
  <si>
    <t>2025-08-25 12:43:00</t>
  </si>
  <si>
    <t>https://storage.googleapis.com/deytha-prod/payments/QkDYWpOI1DwHTki3Amug5X3GCAvKjIDeMiF8Tdpf.pdf</t>
  </si>
  <si>
    <t>https://storage.googleapis.com/deytha-prod/paymentBills/syT1RmH8TnzbqyUEw59J0S3cKQXQGbGnCfB3SCyP.png</t>
  </si>
  <si>
    <t>https://storage.googleapis.com/deytha-prod/supplierBills/mHnCYOlhpWNhaoTgjC5WSMsSzCmyR61usHuhPK0w.pdf</t>
  </si>
  <si>
    <t>2025-08-22 20:08:33</t>
  </si>
  <si>
    <t>2025-08-25 11:57:03</t>
  </si>
  <si>
    <t>2025-08-23 15:08:19</t>
  </si>
  <si>
    <t>FRENO DE CUERDAS 
CORREA ANTITRAUMA
AREA SSOMA</t>
  </si>
  <si>
    <t>2025-08-26 18:11:00</t>
  </si>
  <si>
    <t>https://storage.googleapis.com/deytha-prod/payments/nD47EPUmuYbdMwEMvpJ4noZ6yxtYFN5oiZ7UvKJh.pdf</t>
  </si>
  <si>
    <t>https://storage.googleapis.com/deytha-prod/paymentBills/R6tCRO1g9qaKvA44QcpktBSz88Rrg7AeqkX23WpF.png</t>
  </si>
  <si>
    <t>https://storage.googleapis.com/deytha-prod/supplierBills/c0T48s1IUWkikIXkUo6qhUgWAGjCfI3Af1xwvr2B.pdf</t>
  </si>
  <si>
    <t>2025-08-22 21:08:43</t>
  </si>
  <si>
    <t>2025-08-23 16:08:41</t>
  </si>
  <si>
    <t xml:space="preserve">FERRETERIA Y MATERIAL ELECTRICO REQ # 15 </t>
  </si>
  <si>
    <t>2025-08-26 19:09:00</t>
  </si>
  <si>
    <t>https://storage.googleapis.com/deytha-prod/payments/eKCUx8pL1GjdTs6zz4ERYIXXfOnDcZcQeqv7ONsn.pdf</t>
  </si>
  <si>
    <t>https://storage.googleapis.com/deytha-prod/paymentBills/Ztl7W0O7gqbLClsxjLhapSK4hs3oBzPWE02M8y04.png</t>
  </si>
  <si>
    <t>https://storage.googleapis.com/deytha-prod/supplierBills/htVxr2PCylG92rI5QhzTKYEdrzIEdhjeAohNwyf4.pdf</t>
  </si>
  <si>
    <t>2025-08-25 15:51:37</t>
  </si>
  <si>
    <t>2025-08-25 10:56:53</t>
  </si>
  <si>
    <t>2025-08-25 11:51:26</t>
  </si>
  <si>
    <t>PAGO POR EMO DE MAQUERA MAQUERA EDWIN CESAR</t>
  </si>
  <si>
    <t>2025-08-25 11:51:00</t>
  </si>
  <si>
    <t>https://storage.googleapis.com/deytha-prod/payments/McXkGdpIAryVE0zBgxePeBpDVXencA3B7cH0C4H8.pdf</t>
  </si>
  <si>
    <t>https://storage.googleapis.com/deytha-prod/paymentBills/hYy8TLYBRR4rgitlQWOAPJupO264LtNrAgO4cx8A.png</t>
  </si>
  <si>
    <t>https://storage.googleapis.com/deytha-prod/supplierBills/rputp6ME2neXI8Do7711ImU78psDZwcZvIOA4yL6.pdf</t>
  </si>
  <si>
    <t>2025-08-22 21:49:11</t>
  </si>
  <si>
    <t>2025-08-22 16:49:11</t>
  </si>
  <si>
    <t>DEVOLUVION E CAJA CHICA 26301</t>
  </si>
  <si>
    <t>2025-08-22 16:53:13</t>
  </si>
  <si>
    <t>https://storage.googleapis.com/deytha-prod/payments/P42mjfwfFJhTBkXN22EtN5GRTfUpOcx5Wy2FDK9X.jpg</t>
  </si>
  <si>
    <t>https://storage.googleapis.com/deytha-prod/payments/1xcJRDm68XFRujATwwuk4044q3byO1C5PUGewTv1.jpg</t>
  </si>
  <si>
    <t>2025-08-22 20:08:54</t>
  </si>
  <si>
    <t>2025-08-22 15:55:49</t>
  </si>
  <si>
    <t>2025-08-22 16:08:43</t>
  </si>
  <si>
    <t xml:space="preserve">PAGO POR EMO GUERRA CASTILLO EDWIN YHONATAN CARLOS
</t>
  </si>
  <si>
    <t>2025-08-22 16:09:00</t>
  </si>
  <si>
    <t>https://storage.googleapis.com/deytha-prod/payments/44pv83zUxZ19rsAHQHefm3agIJ3uNZ3uDcRX7OCa.xls</t>
  </si>
  <si>
    <t>https://storage.googleapis.com/deytha-prod/paymentBills/HftE6Q3JQEwWurMTsLc5gvFZJbOs9IyofMdi6CYc.png</t>
  </si>
  <si>
    <t>https://storage.googleapis.com/deytha-prod/supplierBills/BG2AHbtUelDuclhnyifGbIbsWgEfIZkdfwQRHI0N.pdf</t>
  </si>
  <si>
    <t>2025-08-22 19:09:33</t>
  </si>
  <si>
    <t>2025-08-22 14:12:00</t>
  </si>
  <si>
    <t>2025-08-23 14:09:17</t>
  </si>
  <si>
    <t>GRUPO CATECINEM E.I.R.L.</t>
  </si>
  <si>
    <t>0011-0231-0100033948</t>
  </si>
  <si>
    <t>CAPACITACION DE USO DE WINCHE OMAC.</t>
  </si>
  <si>
    <t>2025-08-22 15:59:00</t>
  </si>
  <si>
    <t>https://storage.googleapis.com/deytha-prod/payments/sq0rSQLjSAQ3YnVYBMB7bEikNg4X3mAd2aRbBAIn.pdf</t>
  </si>
  <si>
    <t>https://storage.googleapis.com/deytha-prod/paymentBills/CY3x5EhjTEXCeh466YZJuEGabLi7NoCjoFsyM7Oj.pdf</t>
  </si>
  <si>
    <t>https://storage.googleapis.com/deytha-prod/supplierBills/VYHwjCiDiAD4ncSL5v1alGrosOyhiGYlgA3wEpNo.pdf</t>
  </si>
  <si>
    <t>2025-08-14 20:23:58</t>
  </si>
  <si>
    <t>2025-08-22 13:45:05</t>
  </si>
  <si>
    <t>2025-08-30 15:23:26</t>
  </si>
  <si>
    <t>POR SERVICIO DE ALQUILER DE CAMION GRUA 12 TN PLACA Z6P-829 DEL 22/06/2025 AL 26/06/2025 (5940-006 REEMPLAZO BASE 3 POR INSTALACION DE DOS BASES DE COMUNICACION-MINA CUAJONE)</t>
  </si>
  <si>
    <t>https://storage.googleapis.com/deytha-prod/payments/V1RgKtjdPozCBRubSCNQUhJsg4jYT0eUfPt8wKxG.pdf</t>
  </si>
  <si>
    <t>https://storage.googleapis.com/deytha-prod/paymentBills/mMYhsnfZ6hDwjKrMfDOpfvCkAIzqfS4GdLixsra4.pdf</t>
  </si>
  <si>
    <t>https://storage.googleapis.com/deytha-prod/supplierBills/KFhq7c8R5XVFJuXH3WNZDBwNwTkE7Y6pyMLyagdi.pdf</t>
  </si>
  <si>
    <t>2025-08-18 21:09:02</t>
  </si>
  <si>
    <t>2025-08-19 16:07:50</t>
  </si>
  <si>
    <t>Alimentación semana 15</t>
  </si>
  <si>
    <t>2025-08-22 19:30:00</t>
  </si>
  <si>
    <t>https://storage.googleapis.com/deytha-prod/payments/rLPAaiWyFfN4Vpd2YChkHQFIqtR2eefiDbeL27CW.pdf</t>
  </si>
  <si>
    <t>https://storage.googleapis.com/deytha-prod/paymentBills/B7H36qqjhl4nxBYaqay2eIfxaNZnjG7XavVP2iHS.png</t>
  </si>
  <si>
    <t>https://storage.googleapis.com/deytha-prod/supplierBills/KByLFOfm8mGsczgY1SplvZKVvUAiG1usPkvE7nMM.jpg</t>
  </si>
  <si>
    <t>2025-08-18 21:40:31</t>
  </si>
  <si>
    <t>2025-08-19 16:40:18</t>
  </si>
  <si>
    <t xml:space="preserve">ALQUILER DE CONTENEDOR TIPO ALMACEN COLOR AZUL VACIO EN SU INTERIOR, DESDE EL 17/07/2025 AL 16/08/2025 </t>
  </si>
  <si>
    <t>2025-08-29 20:11:00</t>
  </si>
  <si>
    <t>https://storage.googleapis.com/deytha-prod/payments/PDKUd38VgTiaDyIo0WonkuKYWg57uGoRmIkGZnUN.pdf</t>
  </si>
  <si>
    <t>https://storage.googleapis.com/deytha-prod/paymentBills/YInq6CovJ9Ersc2TLUYkIHohEq8d5hdXFnCPHkEP.png</t>
  </si>
  <si>
    <t>https://storage.googleapis.com/deytha-prod/supplierBills/QUrj5gTDq9btRBumUHNSvbAtLnAXhp8BRIZFRGuX.pdf</t>
  </si>
  <si>
    <t>2025-08-18 21:45:41</t>
  </si>
  <si>
    <t>2025-08-19 16:45:05</t>
  </si>
  <si>
    <t>DESDE EL 06/07/2025 AL 05/08/2025 ALQUILER DE CONTENEDOR TIPO ALMACEN CON REPISAS / ALQUILER DE CONTENEDOR TIPO OFICINA / ALQUILER DE CONTENEDOR TIPO OFICINA / ALQUILER DE CONTENEDOR TIPO OFICINA / ALQUILER DE CONTENEDOR TIPO ALMACEN CON REPISAS.</t>
  </si>
  <si>
    <t>https://storage.googleapis.com/deytha-prod/payments/CUSyyI9N4a3kuB9Wx2kdjrIUVlWKjVP3vYfcjpx2.pdf</t>
  </si>
  <si>
    <t>https://storage.googleapis.com/deytha-prod/paymentBills/YuRacRGyecz4KoXSQjGwUiO8tMxlP0CbTHNgowEh.png</t>
  </si>
  <si>
    <t>https://storage.googleapis.com/deytha-prod/supplierBills/zPGkofXozC1LR87FPGs1wTF1vZ31HkOUkxCWKDkX.pdf</t>
  </si>
  <si>
    <t>2025-08-18 21:51:22</t>
  </si>
  <si>
    <t>2025-08-19 16:50:58</t>
  </si>
  <si>
    <t xml:space="preserve">DESDE EL 06/08/2025 AL 05/09/2025 ALQUILER DE CONTENEDOR TIPO ALMACEN CON REPISAS / ALQUIKLER DE CONTENEDOR TIPO OFICINA / ALQUILER DE CONTENEDOR TIPO ALMACEN VACIO / ALQUILER DE CONTENEDOR TIPO OFICINA / ALQUILER DE CONTENEDOR TIPO ALMACEN CON REPISAS, </t>
  </si>
  <si>
    <t>2025-09-12 15:50:00</t>
  </si>
  <si>
    <t>https://storage.googleapis.com/deytha-prod/payments/NsfyeLUmODD8O6hINIfWa4OdofMH2WXqfSFC8yOU.pdf</t>
  </si>
  <si>
    <t>https://storage.googleapis.com/deytha-prod/paymentBills/N0MYmKJouNhR4iQdeWRxBk2SDP47lEaJcT3u4YhY.pdf</t>
  </si>
  <si>
    <t>https://storage.googleapis.com/deytha-prod/supplierBills/amqWh9E7Xv3IJIO0ALLY3S95YTI1AY4voJMVaZyF.pdf</t>
  </si>
  <si>
    <t>2025-08-18 22:01:24</t>
  </si>
  <si>
    <t>2025-08-19 16:55:04</t>
  </si>
  <si>
    <t>ALQUILER DE CONTENEDOR TIPO ALMACEN COLOR AZUL VACIO EN SU INTERIOR, DESDE EL 17/08/2025 AL 06/09/2025</t>
  </si>
  <si>
    <t>https://storage.googleapis.com/deytha-prod/payments/GznPLkhCqORB0csuC4f2QS4g9tyvsndykxReOL6j.pdf</t>
  </si>
  <si>
    <t>https://storage.googleapis.com/deytha-prod/paymentBills/k8G0OQRCSNXOsMGg0YOSt31D6ZTrfjAHGD4xoRdv.pdf</t>
  </si>
  <si>
    <t>https://storage.googleapis.com/deytha-prod/supplierBills/8I2iO08IripVGmmrV4NZ8jAK9CQWbvBzOX3K2paw.pdf</t>
  </si>
  <si>
    <t>2025-08-18 22:07:15</t>
  </si>
  <si>
    <t>2025-08-19 17:06:55</t>
  </si>
  <si>
    <t>ALQUILER DE CONTENEDOR TIPO OFICINA DESDE EL 01/08/2025 AL 30/08/2025</t>
  </si>
  <si>
    <t>https://storage.googleapis.com/deytha-prod/payments/VQBnGnOWRs9okzYpsZF3vnHOWmm5pTkMu6GsBZgv.pdf</t>
  </si>
  <si>
    <t>https://storage.googleapis.com/deytha-prod/paymentBills/emwUMvnc2pw5PhZTTBIOdCD0Xu712naFrFkEj0GM.pdf</t>
  </si>
  <si>
    <t>https://storage.googleapis.com/deytha-prod/supplierBills/TTXOEYuaJEh6l6IyVMogO8DbsAmoH3DaQsrkVJ2A.pdf</t>
  </si>
  <si>
    <t>2025-08-18 22:21:25</t>
  </si>
  <si>
    <t>2025-08-23 17:19:57</t>
  </si>
  <si>
    <t>Servicio de Alquiler de Camión Baranda mes de Julio del 08/07 al 31/07</t>
  </si>
  <si>
    <t>2025-09-24 18:17:00</t>
  </si>
  <si>
    <t>https://storage.googleapis.com/deytha-prod/payments/UqxKEkH1WCzkItd8VlzJ1AgTmfSi4J9ketPhynCI.pdf</t>
  </si>
  <si>
    <t>https://storage.googleapis.com/deytha-prod/paymentBills/hJWG3MvuzpQq9XwYssEw4jK4RoVHpPlQcenY43JB.png</t>
  </si>
  <si>
    <t>https://storage.googleapis.com/deytha-prod/supplierBills/HtkqH2ZuqOOjcChzZCBhbLeUEDdc8X8byHX8LPKG.pdf</t>
  </si>
  <si>
    <t>2025-08-18 22:43:38</t>
  </si>
  <si>
    <t>2025-08-19 17:42:44</t>
  </si>
  <si>
    <t>ESTACION TOTAL MARCA LEYCA TS06-3 R500 PLUS - N- S 1355960 / NIVEL AUTOMATICO MARCA LEYCA NA 332 - N-S 720334457400</t>
  </si>
  <si>
    <t>2025-09-02 17:28:00</t>
  </si>
  <si>
    <t>https://storage.googleapis.com/deytha-prod/payments/fgFcO9zxmVACyeWRtMDrB3ymXGWz0WlfSNDzO4N5.pdf</t>
  </si>
  <si>
    <t>https://storage.googleapis.com/deytha-prod/paymentBills/rlpFvCjBtxYm7yt9MTEXxC6uM1cDHjQRS0emOB5r.png</t>
  </si>
  <si>
    <t>https://storage.googleapis.com/deytha-prod/supplierBills/daMJefd3K2VkEZeMBLSs1kpLMYeUsH6XuMF0XhUr.pdf</t>
  </si>
  <si>
    <t>2025-08-19 03:57:56</t>
  </si>
  <si>
    <t>2025-08-20 13:57:12</t>
  </si>
  <si>
    <t>ALQUILER DE VOLQUETE MARCA SHACMAN MODELO SX3256DV354C DE PLACA BHL-878 DEL 18/06/2025 AL 30/06/2025 POR 65 HORAS A RAZON DE 31 DOLARES LA HORA SIN INCLUIR IGV / ALQUILER DE RETROEXCAVADORA MARCA JCB MODELO 3CX GLOBAL SERIE S0R3CXTTHN3174984 DEL 19/06/2025 AL 30/06/2025 POR 84 HORAS A RAZON DE31 DOLARES LA HORA SIN INCLUIR IGV / POR EL ALQUILER DE MARTILLO HIDRAULICO MARCA TACNIMAQ MODELO FH400 DE SERIE ADSB4310903 DEL 19/06/2025 AL 22/06/2025 POR 04 DIAS A RAZON DE 80 DOLARES EL DIA SIN INCLUIR IGV</t>
  </si>
  <si>
    <t>2025-10-31 11:46:00</t>
  </si>
  <si>
    <t>https://storage.googleapis.com/deytha-prod/payments/SugD698yrfNsgXJuheCNvTrRr5PODWV1xVhtpDZe.pdf</t>
  </si>
  <si>
    <t>https://storage.googleapis.com/deytha-prod/paymentBills/9Cpv6MthrzxpfJmJu2QEedlnNcy1pkMDnzUvCbg7.png</t>
  </si>
  <si>
    <t>https://storage.googleapis.com/deytha-prod/supplierBills/7nEJQCWBGaXFpzEOMdYdZfp2psxVU0ebvjIJhC40.pdf</t>
  </si>
  <si>
    <t>2025-08-19 05:52:45</t>
  </si>
  <si>
    <t>2025-08-20 00:52:36</t>
  </si>
  <si>
    <t>ALQUILER DE LOCAL PARA ALMACEN POR 03 MESES 23/04 AL 22/07</t>
  </si>
  <si>
    <t>2025-09-26 17:31:00</t>
  </si>
  <si>
    <t>https://storage.googleapis.com/deytha-prod/payments/hwKoaxyoRP2xYcNGUKzR6E3Q0z65gh2wU8uOxCz1.pdf</t>
  </si>
  <si>
    <t>https://storage.googleapis.com/deytha-prod/paymentBills/99Uqk3rPLOJtoW7FUOBnxzC579SxIfv2TMAzvePt.png</t>
  </si>
  <si>
    <t>https://storage.googleapis.com/deytha-prod/supplierBills/UpZP1N54ULb1BI1LpJnegdFmq3kRQzRSQdjjU5MF.pdf</t>
  </si>
  <si>
    <t>2025-08-20 20:12:37</t>
  </si>
  <si>
    <t>2025-08-21 15:11:39</t>
  </si>
  <si>
    <t xml:space="preserve">09/08/2025 - 09/09/2025 SERV. ALQ. BAÑO EJECUTIVO C/LAVAMANOS - SERV. ALQ. LAVAMANOS MULTIPLE SUPERTWIN D2 </t>
  </si>
  <si>
    <t>2025-08-27 18:54:00</t>
  </si>
  <si>
    <t>https://storage.googleapis.com/deytha-prod/payments/jXzcv7D84fNGGSaAEBMOfih6gh55wBWBgxBZAO7G.pdf</t>
  </si>
  <si>
    <t>https://storage.googleapis.com/deytha-prod/paymentBills/RykuBWTCr23WUuUUNiSuxZnQ7rs2zxoeQFHrKJBL.png</t>
  </si>
  <si>
    <t>https://storage.googleapis.com/deytha-prod/supplierBills/UQILeNPAYfAW8LaJU0nvfKXrUlq0Jx8nvNiFg6bt.pdf</t>
  </si>
  <si>
    <t>2025-08-20 20:19:08</t>
  </si>
  <si>
    <t>2025-08-21 15:19:01</t>
  </si>
  <si>
    <t>23/08/2025 - 22/09/2025 SERV. ALQ. BAÑO EJECUTIVO C/LAVAMANOS - SERV. ALQ. LAVAMANOS MULTIPLE SUPERTWIN A3</t>
  </si>
  <si>
    <t>2025-08-27 18:51:00</t>
  </si>
  <si>
    <t>https://storage.googleapis.com/deytha-prod/payments/sTzw3Y9Qdx4zyYjtrXCHbjj27GS4Pf0gkG2Wu6Cz.pdf</t>
  </si>
  <si>
    <t>https://storage.googleapis.com/deytha-prod/paymentBills/iPsYWw5ZEb6617ma1f2fkOkB0Q7Z9YGpVzwbUdSY.png</t>
  </si>
  <si>
    <t>https://storage.googleapis.com/deytha-prod/supplierBills/UdhIAPUvygPHxYg7DVWRAJPYFZzVViybMk0ABkah.pdf</t>
  </si>
  <si>
    <t>2025-08-20 20:22:36</t>
  </si>
  <si>
    <t>2025-08-21 15:21:22</t>
  </si>
  <si>
    <t>23/08/2025 - 22/09/2025 SERV. ALQ. BAÑO EJECUTIVO C/LAVAMANOS D2 (DAMA)</t>
  </si>
  <si>
    <t>2025-08-27 18:49:00</t>
  </si>
  <si>
    <t>https://storage.googleapis.com/deytha-prod/payments/RYcFqi2M7qhvYj3GlY0H8zW1TL4bRFhIb4yGzFCR.pdf</t>
  </si>
  <si>
    <t>https://storage.googleapis.com/deytha-prod/paymentBills/BOPMHLO0yejEqMcGsgdTrJMtophZnzTYOi57g0EP.png</t>
  </si>
  <si>
    <t>https://storage.googleapis.com/deytha-prod/supplierBills/7Majs9NY2m3bGLdxlPfY3ccqPs0W3K3WF63vviPX.pdf</t>
  </si>
  <si>
    <t>2025-08-20 20:24:06</t>
  </si>
  <si>
    <t>2025-08-21 15:23:50</t>
  </si>
  <si>
    <t>30/08/2025 - 29/09/2025 SERV. ALQ. BAÑO EJECUTIVO C/LAVAMANOS A3 (DAMA)</t>
  </si>
  <si>
    <t>2025-08-27 18:45:00</t>
  </si>
  <si>
    <t>https://storage.googleapis.com/deytha-prod/payments/j0nBerc2yVimLF1QKePhQ2ODLJxDkixUOQOZ46cV.pdf</t>
  </si>
  <si>
    <t>https://storage.googleapis.com/deytha-prod/paymentBills/4KdQtzAmiA2BzT9CimLUICYOFsTCgRAaG8AiZTSw.png</t>
  </si>
  <si>
    <t>https://storage.googleapis.com/deytha-prod/supplierBills/7uSq4fMZeiDvPwhjkWEbGZGzpZ9vAKFe1EtjG18q.pdf</t>
  </si>
  <si>
    <t>2025-08-20 21:06:01</t>
  </si>
  <si>
    <t>2025-08-21 16:03:38</t>
  </si>
  <si>
    <t>DESMOVILIZACION DE OBRA PERSONAL SSOMA -// AREQUIPA - LIMA EN JET SMART.</t>
  </si>
  <si>
    <t>2025-09-09 18:18:00</t>
  </si>
  <si>
    <t>https://storage.googleapis.com/deytha-prod/paymentBills/OsHK8wnARfnoDQuZClam9TUQsPvd4KLUfSpC4VEo.png</t>
  </si>
  <si>
    <t>https://storage.googleapis.com/deytha-prod/supplierBills/4RN6cSvvnCoL196FgMB3LCv5Pc8Fv3DhhnppXDOD.pdf</t>
  </si>
  <si>
    <t>2025-08-22 15:35:52</t>
  </si>
  <si>
    <t>2025-08-22 13:00:52</t>
  </si>
  <si>
    <t>2025-08-23 10:35:46</t>
  </si>
  <si>
    <t xml:space="preserve">ENCOMIENDA PAA RECOJO DE MATERIAL </t>
  </si>
  <si>
    <t>2025-08-22 17:46:00</t>
  </si>
  <si>
    <t>https://storage.googleapis.com/deytha-prod/payments/sFptx5QSH34Izx1dCfwtkplLNpe3hZZBj3b2Ntoc.jpg</t>
  </si>
  <si>
    <t>https://storage.googleapis.com/deytha-prod/paymentBills/28uxWBl764wGY0mk6AYkK55l7yTvWPzlXD847CbV.png</t>
  </si>
  <si>
    <t>https://storage.googleapis.com/deytha-prod/supplierBills/p9TTYNbxHwHrFbTliyKz8aC0GgWULjoyxlBWaJcv.pdf</t>
  </si>
  <si>
    <t>2025-08-22 17:31:07</t>
  </si>
  <si>
    <t>2025-08-23 12:30:30</t>
  </si>
  <si>
    <t>191-2519951049</t>
  </si>
  <si>
    <t xml:space="preserve">ENCOMIENDA DE MATERIAL </t>
  </si>
  <si>
    <t>2025-08-22 17:43:00</t>
  </si>
  <si>
    <t>https://storage.googleapis.com/deytha-prod/payments/JUOB9U07NaNK18GzmnCatbQLZMnCeeiAZVvRa3aQ.jpg</t>
  </si>
  <si>
    <t>https://storage.googleapis.com/deytha-prod/paymentBills/y5I8yeMQQoBp0MsrgFXsLXg8preJ6TlbxPPLCCug.png</t>
  </si>
  <si>
    <t>https://storage.googleapis.com/deytha-prod/supplierBills/kkQU6hjZFDSEcMYP0olqT32WS82JSe59m8WiEFD1.pdf</t>
  </si>
  <si>
    <t>2025-08-22 17:47:56</t>
  </si>
  <si>
    <t>2025-08-22 12:47:17</t>
  </si>
  <si>
    <t xml:space="preserve">PINTURA CPP LATEX SATINADO BLANCO </t>
  </si>
  <si>
    <t>2025-08-22 17:40:00</t>
  </si>
  <si>
    <t>https://storage.googleapis.com/deytha-prod/payments/IkwXTzGSsHcr5MkCveu6NrBHus5Okbrs89VPjZ0o.pdf</t>
  </si>
  <si>
    <t>https://storage.googleapis.com/deytha-prod/paymentBills/X7AKCZzvcEPh1I32EJyUEsVpCfmKzkf0t0vTmy2C.png</t>
  </si>
  <si>
    <t>https://storage.googleapis.com/deytha-prod/supplierBills/qY9qU53bItB67We0KuJYfSF4hLjNarSDqNEZc5o4.pdf</t>
  </si>
  <si>
    <t>2025-08-21 15:35:52</t>
  </si>
  <si>
    <t>2025-08-22 12:59:00</t>
  </si>
  <si>
    <t>2025-08-21 10:35:40</t>
  </si>
  <si>
    <t>BANDEJA TIPO ESCALERA Y TAPA A2 AGUAS PARA BTE</t>
  </si>
  <si>
    <t>2025-08-22 19:07:00</t>
  </si>
  <si>
    <t>https://storage.googleapis.com/deytha-prod/payments/xkiuWnQimAuwOC3GiQ8R8dRnSW6K3xGaAKE3JDNP.pdf</t>
  </si>
  <si>
    <t>https://storage.googleapis.com/deytha-prod/paymentBills/kc3tpsAeUJaGYejnYGIxngOiKHd7uMs8xC3jzGsz.png</t>
  </si>
  <si>
    <t>https://storage.googleapis.com/deytha-prod/supplierBills/1IkH2oXGB9O9Y4WNniU0zpZRAN8PIdFZP9ibZ0q3.pdf</t>
  </si>
  <si>
    <t>2025-08-22 16:18:44</t>
  </si>
  <si>
    <t>2025-08-22 11:56:29</t>
  </si>
  <si>
    <t>2025-08-22 12:18:28</t>
  </si>
  <si>
    <t xml:space="preserve">PAGO PARA JILAHUANCCO CRUZ LEONIDAS / SALAZAR MUCHO JAIME
</t>
  </si>
  <si>
    <t>2025-08-22 12:14:00</t>
  </si>
  <si>
    <t>https://storage.googleapis.com/deytha-prod/payments/djdQEhoPzcscvEDv7WusumRi0xUgfksBMTjNz4TD.pdf</t>
  </si>
  <si>
    <t>https://storage.googleapis.com/deytha-prod/paymentBills/IKIKZae19kynRqceh8A87i64cDFhJjXX9i4yRvdq.png</t>
  </si>
  <si>
    <t>https://storage.googleapis.com/deytha-prod/supplierBills/uQPpX8UDENJQeduPTtkPioSp8pgC528ucSoMghKd.pdf</t>
  </si>
  <si>
    <t>2025-08-22 16:48:19</t>
  </si>
  <si>
    <t>2025-08-22 12:48:00</t>
  </si>
  <si>
    <t>PAGO POR EMO DE HUAMAN FARFAN YESICA ROXANA</t>
  </si>
  <si>
    <t>2025-08-22 12:19:00</t>
  </si>
  <si>
    <t>https://storage.googleapis.com/deytha-prod/payments/l2Dt451IHeZxALiW1M67tiroR0sQ8RlOAB5EG2L3.pdf</t>
  </si>
  <si>
    <t>https://storage.googleapis.com/deytha-prod/paymentBills/6RQMcD3oxzjiyUOEy2W8TLx3FfNlfrwQ3zaZJ6jr.png</t>
  </si>
  <si>
    <t>https://storage.googleapis.com/deytha-prod/supplierBills/wmi1S8lt8ijtycsEfHGubPOslXsWnkBYPrWgznhk.pdf</t>
  </si>
  <si>
    <t>2025-08-14 16:02:52</t>
  </si>
  <si>
    <t>2025-08-21 15:20:54</t>
  </si>
  <si>
    <t>2025-08-20 11:02:00</t>
  </si>
  <si>
    <t xml:space="preserve">Pago RQF-D:345(2 / 2) | EXTENSORE Y TUERCA OJO HEMBRA, PERNO CABEZA HEXAGONAL </t>
  </si>
  <si>
    <t>2025-08-22 19:54:00</t>
  </si>
  <si>
    <t>https://storage.googleapis.com/deytha-prod/payments/cKQfdSfhDKlfv5Loa7Com0UO7L2cxIbZQ96ORmTe.pdf</t>
  </si>
  <si>
    <t>https://storage.googleapis.com/deytha-prod/paymentBills/RJ0LICF4jOkDjK9fs5scta0bXMGLInUrq20A3Hx8.png</t>
  </si>
  <si>
    <t>https://storage.googleapis.com/deytha-prod/supplierBills/2wsO37RAGS0uMiw95d5QxMsBAdUNfRd9yZIzPVkg.pdf</t>
  </si>
  <si>
    <t>2025-08-21 17:17:39</t>
  </si>
  <si>
    <t>2025-08-21 14:57:46</t>
  </si>
  <si>
    <t>2025-08-21 12:17:29</t>
  </si>
  <si>
    <t xml:space="preserve">ARNES DE LINIERO Y LINIA DE VIDA </t>
  </si>
  <si>
    <t>2025-08-21 15:25:00</t>
  </si>
  <si>
    <t>https://storage.googleapis.com/deytha-prod/payments/Fvf2pM0ZWRF153Ztz0k7cRyWuNs0vV4RU9txSv4J.pdf</t>
  </si>
  <si>
    <t>https://storage.googleapis.com/deytha-prod/paymentBills/CvQoXmirJrQ1S0k1TjSLvnrRykjwB9Q9HEYtWPhf.png</t>
  </si>
  <si>
    <t>https://storage.googleapis.com/deytha-prod/supplierBills/b7uT9vzhsdudKfb8GfBoLf47XKl01eIyf2CYmuIr.pdf</t>
  </si>
  <si>
    <t>2025-08-20 20:24:02</t>
  </si>
  <si>
    <t>2025-08-21 14:02:56</t>
  </si>
  <si>
    <t>2025-08-21 15:23:53</t>
  </si>
  <si>
    <t>2025-09-03 17:49:00</t>
  </si>
  <si>
    <t>https://storage.googleapis.com/deytha-prod/paymentBills/I89xY8DF4jw7rx527EvdxdCMcAdlsp9t5MqiUyDf.png</t>
  </si>
  <si>
    <t>2025-08-21 15:23:33</t>
  </si>
  <si>
    <t>2025-08-22 10:22:42</t>
  </si>
  <si>
    <t>A&amp;L ELECTRIC SAC</t>
  </si>
  <si>
    <t>192-2133466-0-60</t>
  </si>
  <si>
    <t>TUERCAS ,
SIERRA COPA, 
TERMINALES</t>
  </si>
  <si>
    <t>2025-08-22 22:02:00</t>
  </si>
  <si>
    <t>https://storage.googleapis.com/deytha-prod/payments/y6IDmXjBGpfNCNMow8Y3dIHD3MrOSvWDzC9XrfYN.pdf</t>
  </si>
  <si>
    <t>https://storage.googleapis.com/deytha-prod/paymentBills/XBhXuEyglHxMPUme5e6p7hdByGwp6DTig4QO5wkM.png</t>
  </si>
  <si>
    <t>https://storage.googleapis.com/deytha-prod/supplierBills/8tCA6mxQMqykbc0B8q6VkxkwR21GJUTJ9uutFvpX.pdf</t>
  </si>
  <si>
    <t>A &amp; L IMPORT TRADE S.A.C.</t>
  </si>
  <si>
    <t>2025-08-21 15:29:53</t>
  </si>
  <si>
    <t>2025-08-22 10:29:43</t>
  </si>
  <si>
    <t xml:space="preserve">BARRA DE COBRE 
PERNOS </t>
  </si>
  <si>
    <t>2025-08-21 19:01:00</t>
  </si>
  <si>
    <t>https://storage.googleapis.com/deytha-prod/payments/5n1AJFBcyXQFVTc7DOkyAbLlKMDbgW6lFTPoM8Ua.pdf</t>
  </si>
  <si>
    <t>https://storage.googleapis.com/deytha-prod/paymentBills/Pp8ufNwaJZKHhqvd9mvJJTEbwZSNvDwv8PG1HcLi.png</t>
  </si>
  <si>
    <t>https://storage.googleapis.com/deytha-prod/supplierBills/sdkBISLbnbjp475ZxYZvaYbrLgfkUSxKNaaRCjBj.pdf</t>
  </si>
  <si>
    <t>2025-08-21 15:32:58</t>
  </si>
  <si>
    <t>2025-08-22 10:32:19</t>
  </si>
  <si>
    <t>PERNO DE EXPANSION - MANGA TERMOCONTRAIBLE - TERMIN</t>
  </si>
  <si>
    <t>2025-08-22 21:59:00</t>
  </si>
  <si>
    <t>https://storage.googleapis.com/deytha-prod/payments/WBoPX5bOU2utMbZsSnBxUfmUcwerw4gbSAL6Wv2X.pdf</t>
  </si>
  <si>
    <t>https://storage.googleapis.com/deytha-prod/paymentBills/OetEo2VTR0gEH3IVBBfnTG5Cb3SPrS4j5aaa8Y1O.png</t>
  </si>
  <si>
    <t>https://storage.googleapis.com/deytha-prod/supplierBills/umb3b3AMmoMfjZOF6EvYjJyOOeVeOpu7D0BGquFN.pdf</t>
  </si>
  <si>
    <t>2025-08-21 16:18:24</t>
  </si>
  <si>
    <t>2025-08-22 11:18:11</t>
  </si>
  <si>
    <t>MATERAILES PARA LA TORRE</t>
  </si>
  <si>
    <t>2025-08-22 21:54:00</t>
  </si>
  <si>
    <t>https://storage.googleapis.com/deytha-prod/payments/EPouMV45cHLjB12FSqBQTgfbUtONPHigs6ThKRmc.pdf</t>
  </si>
  <si>
    <t>https://storage.googleapis.com/deytha-prod/paymentBills/C0iYMRgelDemKX720TazERcmXPosSknOHOfuSs7w.png</t>
  </si>
  <si>
    <t>https://storage.googleapis.com/deytha-prod/supplierBills/54U2PydJZsP8Ya8FbJCECPV6omTZoDVvOCxIsllX.pdf</t>
  </si>
  <si>
    <t>2025-08-21 14:54:58</t>
  </si>
  <si>
    <t>2025-08-21 09:54:58</t>
  </si>
  <si>
    <t>2025-08-16 09:54:58</t>
  </si>
  <si>
    <t>TRASLADO DE MATERIALES ELECTRICO DE LIMA HACIA MOQUEGUA</t>
  </si>
  <si>
    <t>2025-08-21 10:00:02</t>
  </si>
  <si>
    <t>https://storage.googleapis.com/deytha-prod/payments/o3vzHxW8UiTd4pA7fFJpgL7jgp2Kas6dJA4mvWr7.pdf</t>
  </si>
  <si>
    <t>https://storage.googleapis.com/deytha-prod/payments/32QtEGZLjslbVqKCialDM74nLj1b8pFNa2y8pJmG.pdf</t>
  </si>
  <si>
    <t>2025-08-20 15:34:41</t>
  </si>
  <si>
    <t>2025-08-20 17:45:55</t>
  </si>
  <si>
    <t>2025-08-21 10:34:32</t>
  </si>
  <si>
    <t>BENTONITA Y CEMENTO CONDUCTIVO</t>
  </si>
  <si>
    <t>2025-08-22 21:56:00</t>
  </si>
  <si>
    <t>https://storage.googleapis.com/deytha-prod/payments/Q0T73auOH6Od01HYNcCDlhOi9XfhjFbXR2LAETxw.pdf</t>
  </si>
  <si>
    <t>https://storage.googleapis.com/deytha-prod/paymentBills/EXE6taFTnGb09z5cEFeelWKc4jbElMqBpT5nag79.png</t>
  </si>
  <si>
    <t>https://storage.googleapis.com/deytha-prod/supplierBills/Tp7n7447LROIc3CFBAvsrlxlw0YehvbeLN7vJAsj.pdf</t>
  </si>
  <si>
    <t>2025-08-20 16:59:14</t>
  </si>
  <si>
    <t>2025-08-19 09:07:00</t>
  </si>
  <si>
    <t>Pago RQF-D:347(1 / 2) | REQ - SISTEMA CONTRA INCENDIOS</t>
  </si>
  <si>
    <t>2025-08-21 12:46:00</t>
  </si>
  <si>
    <t>https://storage.googleapis.com/deytha-prod/paymentBills/9klYKl9I6O0IIPsfxuHBbDPgMNKjGhFHplU6FiLm.png</t>
  </si>
  <si>
    <t>https://storage.googleapis.com/deytha-prod/supplierBills/Wz138BCiMtt9tB0iV5UDFedt0Ds7HE3SpgPqVG27.pdf</t>
  </si>
  <si>
    <t>2025-08-20 21:46:35</t>
  </si>
  <si>
    <t>2025-08-20 16:46:35</t>
  </si>
  <si>
    <t>2025-06-21 16:46:35</t>
  </si>
  <si>
    <t>COMPRA DE MATERIAL DE ESCRITORIO </t>
  </si>
  <si>
    <t>2025-08-23 08:23:54</t>
  </si>
  <si>
    <t>https://storage.googleapis.com/deytha-prod/payments/wkrlaVvhlHsJDC1VU9ITKwByTUvxRdb3OHgYZP5W.pdf</t>
  </si>
  <si>
    <t>https://storage.googleapis.com/deytha-prod/payments/rtVuwAoD72JikypKRUJKeItXeNPG76tbXXXp3jp5.pdf</t>
  </si>
  <si>
    <t>2025-08-20 21:45:14</t>
  </si>
  <si>
    <t>2025-08-20 16:45:14</t>
  </si>
  <si>
    <t>2025-06-18 16:45:14</t>
  </si>
  <si>
    <t>2025-08-23 08:23:56</t>
  </si>
  <si>
    <t>https://storage.googleapis.com/deytha-prod/payments/SLsnrT6ZED7CdLsQ1D7ykVVprJ9VIbK3RHjRuTgh.pdf</t>
  </si>
  <si>
    <t>https://storage.googleapis.com/deytha-prod/payments/IbEIQ5wyskzYLP2CjWdlr8nulGGUb37eOZ3oxUCz.pdf</t>
  </si>
  <si>
    <t>2025-08-20 21:36:37</t>
  </si>
  <si>
    <t>2025-08-20 16:36:37</t>
  </si>
  <si>
    <t>2025-06-23 16:36:37</t>
  </si>
  <si>
    <t>PAGO DE SERVICIO  DE ENCOMIENDA </t>
  </si>
  <si>
    <t>2025-08-23 08:30:00</t>
  </si>
  <si>
    <t>https://storage.googleapis.com/deytha-prod/payments/RTGoLULoWTQFKZaAKWesxeYdrPqEGd3HHIisEmy1.pdf</t>
  </si>
  <si>
    <t>https://storage.googleapis.com/deytha-prod/payments/I3FsgSa3rOHaoZWylgPOar7dkbq9ZxMip0ZDKLmp.pdf</t>
  </si>
  <si>
    <t>2025-08-20 21:30:59</t>
  </si>
  <si>
    <t>2025-08-20 16:30:59</t>
  </si>
  <si>
    <t>2025-08-13 16:30:59</t>
  </si>
  <si>
    <t>2025-08-23 08:24:46</t>
  </si>
  <si>
    <t>https://storage.googleapis.com/deytha-prod/payments/1ypI9wyITJv0juPdwNQkWTDPvIxmqFw7JxHFcaDx.pdf</t>
  </si>
  <si>
    <t>https://storage.googleapis.com/deytha-prod/payments/XAHawqwC4NwneeHgbBsMuKCBOlQCuViWvNtDHhNf.pdf</t>
  </si>
  <si>
    <t>2025-08-20 21:05:55</t>
  </si>
  <si>
    <t>2025-08-20 16:05:55</t>
  </si>
  <si>
    <t>PAGO A ESTIBADOR </t>
  </si>
  <si>
    <t>2025-08-22 16:53:17</t>
  </si>
  <si>
    <t>https://storage.googleapis.com/deytha-prod/payments/iZ973NejSaXdbAAq4IAGmRLucLpmyfjNuKNQBw5h.pdf</t>
  </si>
  <si>
    <t>https://storage.googleapis.com/deytha-prod/payments/kxC0gpPhgXQQ5KUTDr22NolJYXVjSZRAbBUpZnWT.pdf</t>
  </si>
  <si>
    <t>2025-08-20 21:01:49</t>
  </si>
  <si>
    <t>2025-08-20 16:01:49</t>
  </si>
  <si>
    <t>PAGO DE TAXI </t>
  </si>
  <si>
    <t>2025-08-22 16:53:18</t>
  </si>
  <si>
    <t>https://storage.googleapis.com/deytha-prod/payments/9lNGu0ue8mF9B5IP7kVvkIS1w5FeCII4ZMK0Lx78.pdf</t>
  </si>
  <si>
    <t>https://storage.googleapis.com/deytha-prod/payments/kkwhah1BhzeW6sQw12U4nA9sGBQ7mKuvSjE8aUqb.pdf</t>
  </si>
  <si>
    <t>2025-08-20 20:51:06</t>
  </si>
  <si>
    <t>2025-08-20 15:51:06</t>
  </si>
  <si>
    <t>CAMBIO  DE  SELLO </t>
  </si>
  <si>
    <t>2025-08-22 16:53:21</t>
  </si>
  <si>
    <t>https://storage.googleapis.com/deytha-prod/payments/vWX02QncOhot4UMJDf8OFXhy5p64ZDQqCufOpEY8.pdf</t>
  </si>
  <si>
    <t>https://storage.googleapis.com/deytha-prod/payments/d29BGnu0MOey2X0BA40iAfEF2oq4iXkcdHQMrEgC.pdf</t>
  </si>
  <si>
    <t>2025-08-20 19:06:03</t>
  </si>
  <si>
    <t>2025-08-20 15:38:02</t>
  </si>
  <si>
    <t>2025-08-21 14:05:58</t>
  </si>
  <si>
    <t xml:space="preserve">MATERIA DE RELLENO POR 15 M3 </t>
  </si>
  <si>
    <t>2025-08-29 16:55:00</t>
  </si>
  <si>
    <t>https://storage.googleapis.com/deytha-prod/payments/UdXDu1u18jQ0gR0VnXnof9V472grfSDlx2SCv4mc.pdf</t>
  </si>
  <si>
    <t>https://storage.googleapis.com/deytha-prod/paymentBills/7HBiEriwqNcdIlqCe32fWelVfSJLlEKHAbPahq5q.png</t>
  </si>
  <si>
    <t>https://storage.googleapis.com/deytha-prod/supplierBills/eC5FPp1fm0NKwt8KOQ2sghOVe8tp2Eb0YoQyVQ78.pdf</t>
  </si>
  <si>
    <t>2025-08-20 19:07:18</t>
  </si>
  <si>
    <t>2025-08-21 14:07:17</t>
  </si>
  <si>
    <t>TIERRA DE CHACRA POR 15 M3 ( 14/07/2025)</t>
  </si>
  <si>
    <t>2025-08-29 17:01:00</t>
  </si>
  <si>
    <t>https://storage.googleapis.com/deytha-prod/payments/R9urBe3tAsjh0xaUvfZzr2F2T6wEUTA7v0liMXYf.pdf</t>
  </si>
  <si>
    <t>https://storage.googleapis.com/deytha-prod/paymentBills/gKP3BBLI8UvWjKfRLCEONpgJMAsgaVb9XD2zUoXy.png</t>
  </si>
  <si>
    <t>https://storage.googleapis.com/deytha-prod/supplierBills/nMTL63PjRbN3auWIhNatauo4zDslcu1byJKA0ga5.pdf</t>
  </si>
  <si>
    <t>2025-08-20 19:08:06</t>
  </si>
  <si>
    <t>2025-08-21 14:08:03</t>
  </si>
  <si>
    <t>TIERRA DE CHACRA POR 15 M3 (RECOJO 16/07/2025)</t>
  </si>
  <si>
    <t>2025-08-29 16:58:00</t>
  </si>
  <si>
    <t>https://storage.googleapis.com/deytha-prod/payments/x0bo3Un1QjobxFLH21FASX8oF1BhM9AEfZcTrg3P.pdf</t>
  </si>
  <si>
    <t>https://storage.googleapis.com/deytha-prod/paymentBills/HkRrJx4iXq29OYOSgbX6PxkexXDf1DYhMhpTkgQ6.png</t>
  </si>
  <si>
    <t>https://storage.googleapis.com/deytha-prod/supplierBills/cNkj8i2HJtpULbKXXFLw6w9EiOlL0rTZklP44WVW.pdf</t>
  </si>
  <si>
    <t>2025-08-20 19:08:51</t>
  </si>
  <si>
    <t>2025-08-21 14:08:48</t>
  </si>
  <si>
    <t>TIERRA DE CHACRA POR 15 M3 ( 24/07/2025)</t>
  </si>
  <si>
    <t>2025-08-29 17:08:00</t>
  </si>
  <si>
    <t>https://storage.googleapis.com/deytha-prod/payments/ACH87XFkep1Zkw5LQOxdY3uixo55MNj0H3DDXtnd.pdf</t>
  </si>
  <si>
    <t>https://storage.googleapis.com/deytha-prod/paymentBills/aCK4OKjzxw4hAnbxUKYlT5BQTO3b4nkOgE2etfYe.png</t>
  </si>
  <si>
    <t>https://storage.googleapis.com/deytha-prod/supplierBills/2jYrAeAvuXSnJXT989ooC9R876uUovRKGf9lJahB.pdf</t>
  </si>
  <si>
    <t>2025-08-20 19:14:28</t>
  </si>
  <si>
    <t>2025-08-21 14:14:20</t>
  </si>
  <si>
    <t>TIERRA DE CHACRA (18/08/2025) D2</t>
  </si>
  <si>
    <t>2025-08-29 17:05:00</t>
  </si>
  <si>
    <t>https://storage.googleapis.com/deytha-prod/payments/i8HnG7M1MPX6wVZ2FkGmrbK0DG4nbblcxRBqFwfG.pdf</t>
  </si>
  <si>
    <t>https://storage.googleapis.com/deytha-prod/paymentBills/Z4LTFqCiXeG5PJatEYPoXjKhrJn0JicX5vKQtSv5.png</t>
  </si>
  <si>
    <t>https://storage.googleapis.com/deytha-prod/supplierBills/j7fF7RhWCov8CckJOpRweKQZ83MFigbMNuJgHiYv.pdf</t>
  </si>
  <si>
    <t>2025-08-20 19:18:22</t>
  </si>
  <si>
    <t>2025-08-21 14:17:54</t>
  </si>
  <si>
    <t>PIEDRA CHANCADA 3/4 PARA A3 POR 15 M3 (20/08/2025 SE CARGO 7.5)</t>
  </si>
  <si>
    <t>2025-08-27 18:39:00</t>
  </si>
  <si>
    <t>https://storage.googleapis.com/deytha-prod/payments/uR4b5b7I8OaMJFg9lEeplynqaUDrLnSyNlfs2LFI.pdf</t>
  </si>
  <si>
    <t>https://storage.googleapis.com/deytha-prod/paymentBills/4H2uF1zhQKRaqEEcU4XKpXNoNlqHqWIf2BEByjWo.png</t>
  </si>
  <si>
    <t>https://storage.googleapis.com/deytha-prod/supplierBills/9cinLS9EMAcEzuNyNcvCAMMnI1Z1DTfsyXaiwurd.pdf</t>
  </si>
  <si>
    <t>2025-08-20 19:20:57</t>
  </si>
  <si>
    <t>2025-08-21 14:20:48</t>
  </si>
  <si>
    <t>ARENA GRUESA PARA A3 POR 15 M3 (20/08/2025 TRASLADO 7.5)</t>
  </si>
  <si>
    <t>2025-08-27 18:36:00</t>
  </si>
  <si>
    <t>https://storage.googleapis.com/deytha-prod/payments/onunon3GE7iRaKQBqgyml9R1BA9sqIKeDNUFzUWF.pdf</t>
  </si>
  <si>
    <t>https://storage.googleapis.com/deytha-prod/paymentBills/uOUPxoovhZzOPnUN5cKhJ82HMsLbUPHb0ysaD6Xu.png</t>
  </si>
  <si>
    <t>https://storage.googleapis.com/deytha-prod/supplierBills/P2uXVgKl9qFTkQw4kygtQIsjcZwuceYYl9OEFCcD.pdf</t>
  </si>
  <si>
    <t>2025-08-19 16:56:26</t>
  </si>
  <si>
    <t>2025-08-19 19:52:01</t>
  </si>
  <si>
    <t>2025-08-20 11:55:59</t>
  </si>
  <si>
    <t>FERRETERIA ELECTRICA REQ 10</t>
  </si>
  <si>
    <t>2025-08-20 15:51:00</t>
  </si>
  <si>
    <t>https://storage.googleapis.com/deytha-prod/payments/2eWZr3M3tmM9FSKhNfB1HGS6H3yt10sddhu7UefV.pdf</t>
  </si>
  <si>
    <t>https://storage.googleapis.com/deytha-prod/paymentBills/t12gZV6E0Xk2rlvC8ZrQIto5VT0j9rJgInKAKf51.png</t>
  </si>
  <si>
    <t>https://storage.googleapis.com/deytha-prod/supplierBills/qzA93DNIhhYc4zeUfrCWWKgSYYl5gXtIoBbMyblc.pdf</t>
  </si>
  <si>
    <t>2025-08-19 22:05:50</t>
  </si>
  <si>
    <t>2025-08-20 17:05:41</t>
  </si>
  <si>
    <t>COT - COMBUSTIBLE DEL 01 AL 10 AGOSTO 2025</t>
  </si>
  <si>
    <t>2025-08-21 18:49:00</t>
  </si>
  <si>
    <t>https://storage.googleapis.com/deytha-prod/payments/PWzgBFNlV7MMDSLrv1C0ipxjLuEBBwj9oDe3btxG.pdf</t>
  </si>
  <si>
    <t>https://storage.googleapis.com/deytha-prod/paymentBills/OWEqqmPumkYxWrJ0eWxUqvGR9djVz5ulB45EtLDB.png</t>
  </si>
  <si>
    <t>https://storage.googleapis.com/deytha-prod/supplierBills/tOtfFzbemjbNyiganVGM7rvAlxvqwxQS5gyGKM6j.pdf</t>
  </si>
  <si>
    <t>2025-08-19 22:06:02</t>
  </si>
  <si>
    <t>2025-08-19 17:05:18</t>
  </si>
  <si>
    <t xml:space="preserve"> SERVICIO DE ALQUILER DE ESTACION TOTAL DE 10 JULIO AL 13 DE AGOSTO</t>
  </si>
  <si>
    <t>2025-08-22 17:51:00</t>
  </si>
  <si>
    <t>https://storage.googleapis.com/deytha-prod/payments/PTJI77tWyWN8t5opSCrnP5u1wG1Ae4DTSV1251YC.pdf</t>
  </si>
  <si>
    <t>https://storage.googleapis.com/deytha-prod/paymentBills/0tSrlEk38uoaGxQEygshYNOw6IDq35wUKk9DYDDK.png</t>
  </si>
  <si>
    <t>https://storage.googleapis.com/deytha-prod/supplierBills/giLen3IrDcbHj7DHIOqRokpfNfoye2nhD8hWRb2c.pdf</t>
  </si>
  <si>
    <t>2025-08-20 00:50:31</t>
  </si>
  <si>
    <t>2025-08-21 10:49:58</t>
  </si>
  <si>
    <t xml:space="preserve">“SERVICIO DE ALQUILER DE WINCHE DE MONTAJE Y PLUMA TESMEC” 
POR 10 DIAS </t>
  </si>
  <si>
    <t>2025-08-20 15:06:00</t>
  </si>
  <si>
    <t>https://storage.googleapis.com/deytha-prod/payments/lIdNzyZXcch7SETecZnuVCaIuqig9W3yIvRgeOMQ.pdf</t>
  </si>
  <si>
    <t>https://storage.googleapis.com/deytha-prod/paymentBills/uw1ALo5awpZcvvMGv7OJMe0WdYvwo4X8rHxIaMVu.png</t>
  </si>
  <si>
    <t>https://storage.googleapis.com/deytha-prod/supplierBills/Ek7mpBwPf5oenLiTabHkmkmWwSBO5yZPUyOE9TiM.pdf</t>
  </si>
  <si>
    <t>2025-08-14 21:17:24</t>
  </si>
  <si>
    <t>2025-08-19 19:26:50</t>
  </si>
  <si>
    <t>2025-08-01 16:16:19</t>
  </si>
  <si>
    <t>Sem11y12-2025-REM NETAS-PY028-RCC</t>
  </si>
  <si>
    <t>2025-08-01 19:00:00</t>
  </si>
  <si>
    <t>https://storage.googleapis.com/deytha-prod/payments/VDf7atwX66E8HALPfJv2uMNTqCKWFv8OQeRcaEon.pdf</t>
  </si>
  <si>
    <t>https://storage.googleapis.com/deytha-prod/paymentBills/qB4qeRmNMtz9Ha6oWUrsaF2j859RjgFiBnz9C7Rw.pdf</t>
  </si>
  <si>
    <t>2025-08-19 16:31:16</t>
  </si>
  <si>
    <t>2025-05-23 11:30:07</t>
  </si>
  <si>
    <t>SEM1Y2-2025-REM NETAS-PY028-RCC</t>
  </si>
  <si>
    <t>2025-05-23 19:00:00</t>
  </si>
  <si>
    <t>https://storage.googleapis.com/deytha-prod/payments/ahKaBHSZP42zRXQVW2ey3Fu0roUk0EwUPKCUH0gt.pdf</t>
  </si>
  <si>
    <t>https://storage.googleapis.com/deytha-prod/paymentBills/zrVIJZVnxJ03of4Ntv4Pu1lqavpChQ45mxKazYdR.pdf</t>
  </si>
  <si>
    <t>2025-08-19 16:37:00</t>
  </si>
  <si>
    <t>2025-06-06 11:36:41</t>
  </si>
  <si>
    <t>SEM3Y4-2025-REM NETAS-PY028-RCC</t>
  </si>
  <si>
    <t>2025-06-06 19:00:00</t>
  </si>
  <si>
    <t>https://storage.googleapis.com/deytha-prod/payments/xBzy9BOwYc3VEpa4pRJBpfrZpQrEaVH81xOlTSq0.pdf</t>
  </si>
  <si>
    <t>https://storage.googleapis.com/deytha-prod/paymentBills/RdKfhd2V0mcri55LxJaohNlVVJBUdPlZdg9plypv.pdf</t>
  </si>
  <si>
    <t>2025-08-19 16:42:48</t>
  </si>
  <si>
    <t>2025-06-20 11:42:35</t>
  </si>
  <si>
    <t>SEM5Y6-2025-REM NETAS-PY028-RCC</t>
  </si>
  <si>
    <t>2025-06-20 19:00:00</t>
  </si>
  <si>
    <t>https://storage.googleapis.com/deytha-prod/payments/6qZBzd9mZBv5bRfB2kTrXJMEbf79dRmXmyPdNfrK.pdf</t>
  </si>
  <si>
    <t>https://storage.googleapis.com/deytha-prod/paymentBills/bqtPMzLIzpSr4L9iDjzMxwwrs0vm9swqQhLBTdyA.pdf</t>
  </si>
  <si>
    <t>2025-08-19 17:00:40</t>
  </si>
  <si>
    <t>2025-07-04 12:00:24</t>
  </si>
  <si>
    <t>SEM7Y8-2025-REM NETAS-PY028-RCC</t>
  </si>
  <si>
    <t>2025-07-04 19:00:00</t>
  </si>
  <si>
    <t>https://storage.googleapis.com/deytha-prod/payments/VxkUGCbSs7Yo2ghuDkWoqGtSViofPlow2VD7yzlQ.pdf</t>
  </si>
  <si>
    <t>https://storage.googleapis.com/deytha-prod/paymentBills/oXvF6WSLY1L16ylky20CkPfeC1tLDgTzrWyeuxhQ.pdf</t>
  </si>
  <si>
    <t>2025-08-19 17:02:37</t>
  </si>
  <si>
    <t>2025-07-18 12:02:08</t>
  </si>
  <si>
    <t>SEM9Y10-2025-REM NETAS-PY028-RCC</t>
  </si>
  <si>
    <t>2025-07-18 19:00:00</t>
  </si>
  <si>
    <t>https://storage.googleapis.com/deytha-prod/payments/uZ3ap33P1HCNAUHCYY2WNPEwI7NwZ4CP26MOfSSA.pdf</t>
  </si>
  <si>
    <t>https://storage.googleapis.com/deytha-prod/paymentBills/oLBLyaEa065jb5GGjFIHO375YKmZJIyu0QYt1Wzn.pdf</t>
  </si>
  <si>
    <t>2025-08-15 22:27:22</t>
  </si>
  <si>
    <t>2025-08-18 19:16:53</t>
  </si>
  <si>
    <t>2025-08-16 17:27:07</t>
  </si>
  <si>
    <t>CABLES DESNUDO 2.0   Y 35MM 30-07-25.pdf</t>
  </si>
  <si>
    <t>2025-08-22 16:39:00</t>
  </si>
  <si>
    <t>https://storage.googleapis.com/deytha-prod/payments/jYIE7MYxV3OeYDb2F71cfvJPqny0Loqu83Ob0y2v.pdf</t>
  </si>
  <si>
    <t>https://storage.googleapis.com/deytha-prod/paymentBills/PvIJt2k2SvneLeCyBmUjBDLRBK3R3Az3TazqG5lm.png</t>
  </si>
  <si>
    <t>https://storage.googleapis.com/deytha-prod/supplierBills/9T5NMM9BDfa4ui1c8mxBFARbJfHMhP4xu1VeTu36.pdf</t>
  </si>
  <si>
    <t>2025-08-16 00:12:09</t>
  </si>
  <si>
    <t>2025-08-16 10:11:52</t>
  </si>
  <si>
    <t>CONOS DE SEGURIDAD Y BARRA RETRACTIL DE PVC</t>
  </si>
  <si>
    <t>2025-08-22 17:48:00</t>
  </si>
  <si>
    <t>https://storage.googleapis.com/deytha-prod/payments/aN45m1tKhmdL5tnDfGwWNaWyLAmvcp8tiwAzfua9.pdf</t>
  </si>
  <si>
    <t>https://storage.googleapis.com/deytha-prod/paymentBills/Xsb2N8WoeyxGWGJ9nizrA51qBMiPrLOcQMlFc1oS.png</t>
  </si>
  <si>
    <t>https://storage.googleapis.com/deytha-prod/supplierBills/n5jo9UT7N477861cA9fKNRYYOS8zg65xHYVpRynC.pdf</t>
  </si>
  <si>
    <t>2025-08-18 20:51:58</t>
  </si>
  <si>
    <t>2025-08-19 15:51:52</t>
  </si>
  <si>
    <t xml:space="preserve">MATERIALES ELECTRICOS 
CARGADORES PARA BANCO DE BATERIAS </t>
  </si>
  <si>
    <t>2025-08-22 21:50:00</t>
  </si>
  <si>
    <t>https://storage.googleapis.com/deytha-prod/payments/pqxv8NydeeCnL4tfi0z7iTFgYnxWDzaTR5DyBMnI.pdf</t>
  </si>
  <si>
    <t>https://storage.googleapis.com/deytha-prod/paymentBills/rjOAQcKCtGsCaaSBcGO8RMQ4gDW74VdfKpy778Lb.png</t>
  </si>
  <si>
    <t>https://storage.googleapis.com/deytha-prod/supplierBills/Uq7LxiZYtOoXZ7ajivJpSBVpPTcvGaewV2OUeKce.pdf</t>
  </si>
  <si>
    <t>2025-08-18 21:17:48</t>
  </si>
  <si>
    <t>2025-08-19 16:17:35</t>
  </si>
  <si>
    <t>COT - MATERIALES PARA SUB ESTACION AREA ELECTRICA</t>
  </si>
  <si>
    <t>2025-08-20 15:55:00</t>
  </si>
  <si>
    <t>https://storage.googleapis.com/deytha-prod/payments/piBrlfcM648z2kbccFymkYhHLK7RpTkfHVtOZwAV.pdf</t>
  </si>
  <si>
    <t>https://storage.googleapis.com/deytha-prod/paymentBills/ZVnGYYlm2TnhiHE87Exx0NTRZuMCyLOlZDuXH2IS.png</t>
  </si>
  <si>
    <t>https://storage.googleapis.com/deytha-prod/supplierBills/AfW94fY2QQYbQodwCMAHu7E01LkMmyCiLUC1CzRP.pdf</t>
  </si>
  <si>
    <t>2025-08-18 22:14:47</t>
  </si>
  <si>
    <t>2025-08-18 17:22:09</t>
  </si>
  <si>
    <t>2025-08-19 17:14:15</t>
  </si>
  <si>
    <t>ALQUILER DE HABITACION - WILMER DIAZ MOQUEGUA</t>
  </si>
  <si>
    <t>2025-08-22 22:10:00</t>
  </si>
  <si>
    <t>https://storage.googleapis.com/deytha-prod/payments/SVqfAAF8oS2GnyrDRuYSauH7bqjCA2e4j3vfFTjI.pdf</t>
  </si>
  <si>
    <t>https://storage.googleapis.com/deytha-prod/paymentBills/MyoCVSAtEm85CY6ocPGBvMXsrwQOE1H542RoYzoS.png</t>
  </si>
  <si>
    <t>https://storage.googleapis.com/deytha-prod/supplierBills/2lzzrxymGXfK7CthWMvCanTqsxPuPiJN5veUkvwC.pdf</t>
  </si>
  <si>
    <t>2025-08-18 09:53:03</t>
  </si>
  <si>
    <t>2025-08-15 17:36:00</t>
  </si>
  <si>
    <t>Pago RQF-D:346(1 / 2) | TABLEROS ELECTRICOS</t>
  </si>
  <si>
    <t>2025-08-19 16:25:00</t>
  </si>
  <si>
    <t>https://storage.googleapis.com/deytha-prod/paymentBills/ABS0CZ0Zk3310rSacv3VrQ4WRj6taJKtFzX5zMq1.png</t>
  </si>
  <si>
    <t>https://storage.googleapis.com/deytha-prod/supplierBills/EWmOZGyOjbjpoNLKTd8KBDHK5Xkx45fk5JZlTlw5.pdf</t>
  </si>
  <si>
    <t>2025-08-16 02:15:22</t>
  </si>
  <si>
    <t>2025-08-16 12:15:10</t>
  </si>
  <si>
    <t xml:space="preserve"> FABRICACION DE INSERTOS PARA POZA DE DERRAMES 
</t>
  </si>
  <si>
    <t>2025-08-21 20:09:00</t>
  </si>
  <si>
    <t>https://storage.googleapis.com/deytha-prod/payments/Xs4gmX210JTo6wjeUVRoPtakLOoI6FaXrAusAGOK.pdf</t>
  </si>
  <si>
    <t>https://storage.googleapis.com/deytha-prod/paymentBills/GAHpqvbbdZ8cjpWpS0Lg4AwkTcRB0G7Y8nja7bVs.png</t>
  </si>
  <si>
    <t>https://storage.googleapis.com/deytha-prod/supplierBills/ij5o3ZZ4MAe4lwvADMX3lERIKuqrYiXEl05awosY.pdf</t>
  </si>
  <si>
    <t>2025-08-14 04:10:44</t>
  </si>
  <si>
    <t>2025-08-15 17:15:58</t>
  </si>
  <si>
    <t>2025-08-15 14:10:10</t>
  </si>
  <si>
    <t>REINTEGRO DE MOLDES Y SOLDADURAS POR CAMBIO DE MONEDA PROVEEDOR MANDO COTIZACION EN DOLARES Y EL PAGO SE REALIZO EN SOLES EN EL CODIGO 27073</t>
  </si>
  <si>
    <t>2025-08-19 16:31:00</t>
  </si>
  <si>
    <t>https://storage.googleapis.com/deytha-prod/payments/iOJesALlf18QAX5uB0t3AloqXOOGmmEZmluVJcsZ.pdf</t>
  </si>
  <si>
    <t>https://storage.googleapis.com/deytha-prod/paymentBills/s6D7aoaXLXs5l13S7qTXtuLFb8j5fDWACtGmt5H0.png</t>
  </si>
  <si>
    <t>https://storage.googleapis.com/deytha-prod/supplierBills/rIeDjBK47uFeCg8ThIKC8MLUncuO5Emv44g1GNKT.pdf</t>
  </si>
  <si>
    <t>2025-08-15 21:57:39</t>
  </si>
  <si>
    <t>2025-08-16 16:57:16</t>
  </si>
  <si>
    <t>RECOJO DE PAQUETES DE LIMA HACIA MOQUEGUA MATERIALES ELECTRICO.</t>
  </si>
  <si>
    <t>2025-08-15 19:17:00</t>
  </si>
  <si>
    <t>https://storage.googleapis.com/deytha-prod/payments/WcKqQRenOVNPjBgqoyi7Zq2SnuKpdcRqCnHUtZgY.jpg</t>
  </si>
  <si>
    <t>https://storage.googleapis.com/deytha-prod/paymentBills/HYXm5VoBhh9dx5t1NDlc3eKcFD6KkHu7AEq6QBca.png</t>
  </si>
  <si>
    <t>2025-08-14 20:54:28</t>
  </si>
  <si>
    <t>2025-08-15 11:50:05</t>
  </si>
  <si>
    <t>2025-08-15 15:51:59</t>
  </si>
  <si>
    <t>AGUIRRE&amp;CIA E.I.R.L.</t>
  </si>
  <si>
    <t>CAJA AREQUIPA</t>
  </si>
  <si>
    <t>00263608402100002001</t>
  </si>
  <si>
    <t>ALQUILER DE: ESTACION TOTAL TRIMBLE C5, TRIPODE, JALON, BIPODE, MINIPRISMA, PRISMA GRANDE, CARGADOR, FUENTE, NIVEL ESFERICO, LAPIZ OPTICO Y FLEXOMETRO (1 UND C/U), BATERIAS (4 UND), DEL 28/05/2025 AL 27/06/2025 (01 MES), PARA LA UM CUAJONE.</t>
  </si>
  <si>
    <t>2025-09-02 16:07:00</t>
  </si>
  <si>
    <t>https://storage.googleapis.com/deytha-prod/payments/27RiwDrEwcqelUdwfBWz4aO2kBzNeDxa4sVV870I.pdf</t>
  </si>
  <si>
    <t>https://storage.googleapis.com/deytha-prod/paymentBills/KhdkCGnkZGQb3iLWulGPwKXfbSzHvKGgf3Cjfxqv.pdf</t>
  </si>
  <si>
    <t>https://storage.googleapis.com/deytha-prod/supplierBills/fNNMeDiD8LOTrV6IoeMXbSGSasrTeswbl95ZLN7q.pdf</t>
  </si>
  <si>
    <t>2025-08-14 21:55:44</t>
  </si>
  <si>
    <t>2025-08-14 16:53:08</t>
  </si>
  <si>
    <t xml:space="preserve">BANNER - NO ARROJAR BASURA, PROTEJAMOS LA VIDA SILVESTRE </t>
  </si>
  <si>
    <t>2025-08-20 11:54:00</t>
  </si>
  <si>
    <t>https://storage.googleapis.com/deytha-prod/payments/qUmXOml5zCtX05lq4nQv1Lz5TlzazxgFNfol5QNa.pdf</t>
  </si>
  <si>
    <t>https://storage.googleapis.com/deytha-prod/paymentBills/MeUK4YI3SAuyyNV9flbvqeyo9mSnw4KBHnhFHmKj.png</t>
  </si>
  <si>
    <t>https://storage.googleapis.com/deytha-prod/supplierBills/r9iVNbkwAwiPmf3eeOaRYYjPyuPrbt4BYLen0JBo.pdf</t>
  </si>
  <si>
    <t>2025-08-15 13:38:46</t>
  </si>
  <si>
    <t>2025-08-15 09:22:47</t>
  </si>
  <si>
    <t>2025-08-16 08:38:34</t>
  </si>
  <si>
    <t>PIEDRA 3/4 POR 15 M3 PARA D2</t>
  </si>
  <si>
    <t>2025-08-15 19:25:00</t>
  </si>
  <si>
    <t>https://storage.googleapis.com/deytha-prod/payments/oyKCT2afOBJoXj2P4ggZR377Ilv8QMJQQmB7ZOpd.pdf</t>
  </si>
  <si>
    <t>https://storage.googleapis.com/deytha-prod/paymentBills/TGGQofEKZkg3k7kyD0N85M9I6ZRCZORyyE6dukrO.png</t>
  </si>
  <si>
    <t>https://storage.googleapis.com/deytha-prod/supplierBills/es8DSlCF9P0vUcm7YW4wBNOAQmJM9ZR8Ac88crgB.pdf</t>
  </si>
  <si>
    <t>2025-08-15 14:10:31</t>
  </si>
  <si>
    <t>2025-08-16 09:10:29</t>
  </si>
  <si>
    <t>ARENA GRUESA POR 15 M3 PARA ZONA D2</t>
  </si>
  <si>
    <t>2025-08-15 19:22:00</t>
  </si>
  <si>
    <t>https://storage.googleapis.com/deytha-prod/payments/SnAI3cwxpIRaGr8UPAiGN1OGCCxGXv2oqiclIk38.pdf</t>
  </si>
  <si>
    <t>https://storage.googleapis.com/deytha-prod/paymentBills/88JOZINFl5hvX08AeJzozSyt0JKXuQsXn0L2iKaH.png</t>
  </si>
  <si>
    <t>https://storage.googleapis.com/deytha-prod/supplierBills/16U04xG5wiCWyuvkbv3v19iC56aGy7qbApUyqEjN.pdf</t>
  </si>
  <si>
    <t>2025-08-15 14:15:52</t>
  </si>
  <si>
    <t>2025-08-16 09:15:51</t>
  </si>
  <si>
    <t>TIERRA DE CHACRA POR 15 M3 PARA ZONA D2</t>
  </si>
  <si>
    <t>2025-08-15 19:57:00</t>
  </si>
  <si>
    <t>https://storage.googleapis.com/deytha-prod/payments/ujj4MMBJHdudCK0QXjMzhiZBWJjV1V6UEHS8VfbL.pdf</t>
  </si>
  <si>
    <t>https://storage.googleapis.com/deytha-prod/paymentBills/TNcrP1mt3cBjDbKSUCq3vxRULlX8E7hjjpTC626S.png</t>
  </si>
  <si>
    <t>https://storage.googleapis.com/deytha-prod/supplierBills/8y91iW4rUUQ1QzCzJQNtWXOKMmYEiI0If4Ek9FCq.pdf</t>
  </si>
  <si>
    <t>2025-08-14 11:05:52</t>
  </si>
  <si>
    <t>2025-08-14 11:02:00</t>
  </si>
  <si>
    <t xml:space="preserve">Pago RQF-D:345(1 / 2) | EXTENSORE Y TUERCA OJO HEMBRA, PERNO CABEZA HEXAGONAL </t>
  </si>
  <si>
    <t>2025-08-14 17:32:00</t>
  </si>
  <si>
    <t>https://storage.googleapis.com/deytha-prod/paymentBills/DIj9xKK4aVylBPkFLtRKlaOYpvN5Gr1AdKboHYOW.pdf</t>
  </si>
  <si>
    <t>https://storage.googleapis.com/deytha-prod/supplierBills/Ly33iUWS7rYHsY7odcO7QX2SliJ0EESaGjB14DAR.pdf</t>
  </si>
  <si>
    <t>2025-08-14 16:05:38</t>
  </si>
  <si>
    <t>2025-08-14 11:05:38</t>
  </si>
  <si>
    <t>VILCA SOSA MARVIN RAY</t>
  </si>
  <si>
    <t>430-08272048-0-17</t>
  </si>
  <si>
    <t>2025-08-22 21:35:00</t>
  </si>
  <si>
    <t>https://storage.googleapis.com/deytha-prod/worker/settle/InU5ISgOvKRafucnDUNMkpdfU9w8Uox4sFC9ba4x.pdf</t>
  </si>
  <si>
    <t>https://storage.googleapis.com/deytha-prod/paymentBills/T9D5CSK3gDjnwfqYEURpNQFYqJHt1maxRcTp1oiM.pdf</t>
  </si>
  <si>
    <t>2025-08-14 15:43:09</t>
  </si>
  <si>
    <t>2025-08-14 10:50:08</t>
  </si>
  <si>
    <t>2025-08-15 10:43:01</t>
  </si>
  <si>
    <t xml:space="preserve">PASAJE INGRESO DE NUEVO PERSONAL SSOMA VIA TERRESTRE ( TRUJILLO - MOQUEGUA </t>
  </si>
  <si>
    <t>2025-08-14 10:57:00</t>
  </si>
  <si>
    <t>https://storage.googleapis.com/deytha-prod/payments/11bnB252JMUSFwAZ5Nn6YURXNeKu5GxHVdPWSwFG.png</t>
  </si>
  <si>
    <t>https://storage.googleapis.com/deytha-prod/paymentBills/CByIEkKh1IyJvOUVZW74nX1cDaonOeiW1BvUtOSh.png</t>
  </si>
  <si>
    <t>https://storage.googleapis.com/deytha-prod/supplierBills/D6jjabxSH9k4UpPxDqnV85MmAFFnWBkg9k7v4KSU.pdf</t>
  </si>
  <si>
    <t>2025-08-14 04:16:20</t>
  </si>
  <si>
    <t>2025-08-14 10:39:53</t>
  </si>
  <si>
    <t>2025-08-15 14:16:03</t>
  </si>
  <si>
    <t>I ALTAGRACIA PERU S.A.C.</t>
  </si>
  <si>
    <t>215-2345265-0-61</t>
  </si>
  <si>
    <t xml:space="preserve">MATERIAL PARA AREA DE TELECOMUNICACIONES </t>
  </si>
  <si>
    <t>2025-08-14 15:35:00</t>
  </si>
  <si>
    <t>https://storage.googleapis.com/deytha-prod/payments/OL5Ym286GXrTIQ94k7h1pXBTCCo72kp4qZkbzt4t.pdf</t>
  </si>
  <si>
    <t>https://storage.googleapis.com/deytha-prod/paymentBills/1hFKgOLi6PpemmilJKYuhVthnQSmAVq0ntXW2eaO.png</t>
  </si>
  <si>
    <t>https://storage.googleapis.com/deytha-prod/supplierBills/Y7BHCya87KC6DTDJbjPKiRAQyqoziG9XNWBAXuJD.pdf</t>
  </si>
  <si>
    <t>2025-08-14 04:16:22</t>
  </si>
  <si>
    <t>2025-08-14 14:15:44</t>
  </si>
  <si>
    <t>INCACUTIPA JACINTO RODRIGO</t>
  </si>
  <si>
    <t xml:space="preserve">BORDADO DE LOGOS DE CHALECOS DE SEGURIDAD
</t>
  </si>
  <si>
    <t>2025-08-14 18:05:00</t>
  </si>
  <si>
    <t>https://storage.googleapis.com/deytha-prod/payments/1XzpUIJ57fNP8O3Hr9Ouq52I5eXYkojEpfAcvDEa.pdf</t>
  </si>
  <si>
    <t>https://storage.googleapis.com/deytha-prod/paymentBills/QocbB4gl9TToSf7Ue5GbFeBH5yTCtehgdklzSSQL.png</t>
  </si>
  <si>
    <t>https://storage.googleapis.com/deytha-prod/supplierBills/nBKGnLL7xI8ntkerVaARqGhiMgLsPE2i3XecNb3f.pdf</t>
  </si>
  <si>
    <t>2025-08-14 15:13:04</t>
  </si>
  <si>
    <t>2025-08-14 10:07:09</t>
  </si>
  <si>
    <t>MORALES PARI VICTOR MOISES</t>
  </si>
  <si>
    <t xml:space="preserve">MANTENIMIENTO PREVENTIVO DE MAQUINA DE SOLDAR MILLLER Y AMOLADORA BOSCH </t>
  </si>
  <si>
    <t>2025-08-14 18:02:00</t>
  </si>
  <si>
    <t>https://storage.googleapis.com/deytha-prod/payments/pDFdV3Y1zbQz0PnDoR2sJI2lfmldNR21h2hQv33d.pdf</t>
  </si>
  <si>
    <t>https://storage.googleapis.com/deytha-prod/paymentBills/eAPGP5Eb2TzGIqJsZyfWVujDbYpsbFQOhh6ONMjw.png</t>
  </si>
  <si>
    <t>https://storage.googleapis.com/deytha-prod/supplierBills/puaXfwfj9dld8k4bbExXMVBxVdNoDPZcOqbCwWjb.pdf</t>
  </si>
  <si>
    <t>2025-08-14 15:37:37</t>
  </si>
  <si>
    <t>2025-08-15 10:37:31</t>
  </si>
  <si>
    <t>CONCRETOS SUPERMIX S.A.</t>
  </si>
  <si>
    <t xml:space="preserve">193-1943254-0-27 </t>
  </si>
  <si>
    <t>CONCRETO PREMESCLADO 100 MPA POR 35 M3, INCLUYE BOMBA TELESCÓPICA POR 35 M3 (VIERNES 14-08-2025)</t>
  </si>
  <si>
    <t>2025-08-14 12:47:00</t>
  </si>
  <si>
    <t>https://storage.googleapis.com/deytha-prod/payments/eG9w6oBmTru4WKG6R8GKDaSSSd6OODVg707mMvyd.pdf</t>
  </si>
  <si>
    <t>https://storage.googleapis.com/deytha-prod/paymentBills/30nSNMZ82jjAm0FjxlpA93Fp6p9yceclvXkHhrkX.png</t>
  </si>
  <si>
    <t>https://storage.googleapis.com/deytha-prod/supplierBills/FfPD3AgbBurzZzOGkL1od1D0BCgdXLAyAf7SYiZR.pdf</t>
  </si>
  <si>
    <t>2025-08-13 22:57:51</t>
  </si>
  <si>
    <t>2025-08-13 18:12:09</t>
  </si>
  <si>
    <t>2025-08-14 17:57:45</t>
  </si>
  <si>
    <t>Alquiler 2 baños Químicos de varones y 1 lavamanos para zona D2 mes de junio 9/06/2025 8/07/2025</t>
  </si>
  <si>
    <t>2025-08-13 18:45:00</t>
  </si>
  <si>
    <t>https://storage.googleapis.com/deytha-prod/payments/mxotWeJcSxhk3lgeBnraCrxBEqJ8cg2NBp8aI9kE.pdf</t>
  </si>
  <si>
    <t>https://storage.googleapis.com/deytha-prod/paymentBills/5qhgO326AHy9LEn4iGobwVgbBRS4acZ11qy3SirN.png</t>
  </si>
  <si>
    <t>https://storage.googleapis.com/deytha-prod/supplierBills/3Ju1m17OVrxE9evrjvNpCAJ1LuvBesjS4bn8o3uM.pdf</t>
  </si>
  <si>
    <t>2025-08-13 23:04:29</t>
  </si>
  <si>
    <t>2025-08-14 18:04:26</t>
  </si>
  <si>
    <t xml:space="preserve">alimentación semana 14 </t>
  </si>
  <si>
    <t>2025-08-14 17:53:00</t>
  </si>
  <si>
    <t>https://storage.googleapis.com/deytha-prod/payments/jBvxDjKxWQMgEz0LUI2krMKQkCImAhzhVBm8hTXr.pdf</t>
  </si>
  <si>
    <t>https://storage.googleapis.com/deytha-prod/paymentBills/bIwTliDNiIX97IVxrJSaUEmkC0lLpBILvkMMnV3X.png</t>
  </si>
  <si>
    <t>https://storage.googleapis.com/deytha-prod/supplierBills/YCj8ictooBFpK3HlOm4O5snpgTQ1ahSt7Sj8pe2d.png</t>
  </si>
  <si>
    <t>2025-08-13 22:38:35</t>
  </si>
  <si>
    <t>2025-08-13 17:43:32</t>
  </si>
  <si>
    <t>2025-08-14 17:38:33</t>
  </si>
  <si>
    <t xml:space="preserve">BONO MES DE JULIO </t>
  </si>
  <si>
    <t>2025-08-14 17:33:00</t>
  </si>
  <si>
    <t>https://storage.googleapis.com/deytha-prod/payments/wdCJzIahmcGA3PtYXteczJ91Qi1jSfkDxkVa6o9Z.png</t>
  </si>
  <si>
    <t>https://storage.googleapis.com/deytha-prod/paymentBills/xis06hA3CbdFeKuNro4putptVy0trzmxIWj1vnPy.png</t>
  </si>
  <si>
    <t>https://storage.googleapis.com/deytha-prod/supplierBills/CitjUq0MUIcZxAv4aOfYQKckkQHmlXSy9IQ18oPr.pdf</t>
  </si>
  <si>
    <t>2025-08-13 22:40:00</t>
  </si>
  <si>
    <t>2025-08-14 17:39:57</t>
  </si>
  <si>
    <t>BONO MES DE AGOSTO POR 13 DIAS</t>
  </si>
  <si>
    <t>2025-08-15 15:40:00</t>
  </si>
  <si>
    <t>https://storage.googleapis.com/deytha-prod/payments/baUuTf76G6xqWvWtBt3qMbSABSoZW6vfPBkBzACP.png</t>
  </si>
  <si>
    <t>https://storage.googleapis.com/deytha-prod/paymentBills/aILKmo9tMcbdMCM85O5YyzETSKYEydJYvNIitNz8.png</t>
  </si>
  <si>
    <t>https://storage.googleapis.com/deytha-prod/supplierBills/3uzfFLj9IKbi096aHapIYHrwMX2dxdBb2C36fRND.pdf</t>
  </si>
  <si>
    <t>2025-08-13 17:28:16</t>
  </si>
  <si>
    <t>2025-08-13 20:58:24</t>
  </si>
  <si>
    <t>2025-08-14 15:58:20</t>
  </si>
  <si>
    <t>bonificación Julio</t>
  </si>
  <si>
    <t>2025-08-15 20:12:00</t>
  </si>
  <si>
    <t>https://storage.googleapis.com/deytha-prod/payments/3K2hVfaoKFoyFYFIDxZkzZSciGjvzU56Jh4tFrdJ.png</t>
  </si>
  <si>
    <t>https://storage.googleapis.com/deytha-prod/paymentBills/TseZlyUZgALnrB8jwDheVvIxJukL4UE2UoMkIN4r.png</t>
  </si>
  <si>
    <t>https://storage.googleapis.com/deytha-prod/supplierBills/YNiW6aPbTUvftcRTolLixe3mH6Aop75e1QMN2cpM.pdf</t>
  </si>
  <si>
    <t>2025-08-13 21:15:21</t>
  </si>
  <si>
    <t>2025-08-14 16:15:13</t>
  </si>
  <si>
    <t>Alquiler de 1 Baño químico y de 1 lavamanos para zona A3 renovación mes de junio 23/06/2025 22/07/2025</t>
  </si>
  <si>
    <t>2025-08-13 17:47:00</t>
  </si>
  <si>
    <t>https://storage.googleapis.com/deytha-prod/payments/n2vriAzJte5R4zEfUcCU0blKljCMEzxgZT4yS7nx.pdf</t>
  </si>
  <si>
    <t>https://storage.googleapis.com/deytha-prod/paymentBills/D8oFC6j7h4KhFxOwLLrUeinmCfPKxlc2rZs1Ahj9.png</t>
  </si>
  <si>
    <t>https://storage.googleapis.com/deytha-prod/supplierBills/J1kyNowfsvKLD2R5gqTPpL1sjksxZqXcgMIKXMIh.pdf</t>
  </si>
  <si>
    <t>2025-08-12 16:11:55</t>
  </si>
  <si>
    <t>2025-08-12 17:14:45</t>
  </si>
  <si>
    <t>2025-08-12 12:14:26</t>
  </si>
  <si>
    <t xml:space="preserve">MANTENIMIENTO DE IMPRESORA DE OFICINA </t>
  </si>
  <si>
    <t>2025-08-13 09:52:00</t>
  </si>
  <si>
    <t>https://storage.googleapis.com/deytha-prod/payments/2wuspCYcJC3j14v4oGLNXANL0l9h0UgVznrDSwsc.pdf</t>
  </si>
  <si>
    <t>https://storage.googleapis.com/deytha-prod/paymentBills/IVOGb9Ocgvnxg66QFbJh8orqPfqpefWPkgtrwppc.png</t>
  </si>
  <si>
    <t>https://storage.googleapis.com/deytha-prod/supplierBills/rQAHLw1t3am11thlIjFpmuODXKcTsXBmbgxH3xRe.pdf</t>
  </si>
  <si>
    <t>2025-08-12 17:22:46</t>
  </si>
  <si>
    <t>2025-08-12 12:22:34</t>
  </si>
  <si>
    <t>RADIO TRANSMISOR RECEPTOR DIGITAL PORTATIL</t>
  </si>
  <si>
    <t>2025-08-13 16:32:00</t>
  </si>
  <si>
    <t>https://storage.googleapis.com/deytha-prod/payments/PyAIqJ1UICoyv5qBgy7He1TqDZIADHz0epI0TaOr.pdf</t>
  </si>
  <si>
    <t>https://storage.googleapis.com/deytha-prod/paymentBills/qfGCxrQycjUF5PhB4jM5OkzpwbRoyYpKDdx7Yj2B.pdf</t>
  </si>
  <si>
    <t>https://storage.googleapis.com/deytha-prod/supplierBills/gT4X81y72HzBMWZF6aSutJyKBFEwKSjHTSdXwwJX.pdf</t>
  </si>
  <si>
    <t>2025-08-12 20:26:53</t>
  </si>
  <si>
    <t>2025-08-12 15:26:31</t>
  </si>
  <si>
    <t xml:space="preserve">SERVICIO DE ACONDICIONAMIENTO DE JAULA METALICA </t>
  </si>
  <si>
    <t>2025-08-13 10:04:00</t>
  </si>
  <si>
    <t>https://storage.googleapis.com/deytha-prod/payments/YqKcvmCld60gWwCl5ZXfdHej2Tyhk4VvIr7mGciu.pdf</t>
  </si>
  <si>
    <t>https://storage.googleapis.com/deytha-prod/paymentBills/eZUyIPxw2liEe9UQbVQockS6oXT0CcUTMmvU0Z9s.png</t>
  </si>
  <si>
    <t>https://storage.googleapis.com/deytha-prod/supplierBills/8x3aMe7y0tWYG3D0945DoVDpZwR3kq7gKnD1f2cA.pdf</t>
  </si>
  <si>
    <t>2025-08-11 19:06:13</t>
  </si>
  <si>
    <t>2025-08-12 10:38:00</t>
  </si>
  <si>
    <t>2025-08-12 14:05:59</t>
  </si>
  <si>
    <t xml:space="preserve">BENTONICA Y CEMENTO COND 
100 BOLSAS </t>
  </si>
  <si>
    <t>2025-08-12 16:49:00</t>
  </si>
  <si>
    <t>https://storage.googleapis.com/deytha-prod/payments/fdlL9xESjwNmQLJM3KmpyiacyaCzEhqbaTkDwziV.pdf</t>
  </si>
  <si>
    <t>https://storage.googleapis.com/deytha-prod/paymentBills/7bOg9qvxSSl8HubqMfLgGeHF63Wh6aSSCt1renFm.png</t>
  </si>
  <si>
    <t>https://storage.googleapis.com/deytha-prod/supplierBills/pA9HhyvA9KtSrV1JSwNqHOuuSewjOCGaYCsPC49Y.pdf</t>
  </si>
  <si>
    <t>2025-08-11 19:29:03</t>
  </si>
  <si>
    <t>2025-08-12 14:28:46</t>
  </si>
  <si>
    <t xml:space="preserve">ESTROBOS 
GRILETE 
SOGAS 
</t>
  </si>
  <si>
    <t>2025-08-12 16:46:00</t>
  </si>
  <si>
    <t>https://storage.googleapis.com/deytha-prod/payments/BXXq3CFagDn9zF732v9x4sY2U5XpX0oFPEny34vP.pdf</t>
  </si>
  <si>
    <t>https://storage.googleapis.com/deytha-prod/paymentBills/oOdflbwAWKFD8LeLmd23ustK9h4AnPpLCMHM0MUJ.png</t>
  </si>
  <si>
    <t>https://storage.googleapis.com/deytha-prod/supplierBills/mqizWZZUM8CdW3E4QmnOVJbXegxtgHVjujHkJM0T.pdf</t>
  </si>
  <si>
    <t>2025-08-12 14:47:08</t>
  </si>
  <si>
    <t>2025-08-16 09:47:03</t>
  </si>
  <si>
    <t>245-07265852-0-70</t>
  </si>
  <si>
    <t xml:space="preserve">DEVOLUCIÓN DE PAGO MENSUAL DE INTERNET PARA OFICINA CENTRAL DE MOQUEGUA </t>
  </si>
  <si>
    <t>2025-08-18 11:58:00</t>
  </si>
  <si>
    <t>https://storage.googleapis.com/deytha-prod/payments/swtOBQYsBFSEhGQkMBsldkeAWYIWqHCMLTHOM4tj.pdf</t>
  </si>
  <si>
    <t>https://storage.googleapis.com/deytha-prod/paymentBills/bx5gOALmNkirOGjjXHjahB4RIScj2MK6j4gToYyZ.png</t>
  </si>
  <si>
    <t>https://storage.googleapis.com/deytha-prod/supplierBills/3IOc2MRA0vapItVojjjxUffpfd2hSDaXQ16UbLx4.jpg</t>
  </si>
  <si>
    <t>2025-08-11 14:23:35</t>
  </si>
  <si>
    <t>2025-08-11 23:31:50</t>
  </si>
  <si>
    <t>2025-08-11 09:23:28</t>
  </si>
  <si>
    <t>RECARGA BIDÓN DE AGUA TULUM</t>
  </si>
  <si>
    <t>2025-08-13 10:01:00</t>
  </si>
  <si>
    <t>https://storage.googleapis.com/deytha-prod/payments/ZA4aOc4cUuBXILSsPRkykk9usGVbgG0nHcVd85Vx.pdf</t>
  </si>
  <si>
    <t>https://storage.googleapis.com/deytha-prod/paymentBills/Y9EeA8FTdUqPM0KzptRHf2orC0uUrgIoCIFeftuy.png</t>
  </si>
  <si>
    <t>https://storage.googleapis.com/deytha-prod/supplierBills/PJoni3zTge7xaBTUzjNNx2NW1u0zOlBpBxfFXfk7.pdf</t>
  </si>
  <si>
    <t>2025-08-11 22:58:39</t>
  </si>
  <si>
    <t>2025-08-11 17:58:04</t>
  </si>
  <si>
    <t>CHAMBILLA TIQUE JESUS</t>
  </si>
  <si>
    <t xml:space="preserve">ALQUILER DE PUNTALES METALICO DE 4MTS DESDE EL  28/07/25 AL 21/08/25 </t>
  </si>
  <si>
    <t>2025-08-14 17:59:00</t>
  </si>
  <si>
    <t>https://storage.googleapis.com/deytha-prod/payments/tFCPv4QGJRdaMCPeETvApj8K9eN9HN4sUHMP1lCn.pdf</t>
  </si>
  <si>
    <t>https://storage.googleapis.com/deytha-prod/paymentBills/sx9uez6QF2HqvuWw6CSEb7smghlyQwMQbUTz3zom.png</t>
  </si>
  <si>
    <t>2025-08-11 23:16:56</t>
  </si>
  <si>
    <t>2025-08-12 09:16:46</t>
  </si>
  <si>
    <t xml:space="preserve">BORDADO DE CAMISA JEAN LOGOS DE LA EMPRESA </t>
  </si>
  <si>
    <t>2025-08-12 17:10:00</t>
  </si>
  <si>
    <t>https://storage.googleapis.com/deytha-prod/payments/OkDzMe71XsD75VEc7L6u7AihXRw0xiLL9wvBMe1K.pdf</t>
  </si>
  <si>
    <t>https://storage.googleapis.com/deytha-prod/paymentBills/SbBkeuhW1pwfbhB0RzcNdCUR7EbYXVpnFCUuKU0X.png</t>
  </si>
  <si>
    <t>https://storage.googleapis.com/deytha-prod/supplierBills/8BU4wE3DNWcQ7eALACHlhZNAJg4VsKk2dRMtEqpf.pdf</t>
  </si>
  <si>
    <t>2025-08-11 23:31:33</t>
  </si>
  <si>
    <t>2025-08-11 19:54:14</t>
  </si>
  <si>
    <t>2025-08-12 14:54:06</t>
  </si>
  <si>
    <t xml:space="preserve">ESCALERA DE SUSPENSION </t>
  </si>
  <si>
    <t>2025-08-12 16:43:00</t>
  </si>
  <si>
    <t>https://storage.googleapis.com/deytha-prod/payments/Tv9ZZb9UoS8IgjQsHjqyJpVcMIOq0G9eIacHJlMT.pdf</t>
  </si>
  <si>
    <t>https://storage.googleapis.com/deytha-prod/paymentBills/DTcWDjfFCsRdASHk306C0lCyYxg7ez8XPCvmHz7n.png</t>
  </si>
  <si>
    <t>https://storage.googleapis.com/deytha-prod/supplierBills/rILX0o67mfQjAvg7sBoqjKVfqZEdj7UC3ObpZEMB.pdf</t>
  </si>
  <si>
    <t>2025-08-11 23:26:41</t>
  </si>
  <si>
    <t>2025-08-13 09:26:23</t>
  </si>
  <si>
    <t>MATERIALES DE FERRETERIA ELECTRICO - REQ 08</t>
  </si>
  <si>
    <t>2025-08-12 17:03:00</t>
  </si>
  <si>
    <t>https://storage.googleapis.com/deytha-prod/payments/gBMkAEahfpISrWm6aDTXcn3tY5xzAfUsvNBXiZWG.pdf</t>
  </si>
  <si>
    <t>https://storage.googleapis.com/deytha-prod/paymentBills/3liuroAhyydE6tZnJrJvQc7ogxQeatCdFSlRalYP.png</t>
  </si>
  <si>
    <t>https://storage.googleapis.com/deytha-prod/supplierBills/vUBLXCvurgtbzB8T164fDuLsKXRXuv2GUMZyQ5Zp.pdf</t>
  </si>
  <si>
    <t>2025-08-11 23:34:33</t>
  </si>
  <si>
    <t>2025-08-13 09:34:28</t>
  </si>
  <si>
    <t xml:space="preserve">FERRTERIA ELECTRICA - REQ 11 Y 12 </t>
  </si>
  <si>
    <t>2025-08-12 16:52:00</t>
  </si>
  <si>
    <t>https://storage.googleapis.com/deytha-prod/payments/yP93fmD3xPnXgR2cT7q0Qe4gPq9b83jGR6PKUkkA.pdf</t>
  </si>
  <si>
    <t>https://storage.googleapis.com/deytha-prod/paymentBills/9mjyOCpfwe9zkRoxgPiyiaccgnezfMcJTY5LYAl0.png</t>
  </si>
  <si>
    <t>https://storage.googleapis.com/deytha-prod/supplierBills/vpOUiM0W3zeIzTntFaL25ggEEyDBDhiOZDjrgwd7.pdf</t>
  </si>
  <si>
    <t>2025-08-11 17:07:21</t>
  </si>
  <si>
    <t>2025-08-11 14:04:07</t>
  </si>
  <si>
    <t>2025-08-11 12:07:13</t>
  </si>
  <si>
    <t>CONCRETO PREMESCLADO 100 MPA POR 42 M3 INCLUYE BOMBA TELESCOPICA POR 42 M3 (VIERNES  O8-08-2025)</t>
  </si>
  <si>
    <t>2025-08-11 14:55:00</t>
  </si>
  <si>
    <t>https://storage.googleapis.com/deytha-prod/payments/jQwxBmcFu10Inh2jWpTDMgaMZXpJKYIMdqBA2kYC.pdf</t>
  </si>
  <si>
    <t>https://storage.googleapis.com/deytha-prod/paymentBills/qjejb4NoKVeYXh8QoC9UhJCnyRnN3qk7Z5uMwRIj.png</t>
  </si>
  <si>
    <t>https://storage.googleapis.com/deytha-prod/supplierBills/s8ewXvJDhTEQ1oKZcYeNgRvgefIOQxU6g2FbOrN7.pdf</t>
  </si>
  <si>
    <t>2025-08-11 16:15:45</t>
  </si>
  <si>
    <t>2025-08-11 12:06:59</t>
  </si>
  <si>
    <t>2025-08-11 12:15:38</t>
  </si>
  <si>
    <t xml:space="preserve">PAGO POR EMO DE MAMANI JULI ELISBAN ELVIS
</t>
  </si>
  <si>
    <t>2025-08-11 14:44:00</t>
  </si>
  <si>
    <t>https://storage.googleapis.com/deytha-prod/payments/IawXBFJVqoavF1wsPXFNv9dJf558i3jiAAT0HZ1n.xlsx</t>
  </si>
  <si>
    <t>https://storage.googleapis.com/deytha-prod/paymentBills/jFga10vhSILZCuXrtFQyY9A9CRc3pcWyjf3VEeka.png</t>
  </si>
  <si>
    <t>https://storage.googleapis.com/deytha-prod/supplierBills/504DlBnfI0enZir5D4mANa6aIwk2AinRLBh2Jtj5.pdf</t>
  </si>
  <si>
    <t>2025-08-11 16:36:00</t>
  </si>
  <si>
    <t>2025-08-11 11:36:00</t>
  </si>
  <si>
    <t>DEVOLUCION DE CAJA </t>
  </si>
  <si>
    <t>2025-08-11 11:40:18</t>
  </si>
  <si>
    <t>https://storage.googleapis.com/deytha-prod/payments/ZAlXtZ1Cd4tKzK1s27qmX1I9wNHzRiFxUAgt3J1y.jpg</t>
  </si>
  <si>
    <t>2025-08-08 23:30:36</t>
  </si>
  <si>
    <t>ALVA CABRERA FREDDY OMAR</t>
  </si>
  <si>
    <t>2025-08-08 18:36:48</t>
  </si>
  <si>
    <t>2025-08-09 10:30:27</t>
  </si>
  <si>
    <t>PAGO POR EMO DE RAMOS MAMANI GIANMARCO CRISTIAN</t>
  </si>
  <si>
    <t>2025-08-11 10:39:00</t>
  </si>
  <si>
    <t>https://storage.googleapis.com/deytha-prod/payments/fSXfDWBOV3QqsQt0yWh9UH6286Inh118YDbAh6ug.pdf</t>
  </si>
  <si>
    <t>https://storage.googleapis.com/deytha-prod/paymentBills/jZljJOQdO3LhtHkwFqCLp7bGXWCe6N5wXpq5bTMo.png</t>
  </si>
  <si>
    <t>https://storage.googleapis.com/deytha-prod/supplierBills/YrlzyhTdMAstsCEOqsBUzv6mpO6UsGputX9H2CRZ.pdf</t>
  </si>
  <si>
    <t>2025-08-08 19:58:23</t>
  </si>
  <si>
    <t>2025-08-08 15:25:44</t>
  </si>
  <si>
    <t>2025-08-08 15:58:18</t>
  </si>
  <si>
    <t>PAGO POR EMO DE CLEMENTE ESPINOZA DAVID MARCOS, ALANOCA CONDORI EDUAR ROLANDO Y CUEVA AYCA JUAN LUIS</t>
  </si>
  <si>
    <t>2025-08-08 18:02:00</t>
  </si>
  <si>
    <t>https://storage.googleapis.com/deytha-prod/payments/B5v1snXVyG16z8AcCCDf7mW5bUZgpTLI0HCI0D5j.pdf</t>
  </si>
  <si>
    <t>https://storage.googleapis.com/deytha-prod/paymentBills/hTD2mrRpB10qMOYQcOSTGnbrg4Rvxz0rdmkif1vo.pdf</t>
  </si>
  <si>
    <t>https://storage.googleapis.com/deytha-prod/supplierBills/3S2MknvSXjS7ec90tlM93XJTfICezrMcZBqg7PYQ.pdf</t>
  </si>
  <si>
    <t>2025-08-08 16:53:42</t>
  </si>
  <si>
    <t>2025-08-08 12:11:15</t>
  </si>
  <si>
    <t>2025-08-08 12:53:37</t>
  </si>
  <si>
    <t xml:space="preserve">PAGO POR EMO DE MAMANI HUANCHI FLAVIO ALEXANDER 
</t>
  </si>
  <si>
    <t>2025-08-08 12:36:00</t>
  </si>
  <si>
    <t>https://storage.googleapis.com/deytha-prod/payments/WzKetOBLl5SkJeKMKdHzA19NONOoTzN4qfZhOLkU.pdf</t>
  </si>
  <si>
    <t>https://storage.googleapis.com/deytha-prod/paymentBills/v1vVbLRw05uS9nC97vhQqQLmblgARWgOhozhqJsL.png</t>
  </si>
  <si>
    <t>https://storage.googleapis.com/deytha-prod/supplierBills/nZ1DMWFeoZA35VCEmj2obH5ikb176rSz6puqYonZ.pdf</t>
  </si>
  <si>
    <t>2025-08-08 03:18:13</t>
  </si>
  <si>
    <t>2025-08-08 10:28:06</t>
  </si>
  <si>
    <t>2025-08-08 13:17:51</t>
  </si>
  <si>
    <t>PANTALON DRIL Y ZAPATOS DE SEGURIDAD</t>
  </si>
  <si>
    <t>2025-08-13 18:08:00</t>
  </si>
  <si>
    <t>https://storage.googleapis.com/deytha-prod/payments/AoJySuS7SVzRXxtb9zqemPh4aBvgPFXj9hkSeW7G.pdf</t>
  </si>
  <si>
    <t>https://storage.googleapis.com/deytha-prod/paymentBills/sdxSXJYYIGfMPgrjBMqLpHdv2mrCDoJNrYToFdTs.png</t>
  </si>
  <si>
    <t>https://storage.googleapis.com/deytha-prod/supplierBills/4VPFBKnDaq8K8Pv9JkYeDRsmP2Kb7SpsZC0IVozb.pdf</t>
  </si>
  <si>
    <t>2025-08-07 15:25:51</t>
  </si>
  <si>
    <t>2025-08-07 10:25:48</t>
  </si>
  <si>
    <t xml:space="preserve"> ENSAYO DE ROTURA DE PROBETAS DE CONCRETO  </t>
  </si>
  <si>
    <t>2025-08-13 09:58:00</t>
  </si>
  <si>
    <t>https://storage.googleapis.com/deytha-prod/payments/E1UwQCoEsNX5WiE5U1StRp05C6CWxLYcxeGgYzAM.pdf</t>
  </si>
  <si>
    <t>https://storage.googleapis.com/deytha-prod/paymentBills/uQIJmCP8Orm6K3aNs51lTXrCasUZBqgmb6CFGvYg.png</t>
  </si>
  <si>
    <t>https://storage.googleapis.com/deytha-prod/supplierBills/bo1MPantQ1v3oUNqoVSVSSzhygCtnX9HUMgLK1dI.pdf</t>
  </si>
  <si>
    <t>2025-08-07 15:31:24</t>
  </si>
  <si>
    <t>2025-08-07 10:31:22</t>
  </si>
  <si>
    <t xml:space="preserve">ELABORACION DE DISEÑO DE MEZCLA DE CONCRETO CON ADITIVO PLASTIFICANTE </t>
  </si>
  <si>
    <t>2025-08-08 18:46:00</t>
  </si>
  <si>
    <t>https://storage.googleapis.com/deytha-prod/payments/abxBszDIJoSSRhODzhbvsoWfDTr82wgvtMIkY4HZ.pdf</t>
  </si>
  <si>
    <t>https://storage.googleapis.com/deytha-prod/paymentBills/4VcJLpUCypcl1HoOcRFJNYlbYzyMnjVZ22kw2WmZ.png</t>
  </si>
  <si>
    <t>https://storage.googleapis.com/deytha-prod/supplierBills/DA0b6kaSgkk9vGm1EZ5YpO2CjbUXa50I3u2bGR75.pdf</t>
  </si>
  <si>
    <t>2025-08-07 17:07:09</t>
  </si>
  <si>
    <t>2025-08-07 12:07:00</t>
  </si>
  <si>
    <t>MOCHILA PORTAMATERIALES DE 50 LT. MPM50 HAUK</t>
  </si>
  <si>
    <t>2025-08-13 10:07:00</t>
  </si>
  <si>
    <t>https://storage.googleapis.com/deytha-prod/payments/UfROB0AxGAu3BFCqpBhxSnMB63Jb8U7U7Q6pt3gG.pdf</t>
  </si>
  <si>
    <t>https://storage.googleapis.com/deytha-prod/paymentBills/J3Pf4jMu5AiFakVRhUngjsZAtqxpT86VDmlnSvRN.png</t>
  </si>
  <si>
    <t>https://storage.googleapis.com/deytha-prod/supplierBills/MyplF3xqoSpJ74uyPBbl0yTWlRVX8LhBMFvWjb6D.pdf</t>
  </si>
  <si>
    <t>2025-08-07 17:31:02</t>
  </si>
  <si>
    <t>2025-08-07 12:30:27</t>
  </si>
  <si>
    <t>METROLOGICA IMPORT EXPORT S.A.C.</t>
  </si>
  <si>
    <t>21531771855078 TITULAR CUENTA: SALINAS GIL MARIA TERESA</t>
  </si>
  <si>
    <t xml:space="preserve">ANEMOMETRO HT625B </t>
  </si>
  <si>
    <t>2025-08-14 16:06:00</t>
  </si>
  <si>
    <t>https://storage.googleapis.com/deytha-prod/payments/PF5FPjiJhtjHcdrDzwxS4XP4NDorlsAKOLyBA1qS.pdf</t>
  </si>
  <si>
    <t>https://storage.googleapis.com/deytha-prod/paymentBills/22ZxC237j5lnxHBFKW0eWW7pM8oW1yxTlzpBiohV.png</t>
  </si>
  <si>
    <t>https://storage.googleapis.com/deytha-prod/supplierBills/SI36BwMwk4ZKOhAFG6bqctsgt2ddufUMe4hSkIkl.pdf</t>
  </si>
  <si>
    <t>2025-08-07 22:43:25</t>
  </si>
  <si>
    <t>2025-08-07 17:40:23</t>
  </si>
  <si>
    <t xml:space="preserve">BORDADO DE LOS CHALECOS LOS LOGOS DE LA EMPRESA </t>
  </si>
  <si>
    <t>2025-08-11 15:15:00</t>
  </si>
  <si>
    <t>https://storage.googleapis.com/deytha-prod/payments/kmuFprboH1BTP8oi0V03Q0xSmvFzFWAXJ2MauV4I.pdf</t>
  </si>
  <si>
    <t>https://storage.googleapis.com/deytha-prod/paymentBills/H3ErEllM4PAOP4hLXp3OFWzTxetM29pRSvb83zpT.png</t>
  </si>
  <si>
    <t>https://storage.googleapis.com/deytha-prod/supplierBills/i0SIIq7aP1Z5SIletuxaCNJUI81L8pmB83VRyGLV.pdf</t>
  </si>
  <si>
    <t>2025-08-08 01:52:10</t>
  </si>
  <si>
    <t>2025-08-08 11:51:16</t>
  </si>
  <si>
    <t>CABRERA ARISTA JOEL</t>
  </si>
  <si>
    <t xml:space="preserve">REPUESTOS PARA APISONADORA MASALTA BUJIAS Y FILTROS </t>
  </si>
  <si>
    <t>2025-08-13 09:55:00</t>
  </si>
  <si>
    <t>https://storage.googleapis.com/deytha-prod/payments/96GePhehibixsNgLEDmzPEZ0y8ZZuR51MtDiYVUK.pdf</t>
  </si>
  <si>
    <t>https://storage.googleapis.com/deytha-prod/paymentBills/BLBTh9kxxQu1vmk3eqrsFXsUMawXqFsr6aJIhH5h.png</t>
  </si>
  <si>
    <t>https://storage.googleapis.com/deytha-prod/supplierBills/QNXWRtGLQUuveKVNQ0EneS05JhUACzNeNDyY7PXT.pdf</t>
  </si>
  <si>
    <t>2025-08-08 02:32:22</t>
  </si>
  <si>
    <t>2025-08-08 10:24:34</t>
  </si>
  <si>
    <t>2025-08-08 12:32:11</t>
  </si>
  <si>
    <t>LAYME OROCOLLO JUAN</t>
  </si>
  <si>
    <t xml:space="preserve"> CAMARAS DIGITALES FOTOGRAFICAS SONY</t>
  </si>
  <si>
    <t>2025-08-11 17:13:00</t>
  </si>
  <si>
    <t>https://storage.googleapis.com/deytha-prod/payments/FSGwUGFQbtmTeX7FSwYSVW4MgmlbfHlfKf3dY0R2.pdf</t>
  </si>
  <si>
    <t>https://storage.googleapis.com/deytha-prod/paymentBills/oKdmD7TPGm2Ym7ngFn7ipAYLEQDJtF20yNA1p0PO.pdf</t>
  </si>
  <si>
    <t>https://storage.googleapis.com/deytha-prod/supplierBills/z3VuJsomNGuhks11kVwM9MtJdzFNwhh5SRXcZeI6.pdf</t>
  </si>
  <si>
    <t>2025-08-08 03:02:25</t>
  </si>
  <si>
    <t>2025-08-09 13:01:44</t>
  </si>
  <si>
    <t xml:space="preserve">ESLINGAS Y 
FILTROS 
CARTUCHOS </t>
  </si>
  <si>
    <t>2025-08-12 12:14:00</t>
  </si>
  <si>
    <t>https://storage.googleapis.com/deytha-prod/payments/VWXFahLkAwftuhdw6Qpyi8Rz3ZWQxKJGTFbfYylb.pdf</t>
  </si>
  <si>
    <t>https://storage.googleapis.com/deytha-prod/paymentBills/aNSz0MV9m5RkBwtFq7U3INy2D5BeKPW2Gcu53WuT.png</t>
  </si>
  <si>
    <t>https://storage.googleapis.com/deytha-prod/supplierBills/kPxVi3uGxg9R2SSZugZCPueogiur7QwK1zPCwE1j.pdf</t>
  </si>
  <si>
    <t>2025-08-08 05:03:29</t>
  </si>
  <si>
    <t>2025-08-09 15:03:24</t>
  </si>
  <si>
    <t xml:space="preserve">COMBUSTIBLE PARA UNIDAES Y OBRA DEL 21 JULIO HASTA EL  31 JULIO DEL  2025 </t>
  </si>
  <si>
    <t>2025-08-11 19:51:00</t>
  </si>
  <si>
    <t>https://storage.googleapis.com/deytha-prod/payments/YEd36AmY584Arf8NNAOXrYkqc0vo9bTH5LzUvW5V.pdf</t>
  </si>
  <si>
    <t>https://storage.googleapis.com/deytha-prod/paymentBills/YElodAlPFO9drolNgwgq7PcpJYjyG0BQgKFQbGSc.png</t>
  </si>
  <si>
    <t>https://storage.googleapis.com/deytha-prod/supplierBills/e52OH8Fjqld8qY9sSZeoxSQBXPqN1IatjVcQBCjn.pdf</t>
  </si>
  <si>
    <t>2025-08-07 20:20:14</t>
  </si>
  <si>
    <t>2025-08-07 18:45:04</t>
  </si>
  <si>
    <t>2025-08-07 16:20:10</t>
  </si>
  <si>
    <t xml:space="preserve">PAGO POR EMO DE SIHUACOLLO VARGAS JHONSON </t>
  </si>
  <si>
    <t>2025-08-08 12:32:00</t>
  </si>
  <si>
    <t>https://storage.googleapis.com/deytha-prod/payments/ERHg0o9LPHMdfIXuIGr1Mk8WCrxp74ix4UJexdRD.pdf</t>
  </si>
  <si>
    <t>https://storage.googleapis.com/deytha-prod/paymentBills/cjXn5V3ZRIUlSI5uznb9wJhM9mvb7Vclt7Lem12i.png</t>
  </si>
  <si>
    <t>https://storage.googleapis.com/deytha-prod/supplierBills/9w5O2XqtrFWitx86VrX97UcBPCnCiO9gMDqOaLIZ.pdf</t>
  </si>
  <si>
    <t>2025-08-07 21:24:16</t>
  </si>
  <si>
    <t>2025-08-07 17:24:10</t>
  </si>
  <si>
    <t xml:space="preserve">PAGO POR EMO DE GUZMAN ROLDAN PEDRO PAUL </t>
  </si>
  <si>
    <t>2025-08-08 12:28:00</t>
  </si>
  <si>
    <t>https://storage.googleapis.com/deytha-prod/payments/Ajcz1z5NIKkmIHw1yvJfX7Nk4wuBqI8FrJXRjBBw.png</t>
  </si>
  <si>
    <t>https://storage.googleapis.com/deytha-prod/paymentBills/yEhGImEBVE9WyiPS6B8E5g1z5zXz9lEfI7OclcYS.png</t>
  </si>
  <si>
    <t>https://storage.googleapis.com/deytha-prod/supplierBills/3qqnRSb1bnFANxeNsyA8TLY1ibQ2DKoUCMqILsJh.pdf</t>
  </si>
  <si>
    <t>2025-08-07 13:50:45</t>
  </si>
  <si>
    <t>2025-08-07 12:31:15</t>
  </si>
  <si>
    <t>2025-08-08 08:50:40</t>
  </si>
  <si>
    <t>CONCRETO PREMESCLADO 100 MPA POR 28 M3, INCLUYE BOMBA TELESCÓPICA POR 28 M3 (VIERNES 08-08-2025)</t>
  </si>
  <si>
    <t>2025-08-07 15:00:00</t>
  </si>
  <si>
    <t>https://storage.googleapis.com/deytha-prod/payments/JtepMh3mU9EVnIfuHUS18g0S6qt64bFI6KDlwRqW.pdf</t>
  </si>
  <si>
    <t>https://storage.googleapis.com/deytha-prod/paymentBills/TO9HTa6yRvQd7qkYF3c1sEfVXa47tib23wz3kiOk.png</t>
  </si>
  <si>
    <t>https://storage.googleapis.com/deytha-prod/supplierBills/MIpDUDy7YQUSz5viJgXuVlyWTwSPS0zs7GYqP5pL.pdf</t>
  </si>
  <si>
    <t>2025-08-07 02:41:36</t>
  </si>
  <si>
    <t>2025-08-06 21:41:36</t>
  </si>
  <si>
    <t>2025-08-15 20:29:00</t>
  </si>
  <si>
    <t>https://storage.googleapis.com/deytha-prod/worker/settle/Q6mgvyAC0KGIIsZKphWDIPSsPGMriIxQJqx1w4U6.pdf</t>
  </si>
  <si>
    <t>https://storage.googleapis.com/deytha-prod/paymentBills/pEyv1PdG15c1vZ9bW9bL4U7d6lItELgsm6DLAIkd.pdf</t>
  </si>
  <si>
    <t>2025-07-23 18:31:04</t>
  </si>
  <si>
    <t>2025-08-06 20:37:37</t>
  </si>
  <si>
    <t>2025-07-24 13:30:41</t>
  </si>
  <si>
    <t>ALQUILER DE EXCAVADORA MARCA CATERPILLAR MODELO 336 DE SERIE GDY20816 POR 17 HRS
ALQUILER DE MARTILLO HIDRAULICO HYDROKHAN POR 03 DIAS
LO RESALTADO EN AMARILLO YA SE PAGO.</t>
  </si>
  <si>
    <t>2025-08-21 16:36:00</t>
  </si>
  <si>
    <t>https://storage.googleapis.com/deytha-prod/payments/712PTf7dKCx0MlPZvNaIL2NmiGeXi10mEdZtR0ak.pdf</t>
  </si>
  <si>
    <t>https://storage.googleapis.com/deytha-prod/paymentBills/fPsgU4Mxzjs1u7FsY5R9FZ8LVOH8SrUsNPAmWjdD.png</t>
  </si>
  <si>
    <t>https://storage.googleapis.com/deytha-prod/supplierBills/00GgwtNL5n9GeJKUejqvZAgklFk1geAvwVtMZPF1.pdf</t>
  </si>
  <si>
    <t>2025-08-01 19:36:34</t>
  </si>
  <si>
    <t>2025-08-07 14:36:00</t>
  </si>
  <si>
    <t>SERCAN RED SERVICIO MANTENIMIENTO Y CONSTRUCCION S.A.C.</t>
  </si>
  <si>
    <t>00110584020022686706  // 01158400020022686706 CCI / BBVA</t>
  </si>
  <si>
    <t xml:space="preserve">Pago RQF-D:329(2 / 2) | ALQUILER DE HERRAMIENTAS PARA AREA DE LINIEROS </t>
  </si>
  <si>
    <t>https://storage.googleapis.com/deytha-prod/payments/Dl8v3YaXRWrIj4JbiDIPjwUZfQraDjbfcrftaKGZ.pdf</t>
  </si>
  <si>
    <t>https://storage.googleapis.com/deytha-prod/paymentBills/uiWi1cwBAGr5yq9o3S2q6Ht9w0plyiZjS2KivHUx.pdf</t>
  </si>
  <si>
    <t>https://storage.googleapis.com/deytha-prod/supplierBills/LWJD6yb8PSA3KIrdAJruOelparqJul6l0GNWMau0.pdf</t>
  </si>
  <si>
    <t>2025-08-04 06:22:07</t>
  </si>
  <si>
    <t>2025-08-05 01:21:46</t>
  </si>
  <si>
    <t>ALQUILER DE CAMIONETA TOYOTA HILUX DE PLACA Z7T860 CORRESPONDIENTE AL PERIODO JUNIO 2025</t>
  </si>
  <si>
    <t>2025-09-25 12:25:00</t>
  </si>
  <si>
    <t>https://storage.googleapis.com/deytha-prod/payments/ahfRnhXTBV2nObDmo5YyW1Lt314kt1LlHhTsimwp.pdf</t>
  </si>
  <si>
    <t>https://storage.googleapis.com/deytha-prod/paymentBills/WVnwpDP66bZjKfST9ZujZwRGQh6JRFVYNtCXpuG6.png</t>
  </si>
  <si>
    <t>https://storage.googleapis.com/deytha-prod/supplierBills/ic7a9VlJukVJ5BBvqO1VJjnhOgzmZ9j4iGkJL2y8.pdf</t>
  </si>
  <si>
    <t>2025-08-04 06:24:46</t>
  </si>
  <si>
    <t>2025-08-05 01:24:27</t>
  </si>
  <si>
    <t>ALQUILER DE MINIVAN Z7O638 CORRESPONDIENTE AL PERIODO 23.06.25 AL 30.06.25</t>
  </si>
  <si>
    <t>2025-08-22 19:03:00</t>
  </si>
  <si>
    <t>https://storage.googleapis.com/deytha-prod/payments/mt29n09vFa9A4QdUofjQd2k6QFnuDxogjR7HQAed.pdf</t>
  </si>
  <si>
    <t>https://storage.googleapis.com/deytha-prod/paymentBills/rDDfCcXwM3LrPEO2LJ5tCkkJJ5lsu0AVhIUgUqAr.png</t>
  </si>
  <si>
    <t>https://storage.googleapis.com/deytha-prod/supplierBills/ZE3FRqri1K7dOJxAQK1dbK8PrEJ9alLkuoLQvf5L.pdf</t>
  </si>
  <si>
    <t>2025-08-04 06:47:37</t>
  </si>
  <si>
    <t>2025-08-05 01:47:19</t>
  </si>
  <si>
    <t>alimentación semana 13 en Moquegua del 27-07 al 02-08.</t>
  </si>
  <si>
    <t>2025-08-07 17:19:00</t>
  </si>
  <si>
    <t>https://storage.googleapis.com/deytha-prod/payments/kN30xKgAmcvQG8Ub9lpuQjGnKVeqAFP4UwZHwray.pdf</t>
  </si>
  <si>
    <t>https://storage.googleapis.com/deytha-prod/paymentBills/AaMjD4bxkf3lzq49Iv7QpteNcfOIamTeTK6svBRA.png</t>
  </si>
  <si>
    <t>https://storage.googleapis.com/deytha-prod/supplierBills/hKiId0yqwhOyDTMkaMM5t3JlXgn3BgTjeTXwKUEp.png</t>
  </si>
  <si>
    <t>2025-08-04 19:08:35</t>
  </si>
  <si>
    <t>2025-08-05 14:08:19</t>
  </si>
  <si>
    <t xml:space="preserve">PASAJE DE TRASLADO DE VIGILANCIA DEL 04/08 AL 17/08 </t>
  </si>
  <si>
    <t>https://storage.googleapis.com/deytha-prod/payments/fTO8hi9byXTIYo8QxsbLzrgmwgf5Je8lL9e4w38B.xlsx</t>
  </si>
  <si>
    <t>https://storage.googleapis.com/deytha-prod/paymentBills/rFbI7MXuTa3Qa6UvveO6gxOcFL34voCdAn5k2sLn.png</t>
  </si>
  <si>
    <t>https://storage.googleapis.com/deytha-prod/supplierBills/DVAjfGsxOaPi6vAUkDsXv8J9SLFEQEKaX93C5cQQ.pdf</t>
  </si>
  <si>
    <t>2025-08-04 23:27:05</t>
  </si>
  <si>
    <t>2025-09-04 09:26:56</t>
  </si>
  <si>
    <t>ALQUILER TARIFA MES AMBULANCIA RURAL TIPO II PLACA EUF- 560 MES JULIO (DEL 01/07/2025 AL 31/07/2025) PROYECTO CUAJONE SEGUN COTIZACION 021-2025 REV. 01 Y OS.23/05/2025</t>
  </si>
  <si>
    <t>2025-09-24 15:28:00</t>
  </si>
  <si>
    <t>https://storage.googleapis.com/deytha-prod/payments/RvYZx8PiYfBEg0Efo8Sdd7VcGkUU2McfumwRf1J0.pdf</t>
  </si>
  <si>
    <t>https://storage.googleapis.com/deytha-prod/paymentBills/yc9O5zGVwfaoBNXdsZ36bRnsXS0047g61MkXHeyW.png</t>
  </si>
  <si>
    <t>https://storage.googleapis.com/deytha-prod/supplierBills/aiwC1KE9uqb2Vxw8Ako04sxndGxzOyjs4EZGibM3.pdf</t>
  </si>
  <si>
    <t>2025-07-23 15:33:57</t>
  </si>
  <si>
    <t>2025-08-06 20:22:44</t>
  </si>
  <si>
    <t>2025-07-24 10:33:51</t>
  </si>
  <si>
    <t>ALQUILER DE VOLQUETE FOTON DE PLACA VBT-860 POR 40 HORAS A RAZON DE 31.00 DOLARES LA HORA SIN INCLUIR IGV INCLUIDO OPERADOR POR 16 HORAS A RAZON DE 8.00 DOLARES LA HORA SIN INCLUIR IGV - ALQUILER DE VOLQUETE SHACMAN DE PLACA BHL-878 POR 48 HORAS A RAZON DE 31.00 DOLARES LA HORA SIN INCLUIR IGV</t>
  </si>
  <si>
    <t>2025-08-22 19:11:00</t>
  </si>
  <si>
    <t>https://storage.googleapis.com/deytha-prod/payments/t5CXaBG4XxdYaNyvjta9fXiGTva8V5c6F4YBByzV.pdf</t>
  </si>
  <si>
    <t>https://storage.googleapis.com/deytha-prod/paymentBills/zaGC2LMEsMbFVZpA3bCazFF5ofdrANZ6EZcjqziq.png</t>
  </si>
  <si>
    <t>https://storage.googleapis.com/deytha-prod/supplierBills/TjE4iuOPlRLCCvYHIFNLlSg097wF8h0b8TR1pH1W.pdf</t>
  </si>
  <si>
    <t>2025-07-24 14:44:42</t>
  </si>
  <si>
    <t>2025-07-25 09:43:43</t>
  </si>
  <si>
    <t xml:space="preserve">ALQUILER DE RETROEXCAVADORA DEL 23 DE MAYO AL 06 DE JUNIO </t>
  </si>
  <si>
    <t>2025-08-22 20:57:00</t>
  </si>
  <si>
    <t>https://storage.googleapis.com/deytha-prod/payments/Lm3AyHcx8Byj8rA6C49nrx8xoU7oTYbyYLxw3ZPv.pdf</t>
  </si>
  <si>
    <t>https://storage.googleapis.com/deytha-prod/paymentBills/Hq1JKwn8APc6p9QTcbk3JL4sfWLZA722RCUMrLrM.pdf</t>
  </si>
  <si>
    <t>https://storage.googleapis.com/deytha-prod/supplierBills/YIVujL9p0fdRsBwTDgY84vCfPCQGabbH3qtIfe8F.pdf</t>
  </si>
  <si>
    <t>2025-08-02 15:26:20</t>
  </si>
  <si>
    <t>2025-08-03 10:26:13</t>
  </si>
  <si>
    <t>Alquiler de Baño Químico para Dama en zona A3 
30/06/2025	29/07/2025</t>
  </si>
  <si>
    <t>2025-08-13 14:57:00</t>
  </si>
  <si>
    <t>https://storage.googleapis.com/deytha-prod/payments/y64n302nSeKXvuRzQgkPsxCgSlV1546ccBMw6A9i.pdf</t>
  </si>
  <si>
    <t>https://storage.googleapis.com/deytha-prod/paymentBills/iY2hSqZnehOsja3DfbtUxzSDcU5FBYdGyb4qU4HD.png</t>
  </si>
  <si>
    <t>https://storage.googleapis.com/deytha-prod/supplierBills/PBmseP6cFsaYGrwPcfZw5d94beBJOSzo9jLkFTo4.pdf</t>
  </si>
  <si>
    <t>2025-08-02 15:28:02</t>
  </si>
  <si>
    <t>2025-08-03 10:27:40</t>
  </si>
  <si>
    <t>Alquiler de 1 baño químico para dama zona D2 renovación de contrato mes 23/06/2025	22/07/2025</t>
  </si>
  <si>
    <t>2025-08-13 14:52:00</t>
  </si>
  <si>
    <t>https://storage.googleapis.com/deytha-prod/payments/gbPB0lpf7aLaSXzWo6UxnSgNHu4zGyY1xc6ZYdLi.pdf</t>
  </si>
  <si>
    <t>https://storage.googleapis.com/deytha-prod/paymentBills/HOsMQfzRNufAnWST49RDHuAjfLRb8MMAy1gtoiRE.png</t>
  </si>
  <si>
    <t>https://storage.googleapis.com/deytha-prod/supplierBills/ynRpmQEpEGuHVDSRWhqiYz4mYA47NHwGcBQ53xwy.pdf</t>
  </si>
  <si>
    <t>2025-08-03 20:47:24</t>
  </si>
  <si>
    <t>2025-08-04 15:47:12</t>
  </si>
  <si>
    <t>Alojamiento mes de Mayo ciudad de Moquegua</t>
  </si>
  <si>
    <t>2025-08-22 19:00:00</t>
  </si>
  <si>
    <t>https://storage.googleapis.com/deytha-prod/payments/NYkgTmhL9EGuxDRylXZdLzQzt26vYiIGDRgr2Q9O.pdf</t>
  </si>
  <si>
    <t>https://storage.googleapis.com/deytha-prod/paymentBills/mJcX1owQTFtk4IupprvckoMzkwfreYmmzNIOJQfu.png</t>
  </si>
  <si>
    <t>https://storage.googleapis.com/deytha-prod/supplierBills/KVMNH1dr2jcTM4o8htFGzvIw2hqZ8OD1AQnmHaKb.pdf</t>
  </si>
  <si>
    <t>2025-08-03 21:11:12</t>
  </si>
  <si>
    <t>2025-08-04 16:10:50</t>
  </si>
  <si>
    <t>Alquiler de ambulancia mes de junio</t>
  </si>
  <si>
    <t>2025-08-22 18:56:00</t>
  </si>
  <si>
    <t>https://storage.googleapis.com/deytha-prod/payments/6UmRKKLMVaehNvq2OlIV37ZYDTh7S2ErDHw5fdaR.pdf</t>
  </si>
  <si>
    <t>https://storage.googleapis.com/deytha-prod/paymentBills/HSAuGW0hxIZXp4SBjwwbIOGRbgVCaUHZFFkZFFS9.png</t>
  </si>
  <si>
    <t>https://storage.googleapis.com/deytha-prod/supplierBills/llNm6sowP4Ou6jSjQ88mChn5RputgLXmHeWNuxjO.pdf</t>
  </si>
  <si>
    <t>2025-08-03 21:22:38</t>
  </si>
  <si>
    <t>2025-08-04 16:22:23</t>
  </si>
  <si>
    <t>Alimentación mes de Mayo ciudad de Moquegua</t>
  </si>
  <si>
    <t>https://storage.googleapis.com/deytha-prod/payments/VQ9hbbUcFNBAnwOtcm7BmIhSykZwodt4DR98SuxG.pdf</t>
  </si>
  <si>
    <t>https://storage.googleapis.com/deytha-prod/paymentBills/cmbzrCg5dlZfrV63I2U2uS2eFSWZFcGx66O71R6M.png</t>
  </si>
  <si>
    <t>https://storage.googleapis.com/deytha-prod/supplierBills/MtgghIB4T6Dh6nnm9lmfualfMuoxhdO7UDj4RpQR.pdf</t>
  </si>
  <si>
    <t>2025-08-01 19:22:39</t>
  </si>
  <si>
    <t>2025-08-06 19:45:55</t>
  </si>
  <si>
    <t>2025-08-02 14:22:14</t>
  </si>
  <si>
    <t>SERVICIO DE ALQUILER DE EQUIPO OLLA WASHINGTON</t>
  </si>
  <si>
    <t>2025-08-08 18:42:00</t>
  </si>
  <si>
    <t>https://storage.googleapis.com/deytha-prod/payments/0X6PQCj1zjjWmn3Bx71QYwkGzYttRUofm87fINHS.pdf</t>
  </si>
  <si>
    <t>https://storage.googleapis.com/deytha-prod/paymentBills/enTlk62VxJq6RCF9uvzB4sOHpvT5wrY9oc0mrmvn.png</t>
  </si>
  <si>
    <t>https://storage.googleapis.com/deytha-prod/supplierBills/GZQ5tkj7lEVCHaF7jxWbQV5CB09jrOApcj6qKDsq.pdf</t>
  </si>
  <si>
    <t>2025-08-05 17:07:34</t>
  </si>
  <si>
    <t>2025-08-05 12:07:29</t>
  </si>
  <si>
    <t xml:space="preserve">CASACA Y PANTALON TERMICO PARA PERSONAL DE SEGURIDAD VIGILANCIA </t>
  </si>
  <si>
    <t>2025-08-08 18:31:00</t>
  </si>
  <si>
    <t>https://storage.googleapis.com/deytha-prod/payments/PNL1t9cN9OmgDxEm0mea2YmQ37fJfXMYN6WWWQbl.pdf</t>
  </si>
  <si>
    <t>https://storage.googleapis.com/deytha-prod/paymentBills/LtOp4OCBmnAp8i2ZiYzOGaj6ZCNLlXJlpw2l4h1A.png</t>
  </si>
  <si>
    <t>https://storage.googleapis.com/deytha-prod/supplierBills/SyM7pg7u9NneNvLBww3FPCwx8SU8LYzk7QQWiNSt.pdf</t>
  </si>
  <si>
    <t>2025-08-05 21:42:15</t>
  </si>
  <si>
    <t>2025-08-06 19:40:39</t>
  </si>
  <si>
    <t>2025-08-06 16:42:06</t>
  </si>
  <si>
    <t xml:space="preserve">FENOLICO 
MADERA 2*2 </t>
  </si>
  <si>
    <t>2025-08-11 17:38:00</t>
  </si>
  <si>
    <t>https://storage.googleapis.com/deytha-prod/payments/wDx5vJdnCKBo5JgbzjC8vDnBar4xPuX5SVVugnza.pdf</t>
  </si>
  <si>
    <t>https://storage.googleapis.com/deytha-prod/paymentBills/W0Fj4b55psQW6vZe52idAsdyPLrng3SSD3aj6y1e.png</t>
  </si>
  <si>
    <t>https://storage.googleapis.com/deytha-prod/supplierBills/Cb2QWNsBccfPigAHea74fA2rF0IF79AUq5hhDE2K.pdf</t>
  </si>
  <si>
    <t>2025-08-05 22:08:09</t>
  </si>
  <si>
    <t>2025-08-06 17:08:07</t>
  </si>
  <si>
    <t>MOTOR'S SUR S.R.L.</t>
  </si>
  <si>
    <t>430-1522645085</t>
  </si>
  <si>
    <t>ALQUILER DE CUBO PLUS C/ TUBO DE
GOMA 
* 01 DIA</t>
  </si>
  <si>
    <t>2025-08-07 19:03:00</t>
  </si>
  <si>
    <t>https://storage.googleapis.com/deytha-prod/payments/TgopiHqWJzkeOJX5Cm40eqvTnaCYABry0X1qY14V.pdf</t>
  </si>
  <si>
    <t>https://storage.googleapis.com/deytha-prod/paymentBills/CzO5sIqjux958oNDSxyMM86g5w2hdAHZQrdvDDGY.png</t>
  </si>
  <si>
    <t>https://storage.googleapis.com/deytha-prod/supplierBills/aiHhleLAfz5zru7LdV3viXNuZRZBpOqcASfGqlQB.pdf</t>
  </si>
  <si>
    <t>2025-08-05 22:01:05</t>
  </si>
  <si>
    <t>2025-08-05 17:01:05</t>
  </si>
  <si>
    <t>SABINA HUANCA JORGE LUIS</t>
  </si>
  <si>
    <t>430-08272269-0-40</t>
  </si>
  <si>
    <t>https://storage.googleapis.com/deytha-prod/worker/settle/JIYSQ8bUgEQh91n4E6LAK8WZCZcQlKGqT26kwA40.pdf</t>
  </si>
  <si>
    <t>https://storage.googleapis.com/deytha-prod/paymentBills/DafrpvXK2c8mQZSmUu38puIPc2pREupNKw4TkBV8.pdf</t>
  </si>
  <si>
    <t>2025-08-05 17:20:29</t>
  </si>
  <si>
    <t>2025-08-05 15:01:58</t>
  </si>
  <si>
    <t>2025-08-05 13:19:48</t>
  </si>
  <si>
    <t>BURCAL</t>
  </si>
  <si>
    <t>PAGO POR EMO DE CUNYA PEÑA LUIS FERNANDO</t>
  </si>
  <si>
    <t>2025-08-05 20:17:00</t>
  </si>
  <si>
    <t>https://storage.googleapis.com/deytha-prod/payments/HKeWodpzKHEBkt2HYEdWWnVOGOsJZVpivAhpvFsd.pdf</t>
  </si>
  <si>
    <t>https://storage.googleapis.com/deytha-prod/paymentBills/IOu552P8LQJine8W6nm9IyUnT5jLkpQFhmepFt9C.png</t>
  </si>
  <si>
    <t>https://storage.googleapis.com/deytha-prod/supplierBills/6WHbRQ9AQ4TlUtF9tE1tcyDEvKtYW6tNXaAjqRWT.pdf</t>
  </si>
  <si>
    <t>2025-08-05 17:44:46</t>
  </si>
  <si>
    <t>2025-08-05 13:44:39</t>
  </si>
  <si>
    <t xml:space="preserve">PAGO POR EMO DE GUZMAN MAMANI DANIEL ANGEL </t>
  </si>
  <si>
    <t>2025-08-05 20:25:00</t>
  </si>
  <si>
    <t>https://storage.googleapis.com/deytha-prod/payments/S4Zxy1sVfKdTS2PpTtpSu2ltfo2xE3ZeO9NnwbRv.xlsx</t>
  </si>
  <si>
    <t>https://storage.googleapis.com/deytha-prod/paymentBills/iQJEMTshenKxjJgTbQxP7JYnaOdC9RYrkILKqv7k.png</t>
  </si>
  <si>
    <t>https://storage.googleapis.com/deytha-prod/supplierBills/58w02hmLtGisuKbGnWnNXnJ5d7kxzqWWu3LWWXvc.pdf</t>
  </si>
  <si>
    <t>2025-08-04 21:12:08</t>
  </si>
  <si>
    <t>2025-08-04 23:19:49</t>
  </si>
  <si>
    <t>2025-08-05 16:12:00</t>
  </si>
  <si>
    <t>2025-08-05 18:13:00</t>
  </si>
  <si>
    <t>https://storage.googleapis.com/deytha-prod/payments/TJsla2A8SEuLtQHMaqNIiusVlypHiFRlGmxUSPey.pdf</t>
  </si>
  <si>
    <t>https://storage.googleapis.com/deytha-prod/paymentBills/3qSQD2hnlOcNL9RCssuuUtfyd717DKJyrcXs5UwQ.jpg</t>
  </si>
  <si>
    <t>https://storage.googleapis.com/deytha-prod/supplierBills/0eJyrqLBNAgxOotgq8T1RgjGrjCcZlciSLduAlM5.pdf</t>
  </si>
  <si>
    <t>2025-08-04 21:14:07</t>
  </si>
  <si>
    <t>2025-08-05 16:13:51</t>
  </si>
  <si>
    <t>FORMATO SSOMA</t>
  </si>
  <si>
    <t>2025-08-07 19:00:00</t>
  </si>
  <si>
    <t>https://storage.googleapis.com/deytha-prod/payments/wqUGxG454RqIeQtc2bIzouU0RHZKw1ns1EQtvufx.pdf</t>
  </si>
  <si>
    <t>https://storage.googleapis.com/deytha-prod/paymentBills/DTlHWhHcGtJP2KMYJMSTgf0CQsqByq5s6cFGgVF4.png</t>
  </si>
  <si>
    <t>https://storage.googleapis.com/deytha-prod/supplierBills/o1MRg1G6iwZr8g8HIK8k9WidfPR0Ydn7O8WozsXM.pdf</t>
  </si>
  <si>
    <t>2025-08-04 21:11:11</t>
  </si>
  <si>
    <t>2025-08-04 16:11:11</t>
  </si>
  <si>
    <t>AGUIRRE RIVERA ALEX</t>
  </si>
  <si>
    <t>430-08272120-0-90</t>
  </si>
  <si>
    <t>2025-08-04 18:28:00</t>
  </si>
  <si>
    <t>https://storage.googleapis.com/deytha-prod/worker/settle/g2Oy0CyvlUSHpgLt7528Hs3ZiQpphH4EnLHq0iLf.pdf</t>
  </si>
  <si>
    <t>https://storage.googleapis.com/deytha-prod/paymentBills/g7MRLaiocbgQrqWJJl6hcvrxW1lVHEwoJCvhMzCG.png</t>
  </si>
  <si>
    <t>2025-08-04 20:56:13</t>
  </si>
  <si>
    <t>2025-08-04 16:03:29</t>
  </si>
  <si>
    <t>2025-08-05 15:56:09</t>
  </si>
  <si>
    <t xml:space="preserve">ALQUILER DE EQUIPO
Megohmetro MARCA
Megabras Cargador del
equipo modelo: GT-21148-
3018-T2 N/S: 13052025, 3
cables color verde, 1 cable
rojo y 1 cable negro, 2
maletas de lona
ALQUILER * 02 DIAS  05 / 06 DE AGOSTO </t>
  </si>
  <si>
    <t>2025-08-04 16:13:00</t>
  </si>
  <si>
    <t>https://storage.googleapis.com/deytha-prod/payments/8ZGNL8bOhTY809y3JqqFyOt5pK1Y7bN8ZEUKknVE.pdf</t>
  </si>
  <si>
    <t>https://storage.googleapis.com/deytha-prod/paymentBills/ofBZ6tTjSmKj1FzEB3M6I1GjdtpjsZOpyZPVnyqC.png</t>
  </si>
  <si>
    <t>https://storage.googleapis.com/deytha-prod/supplierBills/X24lh7OPd9K2Hy5jmoDnCSMCIiK9H58J4aYDJjbK.pdf</t>
  </si>
  <si>
    <t>2025-08-04 17:41:56</t>
  </si>
  <si>
    <t>2025-08-04 14:55:51</t>
  </si>
  <si>
    <t>2025-08-04 13:41:43</t>
  </si>
  <si>
    <t>PAGO POR EMO DE ALEJANDRO SUCLUPE SANDOVAL</t>
  </si>
  <si>
    <t>2025-08-04 15:25:00</t>
  </si>
  <si>
    <t>https://storage.googleapis.com/deytha-prod/payments/EiRSOMorqU2T0GMir6O2hqwF1GJvcZGhty6jOnFI.png</t>
  </si>
  <si>
    <t>https://storage.googleapis.com/deytha-prod/paymentBills/EIPSzsSZLK3CYDsedhTJB7zGxuOKQyqG5T9yeRJg.png</t>
  </si>
  <si>
    <t>https://storage.googleapis.com/deytha-prod/supplierBills/PPDhVA82C7sZrlz4pQB33on0Fj1bwyuTaPpJW0ct.pdf</t>
  </si>
  <si>
    <t>2025-08-01 21:30:24</t>
  </si>
  <si>
    <t>2025-08-04 08:34:08</t>
  </si>
  <si>
    <t>2025-08-01 17:30:15</t>
  </si>
  <si>
    <t xml:space="preserve">PAGO POR EMO DE CHOQUE MAMANI NOE WILSON </t>
  </si>
  <si>
    <t>2025-08-04 15:53:00</t>
  </si>
  <si>
    <t>https://storage.googleapis.com/deytha-prod/payments/iGIyWaZLDwyitkbyt5iyb757X1jRQl7oQaMvRUZe.pdf</t>
  </si>
  <si>
    <t>https://storage.googleapis.com/deytha-prod/paymentBills/zqS1RNhOI6b7lBVDeeV7MU2RTdBtdtHwDiuTqjsS.png</t>
  </si>
  <si>
    <t>https://storage.googleapis.com/deytha-prod/supplierBills/lJ5fIluTfKl2RwadaDJt7PZ1Tc2xNXVMrbnMbeM2.pdf</t>
  </si>
  <si>
    <t>FUENTES HUAMAN ERNESTO</t>
  </si>
  <si>
    <t>2025-08-04 01:30:46</t>
  </si>
  <si>
    <t>2025-08-02 15:35:43</t>
  </si>
  <si>
    <t>2025-08-03 10:35:36</t>
  </si>
  <si>
    <t>alimentación semana 12 en Moquegua</t>
  </si>
  <si>
    <t>2025-08-07 17:13:00</t>
  </si>
  <si>
    <t>https://storage.googleapis.com/deytha-prod/payments/AxTqUeYU7pQHlZqbI9T1xc93VONYe5LiiVGWPKpC.pdf</t>
  </si>
  <si>
    <t>https://storage.googleapis.com/deytha-prod/paymentBills/kuxjKlfIiYQ2fWMw2k30YDxTv3bris3McypaazhP.png</t>
  </si>
  <si>
    <t>https://storage.googleapis.com/deytha-prod/supplierBills/mPj71nLx8wWvz5uyU7nCiZuAnt1DwiXDBVD6oEdO.png</t>
  </si>
  <si>
    <t>2025-08-02 15:38:03</t>
  </si>
  <si>
    <t>2025-08-03 10:37:56</t>
  </si>
  <si>
    <t>HUAHUASONCCO TTITO FROILAN</t>
  </si>
  <si>
    <t>430-03227038-0-47</t>
  </si>
  <si>
    <t>Servicio de fabricación de 2 portabobinas</t>
  </si>
  <si>
    <t>2025-08-12 18:25:00</t>
  </si>
  <si>
    <t>https://storage.googleapis.com/deytha-prod/payments/jDvG4lk4c23O3wjzaVSxXvuNilmPnPffKz1VKn14.pdf</t>
  </si>
  <si>
    <t>https://storage.googleapis.com/deytha-prod/paymentBills/8z84VHgCQk557JSzfoRS5BRb57g9tgTFdaYVkXGt.png</t>
  </si>
  <si>
    <t>https://storage.googleapis.com/deytha-prod/supplierBills/sq0NflV7GvgToSR19N5xOw6smcqWZNbiN0REIYnX.pdf</t>
  </si>
  <si>
    <t>2025-08-02 15:39:58</t>
  </si>
  <si>
    <t>2025-08-03 10:39:47</t>
  </si>
  <si>
    <t>ALQUILER DE BUS DEL 21 DE JULIO AL 31 DE JULIO (NO SE CUENTA LOS DIAS 27 DE JULIO AL 29 DE JULIO)</t>
  </si>
  <si>
    <t>2025-08-22 21:45:00</t>
  </si>
  <si>
    <t>https://storage.googleapis.com/deytha-prod/payments/EBm14FWT329pezia5WssULlLGrGVPZgbZtT3SErL.pdf</t>
  </si>
  <si>
    <t>https://storage.googleapis.com/deytha-prod/paymentBills/M84DLt5HICf4TIwCjJuyJyyaUnNcIdvVKzhIuklm.png</t>
  </si>
  <si>
    <t>https://storage.googleapis.com/deytha-prod/supplierBills/F3k1yxqpGbTg0drcz5QOYOXjgevsjbvcXXjDWZyO.pdf</t>
  </si>
  <si>
    <t>2025-08-03 19:49:06</t>
  </si>
  <si>
    <t>2025-08-04 14:49:00</t>
  </si>
  <si>
    <t>Bonificación mes de junio.</t>
  </si>
  <si>
    <t>2025-08-09 11:18:00</t>
  </si>
  <si>
    <t>https://storage.googleapis.com/deytha-prod/payments/t6a4M63kK7xcwVPLK2F8JrDixI21bj3GwW83mfVG.png</t>
  </si>
  <si>
    <t>https://storage.googleapis.com/deytha-prod/paymentBills/wpMJ5VpCeXbQCNqHD4nQqQnU0arOX0vU6syTQUxT.png</t>
  </si>
  <si>
    <t>https://storage.googleapis.com/deytha-prod/supplierBills/00BKk5q7KWneZschUdx80uUdoN6aMdZdUmoZwu8O.pdf</t>
  </si>
  <si>
    <t>2025-08-03 19:50:36</t>
  </si>
  <si>
    <t>2025-08-04 14:50:33</t>
  </si>
  <si>
    <t>Bonificación mes de Junio.</t>
  </si>
  <si>
    <t>2025-08-12 16:33:00</t>
  </si>
  <si>
    <t>https://storage.googleapis.com/deytha-prod/payments/CAhI3U2PVY1W8r3hq7H7nwR8MToSgL3qAcis6jek.png</t>
  </si>
  <si>
    <t>https://storage.googleapis.com/deytha-prod/paymentBills/xy2OeUdd5gbW5hQ3Fzgdx34Z3UhyMVQmjCHXkFGJ.png</t>
  </si>
  <si>
    <t>https://storage.googleapis.com/deytha-prod/supplierBills/kwH2580NYhDvaNwZjpr3xeSBlGANg0Qy1hpWtsjc.pdf</t>
  </si>
  <si>
    <t>2025-08-03 19:55:01</t>
  </si>
  <si>
    <t>2025-08-04 14:54:56</t>
  </si>
  <si>
    <t>Bonificación de Junio.</t>
  </si>
  <si>
    <t>2025-08-14 17:56:00</t>
  </si>
  <si>
    <t>https://storage.googleapis.com/deytha-prod/payments/rW9gfKH6Wjy5SYN2TvWyd6lqpABjFdMU0zWaOKNh.png</t>
  </si>
  <si>
    <t>https://storage.googleapis.com/deytha-prod/paymentBills/KkzExXPisNiN2QDPl7hrYshZ4lSICUVkHfdoPTFG.png</t>
  </si>
  <si>
    <t>https://storage.googleapis.com/deytha-prod/supplierBills/L1OsFLDJm27ylMwNH9K2U9FxzvnR0rV0E3tDOF8m.pdf</t>
  </si>
  <si>
    <t>2025-08-04 05:58:01</t>
  </si>
  <si>
    <t>2025-08-05 00:56:42</t>
  </si>
  <si>
    <t>CONCRETO PREMESCLADO 100 MPA POR 28 M3, INCLUYE BOMBA TELESCÓPICA POR 28 M3</t>
  </si>
  <si>
    <t>2025-08-04 19:07:00</t>
  </si>
  <si>
    <t>https://storage.googleapis.com/deytha-prod/payments/mYt8AAvO3kpgKA4462CI0JSkOqghF22EYk89d6W4.pdf</t>
  </si>
  <si>
    <t>https://storage.googleapis.com/deytha-prod/paymentBills/tQalILY1vdITBzqxhNInERrbulP9D2ESwqBvqN5D.png</t>
  </si>
  <si>
    <t>https://storage.googleapis.com/deytha-prod/supplierBills/pNolXOnNSvouqTIH7rMA9xpG4tI7gCo9vASs4LTb.pdf</t>
  </si>
  <si>
    <t>2025-08-04 05:59:45</t>
  </si>
  <si>
    <t>2025-08-05 00:59:01</t>
  </si>
  <si>
    <t>CONCRETO PREMESCLADO 100 MPA POR 28 M3, INCLUYE BOMBA TELESCÓPICA POR 28 M3 (JUEVES 7-08-2025)</t>
  </si>
  <si>
    <t>2025-08-05 13:03:00</t>
  </si>
  <si>
    <t>https://storage.googleapis.com/deytha-prod/payments/wsXGyChIKsDGvv3kMUd34sijTCtN5hMAOk1D6NoZ.pdf</t>
  </si>
  <si>
    <t>https://storage.googleapis.com/deytha-prod/paymentBills/aDvkjIxAWhlavJtQOM68mWdqwmKoI9TdA7h9csIl.png</t>
  </si>
  <si>
    <t>https://storage.googleapis.com/deytha-prod/supplierBills/YQIdcWak3rp7EcXUpxztQz2rx5us9Bzv6JCPgCcL.pdf</t>
  </si>
  <si>
    <t>2025-08-02 05:39:14</t>
  </si>
  <si>
    <t>2025-08-04 01:23:33</t>
  </si>
  <si>
    <t>2025-08-04 00:38:53</t>
  </si>
  <si>
    <t>ALQUILER D ANDAMIOS  / PRIMER DESPACHO 
CORRESPONDIENTE DEL 12 DE JULIO AL 10 DE AGOSTO DEL 2025</t>
  </si>
  <si>
    <t>2025-08-11 17:34:00</t>
  </si>
  <si>
    <t>https://storage.googleapis.com/deytha-prod/payments/OcWmjE2WxPm0pb5LfHxdGIIWYUT1FoPISAWQip13.pdf</t>
  </si>
  <si>
    <t>https://storage.googleapis.com/deytha-prod/paymentBills/2ezXNXuL0Vqvuh87qy6FOxl0ZIuWRJfQ2yby1TfP.png</t>
  </si>
  <si>
    <t>https://storage.googleapis.com/deytha-prod/supplierBills/1g8ua4xVivW17QUg57IvCG54r4N6taHmlUdm5hPA.pdf</t>
  </si>
  <si>
    <t>2025-08-02 05:42:00</t>
  </si>
  <si>
    <t>2025-08-03 00:41:29</t>
  </si>
  <si>
    <t xml:space="preserve">ESCRITORIO </t>
  </si>
  <si>
    <t>2025-08-04 13:09:00</t>
  </si>
  <si>
    <t>https://storage.googleapis.com/deytha-prod/payments/ad6f8ZjGcughWergkeMEUozUUWa3cHtFpxIIJLJE.pdf</t>
  </si>
  <si>
    <t>https://storage.googleapis.com/deytha-prod/paymentBills/nbIPmuPbmAbwfxDB5tTVWlu2xAR6D4OPbRXssohx.pdf</t>
  </si>
  <si>
    <t>https://storage.googleapis.com/deytha-prod/supplierBills/FtWJooKAGYl77rd9sVGJw3OSCcjm7qiOoj0BR7Fi.pdf</t>
  </si>
  <si>
    <t>2025-08-02 05:53:34</t>
  </si>
  <si>
    <t>2025-08-04 00:53:09</t>
  </si>
  <si>
    <t>ALQUILER DE ANDAMIOS DEL 29 JULIO AL 10 AGOSTO 2025 SEGUNDO DESPACHO</t>
  </si>
  <si>
    <t>2025-08-07 19:15:00</t>
  </si>
  <si>
    <t>https://storage.googleapis.com/deytha-prod/payments/lc1etwwNsF9odoIVeGzp4hKYkW9z3N7micPFlO2v.pdf</t>
  </si>
  <si>
    <t>https://storage.googleapis.com/deytha-prod/paymentBills/TBD1E3mBwXSh009sCiQrmudGzlb96yKLVnIzwVud.png</t>
  </si>
  <si>
    <t>https://storage.googleapis.com/deytha-prod/supplierBills/0uHiXgkFa2XxGtcKEknnL0ujiXGKoOeHkPQPWxmj.pdf</t>
  </si>
  <si>
    <t>2025-08-01 18:41:56</t>
  </si>
  <si>
    <t>2025-08-02 00:32:48</t>
  </si>
  <si>
    <t>2025-08-02 13:41:17</t>
  </si>
  <si>
    <t>EPP ZAPATO POLO</t>
  </si>
  <si>
    <t>2025-08-08 18:36:00</t>
  </si>
  <si>
    <t>https://storage.googleapis.com/deytha-prod/payments/3jWixtF9i8tlDWxou0fFZStWkeUgKrrGPyUyjF0o.pdf</t>
  </si>
  <si>
    <t>https://storage.googleapis.com/deytha-prod/paymentBills/EbOWK6jimp2DtWOYn1bQM37SYUmvUREfKBr1m4lK.png</t>
  </si>
  <si>
    <t>https://storage.googleapis.com/deytha-prod/supplierBills/Mm89EQukViiyMWvf7KyMNbJD97aNQ7b7GL7x6b87.pdf</t>
  </si>
  <si>
    <t>2025-08-01 18:52:31</t>
  </si>
  <si>
    <t>2025-08-02 13:52:18</t>
  </si>
  <si>
    <t>CEMENTO PUNZOLANICO</t>
  </si>
  <si>
    <t>2025-08-13 17:42:00</t>
  </si>
  <si>
    <t>https://storage.googleapis.com/deytha-prod/payments/gV61XNVVqmq4q773A4XwRPaO3cqrhb7KlOvwKs54.pdf</t>
  </si>
  <si>
    <t>https://storage.googleapis.com/deytha-prod/paymentBills/y6S7LR5jkIS7Oa3SF2feXRwHdRcVKJf4CKmnnhnU.png</t>
  </si>
  <si>
    <t>https://storage.googleapis.com/deytha-prod/supplierBills/mATidk4iokwqfTYkGOchBT146nH6VxVqNYphwYep.pdf</t>
  </si>
  <si>
    <t>2025-08-01 20:24:46</t>
  </si>
  <si>
    <t>2025-08-02 15:24:30</t>
  </si>
  <si>
    <t>RECARGA DE BIDON 20 LITROS AGUA TULUM</t>
  </si>
  <si>
    <t>2025-08-08 18:39:00</t>
  </si>
  <si>
    <t>https://storage.googleapis.com/deytha-prod/payments/jZQEghPqzFpFdiK5Eqz9XyrJwgNLZJhTpnNqvyzD.pdf</t>
  </si>
  <si>
    <t>https://storage.googleapis.com/deytha-prod/paymentBills/79ZV85Efvdepph0xJuJHwl6ms3tU6eQdk00eHMVu.png</t>
  </si>
  <si>
    <t>https://storage.googleapis.com/deytha-prod/supplierBills/uECEtz6HIUYPLxoCiTeQniSeTFp4S9fZmPMc32s1.pdf</t>
  </si>
  <si>
    <t>2025-08-01 17:17:17</t>
  </si>
  <si>
    <t>2025-08-02 00:27:47</t>
  </si>
  <si>
    <t>2025-08-02 12:17:02</t>
  </si>
  <si>
    <t>2025-08-05 21:01:00</t>
  </si>
  <si>
    <t>https://storage.googleapis.com/deytha-prod/payments/9dz2QwO0QySg6tY9jhpFjS2i8nomDsUBJs3dLPia.pdf</t>
  </si>
  <si>
    <t>https://storage.googleapis.com/deytha-prod/paymentBills/qjMawPKMigTUnC2TufsI4BjC8wpHGnyVE7XfHfiQ.png</t>
  </si>
  <si>
    <t>https://storage.googleapis.com/deytha-prod/supplierBills/K5BMRJEGSk2vzFt4gaFcfvV7V8UANdYOYOMLHaNd.pdf</t>
  </si>
  <si>
    <t>2025-08-01 19:06:30</t>
  </si>
  <si>
    <t>2025-08-02 14:06:14</t>
  </si>
  <si>
    <t>ALQUILER HAB - WILMER DIAZ - AGOSTO</t>
  </si>
  <si>
    <t>2025-08-07 18:55:00</t>
  </si>
  <si>
    <t>https://storage.googleapis.com/deytha-prod/payments/b39DBeLmvNnsdotG2IC2cEBDx4NJTJIhomFM8bQl.pdf</t>
  </si>
  <si>
    <t>https://storage.googleapis.com/deytha-prod/paymentBills/rbkWCsDpitPoamOH96KZLhJhAhamPWFVKAQRw6mw.png</t>
  </si>
  <si>
    <t>2025-08-01 19:09:53</t>
  </si>
  <si>
    <t>2025-08-02 14:09:45</t>
  </si>
  <si>
    <t xml:space="preserve">Sika Cem Acelerante PE x 20 L </t>
  </si>
  <si>
    <t>2025-08-05 20:55:00</t>
  </si>
  <si>
    <t>https://storage.googleapis.com/deytha-prod/payments/CLzTwMStpR6kK4Vm0isJO2BErBPolWjmslhbhlsj.pdf</t>
  </si>
  <si>
    <t>https://storage.googleapis.com/deytha-prod/paymentBills/PkVq3oaW6J0SyFuF9eAtcabzPK13hZV4eLMaPZYK.png</t>
  </si>
  <si>
    <t>https://storage.googleapis.com/deytha-prod/supplierBills/4fFG4vEvK7dT16u4bxktu8PhSdYqHYDfGgnbk01q.pdf</t>
  </si>
  <si>
    <t>2025-08-01 19:30:40</t>
  </si>
  <si>
    <t>2025-08-02 14:30:38</t>
  </si>
  <si>
    <t xml:space="preserve">ALQUILER DE CUBO PLUS / CON TUBO DE GOMA * 02 DIAS </t>
  </si>
  <si>
    <t>2025-08-04 12:26:00</t>
  </si>
  <si>
    <t>https://storage.googleapis.com/deytha-prod/payments/aCldpfl2EoBlXyFvshZE5X5D2hJJqrLhmB3a0DDQ.pdf</t>
  </si>
  <si>
    <t>https://storage.googleapis.com/deytha-prod/paymentBills/4cc1c5KcGsl09niwlDPjPo7Os9kbUN1Wir2IVrfX.png</t>
  </si>
  <si>
    <t>https://storage.googleapis.com/deytha-prod/supplierBills/tez3iyD6z1C3WOEKEfefo90vyuEEJJu6ymAqEOWm.pdf</t>
  </si>
  <si>
    <t>2025-08-01 14:36:00</t>
  </si>
  <si>
    <t xml:space="preserve">Pago RQF-D:329(1 / 2) | ALQUILER DE HERRAMIENTAS PARA AREA DE LINIEROS </t>
  </si>
  <si>
    <t>2025-08-08 17:20:00</t>
  </si>
  <si>
    <t>https://storage.googleapis.com/deytha-prod/paymentBills/COpbe7QoTPAstgVzYZkMCEbyvon2ATiDbp8R2MHo.pdf</t>
  </si>
  <si>
    <t>https://storage.googleapis.com/deytha-prod/supplierBills/X80ujiSmVFJJ0Dn1S9XrYvWlCAmXeCmwPzBzJNdC.pdf</t>
  </si>
  <si>
    <t>2025-08-01 19:39:30</t>
  </si>
  <si>
    <t>2025-08-02 14:39:23</t>
  </si>
  <si>
    <t>MATERIALES CABLES PARA AREA DE TELECOMUNICACIONES</t>
  </si>
  <si>
    <t>2025-08-07 18:24:00</t>
  </si>
  <si>
    <t>https://storage.googleapis.com/deytha-prod/payments/QgMDLucSh5SLgqfkwW1dharBxi0jOsSf0cME1rD3.pdf</t>
  </si>
  <si>
    <t>https://storage.googleapis.com/deytha-prod/paymentBills/mCZNJWVnQyNOcM47o227mWWiGkoeiNdn7ojx3xZB.pdf</t>
  </si>
  <si>
    <t>https://storage.googleapis.com/deytha-prod/supplierBills/spHAFNkP2ehxrquzQVAbswpYw8ri3emfvlrXWY1a.pdf</t>
  </si>
  <si>
    <t>2025-08-01 15:53:04</t>
  </si>
  <si>
    <t>2025-08-01 11:17:27</t>
  </si>
  <si>
    <t>2025-08-01 11:52:54</t>
  </si>
  <si>
    <t>PAGO POR EMO DE FLORES GONZALES ADRIEL</t>
  </si>
  <si>
    <t>2025-08-01 18:07:00</t>
  </si>
  <si>
    <t>https://storage.googleapis.com/deytha-prod/payments/XTy9oYd1mNCLYed6NBJ7qBszlenKkjroTzbN2D42.xlsx</t>
  </si>
  <si>
    <t>https://storage.googleapis.com/deytha-prod/paymentBills/gf1xG42ZuB4Wx4rNlrNqCr9ABus1DkhGUxHYcCr5.png</t>
  </si>
  <si>
    <t>https://storage.googleapis.com/deytha-prod/supplierBills/SNNguqtG7IMZVJvBavGpp5leg6Wu1W5dwfRrtGOQ.pdf</t>
  </si>
  <si>
    <t>2025-07-31 01:00:24</t>
  </si>
  <si>
    <t>2025-08-01 08:41:10</t>
  </si>
  <si>
    <t>2025-08-01 10:59:53</t>
  </si>
  <si>
    <t xml:space="preserve">COMBUSTIBLE PARA OBRA - DEL 14 AL 20 JULIO </t>
  </si>
  <si>
    <t>2025-08-01 10:59:00</t>
  </si>
  <si>
    <t>https://storage.googleapis.com/deytha-prod/payments/7ULOy2XgtYFcmiWfi2lCjkYFD0XNrvoMZUiOgEA6.pdf</t>
  </si>
  <si>
    <t>https://storage.googleapis.com/deytha-prod/paymentBills/3YE4SSoMsyDxQWiAo5arc6FUKSBCq73gUDkhRJjM.pdf</t>
  </si>
  <si>
    <t>https://storage.googleapis.com/deytha-prod/supplierBills/zpLumEEnEBWTCIED60Z6ggsV9ruQqpqlTNkDDwG7.pdf</t>
  </si>
  <si>
    <t>2025-07-31 01:01:25</t>
  </si>
  <si>
    <t>2025-08-01 11:01:12</t>
  </si>
  <si>
    <t>CAJA CHICA</t>
  </si>
  <si>
    <t>2025-08-22 19:27:00</t>
  </si>
  <si>
    <t>https://storage.googleapis.com/deytha-prod/paymentBills/FamOaaLxN3iepXyBH0JRPggjh2ku3pbiuBpA8uIZ.png</t>
  </si>
  <si>
    <t>SHERWIN-WILLIAMS PERU S.R.L.</t>
  </si>
  <si>
    <t xml:space="preserve"> 191-1142524-1-55 </t>
  </si>
  <si>
    <t>2025-07-31 01:41:24</t>
  </si>
  <si>
    <t>2025-08-01 11:41:08</t>
  </si>
  <si>
    <t>MTTO PREVENTIVO Y CAMBIO EMBRAGUE PARA MEZCLADORA DE CONCRETO</t>
  </si>
  <si>
    <t>2025-08-01 18:47:00</t>
  </si>
  <si>
    <t>https://storage.googleapis.com/deytha-prod/payments/O5ve9hEQ9nViWazAl8l52KuDqOrgUnfkrqtMhPUv.pdf</t>
  </si>
  <si>
    <t>https://storage.googleapis.com/deytha-prod/paymentBills/zK9BXW8Dm5Gj8HobpRcoyA3JOJ5vrMtYTWAocpng.png</t>
  </si>
  <si>
    <t>https://storage.googleapis.com/deytha-prod/supplierBills/QILoH7GT6gm5hdkSdV9ib6szMelusMa0B2m0XSRF.pdf</t>
  </si>
  <si>
    <t>2025-07-31 19:51:41</t>
  </si>
  <si>
    <t>2025-08-01 14:51:06</t>
  </si>
  <si>
    <t xml:space="preserve">SOLDADURA EXOTERMICA 
MOLDE GRAFITO </t>
  </si>
  <si>
    <t>2025-08-05 21:05:00</t>
  </si>
  <si>
    <t>https://storage.googleapis.com/deytha-prod/payments/QtwuqH5AiIoBI4Wmxi6H79sMYlGXb2aWw5IjNU5g.pdf</t>
  </si>
  <si>
    <t>https://storage.googleapis.com/deytha-prod/paymentBills/3RPj9qNJtYHCnug8U70AbiujthaJ3yXm93zYW8xd.png</t>
  </si>
  <si>
    <t>https://storage.googleapis.com/deytha-prod/supplierBills/uX1KlI10UZI3Wt0MYWtVnA5tjFPqBdnjpPfzE9oE.pdf</t>
  </si>
  <si>
    <t>2025-07-31 22:00:45</t>
  </si>
  <si>
    <t>2025-07-31 17:11:40</t>
  </si>
  <si>
    <t>2025-07-31 18:00:38</t>
  </si>
  <si>
    <t>PAGO POR EMO DE GARCIA LIRA HUGO ALBERTO Y MANTILLA VASQUEZ CHRISTIAN HAMBERLI</t>
  </si>
  <si>
    <t>2025-07-31 19:11:00</t>
  </si>
  <si>
    <t>https://storage.googleapis.com/deytha-prod/payments/nIQmeX2kEfLYERQqOWkBK5WRHMcb4lABMYc6AB0W.png</t>
  </si>
  <si>
    <t>https://storage.googleapis.com/deytha-prod/paymentBills/UALrMGE3pOsOXPdp1QuRqztrPCLGf8DHenkqMNvb.png</t>
  </si>
  <si>
    <t>https://storage.googleapis.com/deytha-prod/supplierBills/qXRN7RqjfUGEVZ4CTlQMsPKqDNbqFKLvyaRATykC.pdf</t>
  </si>
  <si>
    <t>2025-07-31 15:10:22</t>
  </si>
  <si>
    <t>2025-07-31 13:09:16</t>
  </si>
  <si>
    <t>2025-08-01 11:10:21</t>
  </si>
  <si>
    <t>SERVICIOS INTEGRALES DE METROLOGIA INSTRUMENTACION Y CALIBRACION S.A.C.</t>
  </si>
  <si>
    <t>191-03742847-0-52</t>
  </si>
  <si>
    <t>DIAGNÓSTICO DE ESTACIÓN TOTAL LEICA</t>
  </si>
  <si>
    <t>2025-09-23 16:55:00</t>
  </si>
  <si>
    <t>https://storage.googleapis.com/deytha-prod/payments/qrgetqOF9QJ97KMt8FJn5ywS7YGlYMhB25XcTtpa.pdf</t>
  </si>
  <si>
    <t>https://storage.googleapis.com/deytha-prod/paymentBills/i0lmD4M6Vsy5IzsF18vbBgff6myYKJcu5CRjaDsg.png</t>
  </si>
  <si>
    <t>https://storage.googleapis.com/deytha-prod/supplierBills/RJvddRxPI4NGsaJi3nRXLqgXek2oKsRJ0m7giUZJ.pdf</t>
  </si>
  <si>
    <t>2025-07-31 11:42:54</t>
  </si>
  <si>
    <t>2025-07-31 15:35:43</t>
  </si>
  <si>
    <t>2025-08-01 10:35:35</t>
  </si>
  <si>
    <t>ALIMENTACION MOQUEGUA SEMANA 11</t>
  </si>
  <si>
    <t>2025-07-31 20:44:00</t>
  </si>
  <si>
    <t>https://storage.googleapis.com/deytha-prod/payments/LvYJVeyuzWUKpvEITlADEI0CZnwyEvzJFj6fOJtM.pdf</t>
  </si>
  <si>
    <t>https://storage.googleapis.com/deytha-prod/paymentBills/ASGdcZ8rPX5mmhrlAS2Iu7GACfCvALcLBgvMoJmw.png</t>
  </si>
  <si>
    <t>https://storage.googleapis.com/deytha-prod/supplierBills/nYD4dEND7rsFOXEL4XVjNEo3U3PAfODffdj03Vxz.png</t>
  </si>
  <si>
    <t>2025-07-30 22:12:03</t>
  </si>
  <si>
    <t>2025-07-30 17:23:29</t>
  </si>
  <si>
    <t>2025-07-31 17:11:39</t>
  </si>
  <si>
    <t>MATERIAALES ELECTRICAS PARA AREA DE TELECOMUNICACIONES</t>
  </si>
  <si>
    <t>2025-08-05 21:11:00</t>
  </si>
  <si>
    <t>https://storage.googleapis.com/deytha-prod/payments/uwau14Nxd3oEEreRhDt99127kHuC5mPj7TJrPUpd.pdf</t>
  </si>
  <si>
    <t>https://storage.googleapis.com/deytha-prod/paymentBills/cwWKL24jFi9bW55Be1FvIijB3sWEXERIg7cTKlL9.png</t>
  </si>
  <si>
    <t>https://storage.googleapis.com/deytha-prod/supplierBills/xh7Phv5UUShZ7vMc1vJhX7dMTGbPV6CMN1dEfzEZ.pdf</t>
  </si>
  <si>
    <t>2025-07-25 17:17:19</t>
  </si>
  <si>
    <t>2025-07-30 16:54:57</t>
  </si>
  <si>
    <t>2025-07-26 12:16:37</t>
  </si>
  <si>
    <t xml:space="preserve">COT - BLOQUES RETRACTIL AREA SSOMA </t>
  </si>
  <si>
    <t>2025-08-12 17:17:00</t>
  </si>
  <si>
    <t>https://storage.googleapis.com/deytha-prod/payments/h2Mo7w19esEkd37KpLr7EnRqZE2VuExnjzj2Meeg.pdf</t>
  </si>
  <si>
    <t>https://storage.googleapis.com/deytha-prod/paymentBills/QFysF739KvUkthlcvWFvc3p5RlorpTvgHrfKNk48.png</t>
  </si>
  <si>
    <t>https://storage.googleapis.com/deytha-prod/supplierBills/laEaIkaE0k5mXo67C1m28u3QCkZPWbfO2mxc0Lj2.pdf</t>
  </si>
  <si>
    <t>2025-07-25 18:31:19</t>
  </si>
  <si>
    <t>2025-07-27 13:31:15</t>
  </si>
  <si>
    <t>DRIZA 
MENEKES 
POLEA 
LINEA CON ARNES
MOSQUETONES
GRILLETES</t>
  </si>
  <si>
    <t>2025-08-07 19:33:00</t>
  </si>
  <si>
    <t>https://storage.googleapis.com/deytha-prod/payments/IziD1y3yvgutIEkleByUDr87FbWqHvE65niW5rJC.pdf</t>
  </si>
  <si>
    <t>https://storage.googleapis.com/deytha-prod/paymentBills/jwRPTWxuz86G4VlJpaMLLNIcvbXBLc1Rm166JpGX.png</t>
  </si>
  <si>
    <t>https://storage.googleapis.com/deytha-prod/supplierBills/JigHsGxb23zRZH48h3If0Bqnsf22EDTh7KdozNn1.pdf</t>
  </si>
  <si>
    <t>2025-07-25 21:09:02</t>
  </si>
  <si>
    <t>2025-07-26 16:08:39</t>
  </si>
  <si>
    <t>PINTURA SHERWIN WILLIAMS - LIMA</t>
  </si>
  <si>
    <t>2025-07-31 16:40:00</t>
  </si>
  <si>
    <t>https://storage.googleapis.com/deytha-prod/payments/7hhwbCwIVIWMm0Msv1iuCSeDs4TFwbtoOlaSa8rO.pdf</t>
  </si>
  <si>
    <t>https://storage.googleapis.com/deytha-prod/paymentBills/blWL9RfDYibE3P3w6Ih4vvjToscH19zkWrUByEuw.png</t>
  </si>
  <si>
    <t>https://storage.googleapis.com/deytha-prod/supplierBills/LKbWWfFo8m1TvnhcPJ8XWwTgmmEtE1OPdG6UJQM2.pdf</t>
  </si>
  <si>
    <t>2025-07-30 16:29:36</t>
  </si>
  <si>
    <t>2025-07-31 11:29:26</t>
  </si>
  <si>
    <t>UTILES DE ESCRITORIO</t>
  </si>
  <si>
    <t>2025-08-04 11:53:00</t>
  </si>
  <si>
    <t>https://storage.googleapis.com/deytha-prod/payments/KnzM6g9PAwCSZVsQqIsBerorYWE1qkE2wqfPVhGc.jpg</t>
  </si>
  <si>
    <t>https://storage.googleapis.com/deytha-prod/paymentBills/crGTXY0QORgXskKMcUA478Qm9zKMDpGv7QXGZOEN.png</t>
  </si>
  <si>
    <t>https://storage.googleapis.com/deytha-prod/supplierBills/kHfe6hAC269nCpCp3apQLJvKI9YwB8AF29LH6et5.pdf</t>
  </si>
  <si>
    <t>2025-07-30 20:53:09</t>
  </si>
  <si>
    <t>2025-07-30 16:02:07</t>
  </si>
  <si>
    <t>2025-07-30 16:53:03</t>
  </si>
  <si>
    <t xml:space="preserve">PAGO POR EMO DE MANCHEGO PEÑALOZA JAIME WILFREDO Y RIVERA CHAVEZ RANDU ALEXANDER
</t>
  </si>
  <si>
    <t>2025-07-30 16:36:00</t>
  </si>
  <si>
    <t>https://storage.googleapis.com/deytha-prod/payments/OSmMzvQqJKk46KyNTkHNkXhd7ZfPHmI4gxVWOwpr.pdf</t>
  </si>
  <si>
    <t>https://storage.googleapis.com/deytha-prod/paymentBills/oFEndZZ5ERSgaqI7Ux69Dbn40a1z0wIG3jNM1Eyq.png</t>
  </si>
  <si>
    <t>https://storage.googleapis.com/deytha-prod/supplierBills/WuXm8HdA2MlJEGPu5GYiVKrSivR1Cxb2fhIiQZib.pdf</t>
  </si>
  <si>
    <t>2025-07-30 20:12:17</t>
  </si>
  <si>
    <t>2025-07-30 15:13:59</t>
  </si>
  <si>
    <t>2025-07-30 16:12:01</t>
  </si>
  <si>
    <t>MATERIALES VARIOS</t>
  </si>
  <si>
    <t>2025-07-30 15:22:00</t>
  </si>
  <si>
    <t>https://storage.googleapis.com/deytha-prod/paymentBills/ekpV9qinZvHHG1QHFgTA2kGSmZuiaCkCNcfyjO7o.png</t>
  </si>
  <si>
    <t>2025-07-30 16:52:01</t>
  </si>
  <si>
    <t>JHONI MARTIN RAMIREZ RIQUELME</t>
  </si>
  <si>
    <t>2025-07-30 11:53:14</t>
  </si>
  <si>
    <t>2025-07-31 11:51:50</t>
  </si>
  <si>
    <t>MANTENIMIENTO CORRECTIVO AL OMNIBUS T9F-962</t>
  </si>
  <si>
    <t>2025-07-30 15:10:00</t>
  </si>
  <si>
    <t>https://storage.googleapis.com/deytha-prod/payments/xJpvakGNUXPwroCIsV7EulpdQIAbA4DLzdb354rT.pdf</t>
  </si>
  <si>
    <t>https://storage.googleapis.com/deytha-prod/paymentBills/NgyQKu17w6ablKcdd7nbOAo8ZqU05Cfq4L2cgTbe.pdf</t>
  </si>
  <si>
    <t>https://storage.googleapis.com/deytha-prod/supplierBills/NUzsslnWuTWiUy0VreG2NwQDUcFVJMl5eEIEQ87w.pdf</t>
  </si>
  <si>
    <t>2025-07-25 19:12:37</t>
  </si>
  <si>
    <t>2025-07-25 14:12:37</t>
  </si>
  <si>
    <t>2025-05-07 14:12:37</t>
  </si>
  <si>
    <t>COMPRA DE MATERIALES </t>
  </si>
  <si>
    <t>2025-08-11 10:57:28</t>
  </si>
  <si>
    <t>https://storage.googleapis.com/deytha-prod/payments/CVr78sjqI3qSZPsvArGWyO2oxiud6QPKIDh9NnsS.pdf</t>
  </si>
  <si>
    <t>https://storage.googleapis.com/deytha-prod/payments/pn0jhKDwwJdSBDP94Ixrntd7te26A5aFOVYBUZ3V.pdf</t>
  </si>
  <si>
    <t>2025-07-25 19:08:07</t>
  </si>
  <si>
    <t>2025-07-25 14:08:07</t>
  </si>
  <si>
    <t>2025-06-18 14:08:07</t>
  </si>
  <si>
    <t>COMPRA DE UTILES DE ESCRITORIO </t>
  </si>
  <si>
    <t>2025-08-11 10:57:25</t>
  </si>
  <si>
    <t>https://storage.googleapis.com/deytha-prod/payments/hAIa5Or8zLsz0dk6jYaQ1QzfUyMEZ2UXCZxCTeVP.pdf</t>
  </si>
  <si>
    <t>https://storage.googleapis.com/deytha-prod/payments/orW2Ew8qZCvk2SDZIAFUx1xUj4tlss2ChmsoiIxg.pdf</t>
  </si>
  <si>
    <t>2025-07-25 19:00:01</t>
  </si>
  <si>
    <t>2025-07-25 14:00:01</t>
  </si>
  <si>
    <t>2025-06-23 14:00:01</t>
  </si>
  <si>
    <t>PAGO DE TAXI</t>
  </si>
  <si>
    <t>2025-08-11 10:57:21</t>
  </si>
  <si>
    <t>https://storage.googleapis.com/deytha-prod/payments/34mv8JzZNwoECSiuHqjHdZxhDqGrbwceKXcu2rOg.pdf</t>
  </si>
  <si>
    <t>https://storage.googleapis.com/deytha-prod/payments/2B35ljGj33EMMjykSQKMwT44y6KQWP5crCgRg1ne.pdf</t>
  </si>
  <si>
    <t>2025-07-25 18:50:39</t>
  </si>
  <si>
    <t>2025-07-25 13:50:39</t>
  </si>
  <si>
    <t>2025-06-26 13:50:39</t>
  </si>
  <si>
    <t>PAGO DE SERVICIO DE ENCOMIENDA PAGADO EN EFECTIVO </t>
  </si>
  <si>
    <t>2025-08-22 16:53:26</t>
  </si>
  <si>
    <t>https://storage.googleapis.com/deytha-prod/payments/FmDYoGG4IJtZQHPDpZcYfk6Vc7h5s0q3HclbXLaB.pdf</t>
  </si>
  <si>
    <t>https://storage.googleapis.com/deytha-prod/payments/haEL6EnyjrZb5akPhhWwS7PqEiKZeEXWFcO01041.pdf</t>
  </si>
  <si>
    <t>2025-07-25 18:36:10</t>
  </si>
  <si>
    <t>2025-07-25 13:36:10</t>
  </si>
  <si>
    <t>2025-06-28 13:36:10</t>
  </si>
  <si>
    <t>PAGO DE SERVICIO DE ENCOMIENDA </t>
  </si>
  <si>
    <t>2025-08-11 10:58:03</t>
  </si>
  <si>
    <t>https://storage.googleapis.com/deytha-prod/payments/dyCmvlSG8rJvZsZzb0sGL89GEQ3Cog91Zse7FvoI.pdf</t>
  </si>
  <si>
    <t>https://storage.googleapis.com/deytha-prod/payments/owLIRRjJy73JvNSekI8jeJ7QqVFnmLsKEQNQfuGs.pdf</t>
  </si>
  <si>
    <t>2025-07-25 18:36:07</t>
  </si>
  <si>
    <t>2025-07-25 13:36:07</t>
  </si>
  <si>
    <t>2025-06-23 13:36:07</t>
  </si>
  <si>
    <t>2025-08-11 10:58:05</t>
  </si>
  <si>
    <t>https://storage.googleapis.com/deytha-prod/payments/zZQ8mI3Rbmx0oKUuCHiuyzC74ArWc9anX36l86Hd.pdf</t>
  </si>
  <si>
    <t>https://storage.googleapis.com/deytha-prod/payments/UNLHuwaJ1EHuwtCAUm4V9INSnVeaxksuYR4hV8q1.pdf</t>
  </si>
  <si>
    <t>2025-07-25 18:26:33</t>
  </si>
  <si>
    <t>2025-07-25 13:26:33</t>
  </si>
  <si>
    <t>2025-06-26 13:26:33</t>
  </si>
  <si>
    <t>2025-08-11 10:58:07</t>
  </si>
  <si>
    <t>https://storage.googleapis.com/deytha-prod/payments/ToMmCQzftnX30IwwAvd8bfyPSLeaksiEeOY1bPlt.pdf</t>
  </si>
  <si>
    <t>https://storage.googleapis.com/deytha-prod/payments/UzJFjVW4rGfLVMA4dIPquAmYh65CatSEvgzCJtZC.pdf</t>
  </si>
  <si>
    <t>2025-07-25 13:34:36</t>
  </si>
  <si>
    <t>2025-07-25 08:34:36</t>
  </si>
  <si>
    <t>2025-06-25 08:34:36</t>
  </si>
  <si>
    <t>PAGO SERVICIO DE CARGA </t>
  </si>
  <si>
    <t>2025-08-22 16:53:29</t>
  </si>
  <si>
    <t>https://storage.googleapis.com/deytha-prod/payments/gXoyJVF0Y71jNXU7kMZVDQkH2gYKMUVP8UoKnc1J.pdf</t>
  </si>
  <si>
    <t>https://storage.googleapis.com/deytha-prod/payments/OywTreM5NHpvCoqVIGBuc6DvDvmspd3BqCI2tCfc.pdf</t>
  </si>
  <si>
    <t>2025-07-25 13:27:15</t>
  </si>
  <si>
    <t>2025-07-25 08:27:15</t>
  </si>
  <si>
    <t>2025-06-18 08:27:15</t>
  </si>
  <si>
    <t>2025-08-22 16:53:31</t>
  </si>
  <si>
    <t>https://storage.googleapis.com/deytha-prod/payments/dSFfrpYADLJ7ShIs0L0drFmCFDoULbELCA2jzINb.pdf</t>
  </si>
  <si>
    <t>https://storage.googleapis.com/deytha-prod/payments/iwIaKXAxxJHFTY3s5myX02haukKosrdwrxBsBNo5.pdf</t>
  </si>
  <si>
    <t>2025-07-25 13:18:07</t>
  </si>
  <si>
    <t>2025-07-25 08:18:07</t>
  </si>
  <si>
    <t>2025-06-12 08:18:07</t>
  </si>
  <si>
    <t>COMPRA DE CONSUMIBLE PARA EL DIA DEL PADRE </t>
  </si>
  <si>
    <t>2025-08-22 16:53:34</t>
  </si>
  <si>
    <t>https://storage.googleapis.com/deytha-prod/payments/QqsN7z0UBCWxSzXCMAEyTcygesfSo5mtohC2KQac.pdf</t>
  </si>
  <si>
    <t>https://storage.googleapis.com/deytha-prod/payments/7fq3RJvCJaOfcU6FvqQ7zAw6rIUgmyrVtxVfYA7p.pdf</t>
  </si>
  <si>
    <t>2025-07-24 23:11:45</t>
  </si>
  <si>
    <t>2025-07-24 18:11:45</t>
  </si>
  <si>
    <t>2025-06-25 18:11:45</t>
  </si>
  <si>
    <t>COMPRA DE COMBUSTIBLE PARA GENERADORES EN OBRA 
                              </t>
  </si>
  <si>
    <t>2025-08-11 10:58:17</t>
  </si>
  <si>
    <t>https://storage.googleapis.com/deytha-prod/payments/VTNV7205q74HdfKTIALfr2cf6OhZ9hUr9WtZSRnx.pdf</t>
  </si>
  <si>
    <t>https://storage.googleapis.com/deytha-prod/payments/dc0Ecwc7vONMB0xXxuRdnnE0Yz7POD0xHZPFPLFt.pdf</t>
  </si>
  <si>
    <t>2025-07-24 23:11:43</t>
  </si>
  <si>
    <t>2025-07-24 18:11:43</t>
  </si>
  <si>
    <t>2025-06-06 18:11:43</t>
  </si>
  <si>
    <t xml:space="preserve">PAGO DE SERVICIO DE TRANSPORTE TO DO SE PAGO EN EFECTIVO YA Q EN FLORES NO PERMITEN YAPE NI TARJETA 
</t>
  </si>
  <si>
    <t>2025-08-22 16:53:37</t>
  </si>
  <si>
    <t>https://storage.googleapis.com/deytha-prod/payments/fzVz9zUh9oOwl7nSZKSwGdBjroJOgrj9AtaTOhvC.pdf</t>
  </si>
  <si>
    <t>https://storage.googleapis.com/deytha-prod/payments/x5AZ0EUs9iBgydlHXbIWjhJUctZ5HfOg3rHqjITf.pdf</t>
  </si>
  <si>
    <t>2025-07-24 22:53:34</t>
  </si>
  <si>
    <t>2025-07-24 18:03:26</t>
  </si>
  <si>
    <t>2025-07-25 17:53:23</t>
  </si>
  <si>
    <t xml:space="preserve">COMBUSTIBLE PARA UNIDADES DEL 07 AL 13  JULIO </t>
  </si>
  <si>
    <t>2025-07-25 12:36:00</t>
  </si>
  <si>
    <t>https://storage.googleapis.com/deytha-prod/payments/3IUiKKbVq2OaGrhGBGtlgbcJZeb9ttN17IqnbfCQ.pdf</t>
  </si>
  <si>
    <t>https://storage.googleapis.com/deytha-prod/paymentBills/931ufdp0BxXk9cq7bHhHVA1n1qPOQQq5OBvf6eBh.jpg</t>
  </si>
  <si>
    <t>https://storage.googleapis.com/deytha-prod/supplierBills/elvEIOqASLcXejn6YpXhvPUvl3sCrOYV921tsVDQ.pdf</t>
  </si>
  <si>
    <t>2025-07-24 22:57:31</t>
  </si>
  <si>
    <t>2025-07-24 17:57:31</t>
  </si>
  <si>
    <t>2025-06-10 17:57:31</t>
  </si>
  <si>
    <t>PAGO DE SERVICIO DE TRANSPORTE RECOJO DE ENCOMIENDA DE LIMA HACIA MOQUEGUA                              </t>
  </si>
  <si>
    <t>https://storage.googleapis.com/deytha-prod/payments/FO47ZBTFksCO8UJY7Y8CwkztFJTNgWPrQnqloA2e.pdf</t>
  </si>
  <si>
    <t>https://storage.googleapis.com/deytha-prod/payments/XtVVGuIAEaCpcFMVjMM6rMH3xI9PYzm6ZGcBdwiL.pdf</t>
  </si>
  <si>
    <t>2025-07-24 22:44:22</t>
  </si>
  <si>
    <t>2025-07-24 17:44:22</t>
  </si>
  <si>
    <t>2025-06-04 17:44:22</t>
  </si>
  <si>
    <t>PAGO DE TRANSPORTE DE MATERIAL AREQUIPA - MOQUEGUA </t>
  </si>
  <si>
    <t>2025-08-11 11:03:48</t>
  </si>
  <si>
    <t>https://storage.googleapis.com/deytha-prod/payments/spcn4Utw8ATtHGqshh3kDLoTm6LJFisma7m6yoMS.pdf</t>
  </si>
  <si>
    <t>https://storage.googleapis.com/deytha-prod/payments/q73bEByE1gnTGU9gSUwTvrucqXjnnXdqrJA5N2AV.pdf</t>
  </si>
  <si>
    <t>2025-07-24 22:44:19</t>
  </si>
  <si>
    <t>2025-07-24 17:44:19</t>
  </si>
  <si>
    <t>2025-06-25 17:44:19</t>
  </si>
  <si>
    <t>CONCESIONARIA PERUANA DE VIAS-COVINCA S.A.</t>
  </si>
  <si>
    <t>PAGO DE PEAJES Y PASAJES</t>
  </si>
  <si>
    <t>2025-08-11 11:03:45</t>
  </si>
  <si>
    <t>https://storage.googleapis.com/deytha-prod/payments/6i9NfxAC1J6Z107D7uktQj0givJslNJy3JjbArCb.pdf</t>
  </si>
  <si>
    <t>https://storage.googleapis.com/deytha-prod/payments/z0J3MQ1UcwwSMkLKK1DV7WQGtbfEx6cdPiaqXLch.pdf</t>
  </si>
  <si>
    <t>2025-07-24 22:43:06</t>
  </si>
  <si>
    <t>2025-07-24 17:43:06</t>
  </si>
  <si>
    <t>2025-05-23 17:43:06</t>
  </si>
  <si>
    <t>ROMERO SALGADO YESENIA VIOLETA</t>
  </si>
  <si>
    <t>PAGO DE TRASPORTE PERSONAL MOQUEGUA - CUAJONE</t>
  </si>
  <si>
    <t>2025-08-11 11:03:35</t>
  </si>
  <si>
    <t>https://storage.googleapis.com/deytha-prod/payments/WvWBl7M4FZAifhiGvjBkPOXhApSCvkrvETGrgL6Y.pdf</t>
  </si>
  <si>
    <t>https://storage.googleapis.com/deytha-prod/payments/XUTdgflXXfrfnPAKfYblpCYXt1C6U9FMgtj6GPul.pdf</t>
  </si>
  <si>
    <t>2025-07-23 00:40:12</t>
  </si>
  <si>
    <t>2025-07-24 17:29:03</t>
  </si>
  <si>
    <t>2025-07-24 10:38:30</t>
  </si>
  <si>
    <t xml:space="preserve">LOGOS Y STICKERS </t>
  </si>
  <si>
    <t>2025-07-31 20:24:00</t>
  </si>
  <si>
    <t>https://storage.googleapis.com/deytha-prod/payments/BRiV3vAGCfojyKyxqKYWYzOcLjbk4JDHk5h8sztA.pdf</t>
  </si>
  <si>
    <t>https://storage.googleapis.com/deytha-prod/paymentBills/LYtOvW78Y9LkQTL2fySUBGOqjLjwKf82NC53gaBv.png</t>
  </si>
  <si>
    <t>https://storage.googleapis.com/deytha-prod/supplierBills/WspkZRJ0CXKzhApw4uG1YyrVuJkylQKN30RlMnhl.pdf</t>
  </si>
  <si>
    <t>2025-07-23 01:30:51</t>
  </si>
  <si>
    <t>2025-07-24 11:30:37</t>
  </si>
  <si>
    <t>ARNES Y LINEA DE VIDA - PARA LINIERO4470</t>
  </si>
  <si>
    <t>2025-08-12 17:13:00</t>
  </si>
  <si>
    <t>https://storage.googleapis.com/deytha-prod/payments/byLOUEF3ErZZYmr0DXs8qxAwmZXqeN5VWJvU4qb3.pdf</t>
  </si>
  <si>
    <t>https://storage.googleapis.com/deytha-prod/paymentBills/dK0WbC8JoAvKanzP4bYCeInyV9QwlWv2kVU3ucj9.png</t>
  </si>
  <si>
    <t>https://storage.googleapis.com/deytha-prod/supplierBills/myvKnY7A6HecFovqCvYfFq14hVmf9g2J17A6dmaf.pdf</t>
  </si>
  <si>
    <t>2025-07-24 17:25:47</t>
  </si>
  <si>
    <t>2025-07-25 12:25:37</t>
  </si>
  <si>
    <t>FIERRO CORRUGADO 
CLAVOS
ALAMBRE</t>
  </si>
  <si>
    <t>2025-08-01 17:04:00</t>
  </si>
  <si>
    <t>https://storage.googleapis.com/deytha-prod/payments/u54OQ049Jnas7dn1hpCrs6UQJbm98I2uZUqR9E17.pdf</t>
  </si>
  <si>
    <t>https://storage.googleapis.com/deytha-prod/paymentBills/uNk8cT2lyWmS98XuT0Mbew1ALRUT50aNVAhxj9MT.png</t>
  </si>
  <si>
    <t>https://storage.googleapis.com/deytha-prod/supplierBills/ctva83ECnQy7KHAW7HM6QaS92qRlFbJKZb4kA4Ue.pdf</t>
  </si>
  <si>
    <t>2025-07-24 22:06:16</t>
  </si>
  <si>
    <t>2025-07-25 17:06:09</t>
  </si>
  <si>
    <t>ACERO CORRUGADO 
CLAVOS 
ALAMBRE</t>
  </si>
  <si>
    <t>2025-07-31 21:07:00</t>
  </si>
  <si>
    <t>https://storage.googleapis.com/deytha-prod/payments/a5stA873is2lG9sITmNu99QZjI7nAyG5Q8a17rTl.pdf</t>
  </si>
  <si>
    <t>https://storage.googleapis.com/deytha-prod/paymentBills/tO74l6KPYYqAj0CIbUhWNpophc3BhXR30XVrtoWK.png</t>
  </si>
  <si>
    <t>https://storage.googleapis.com/deytha-prod/supplierBills/ypqR2r78FBYm1G7pGmICPYm8JQqJVpyz9vo9DkTr.pdf</t>
  </si>
  <si>
    <t>2025-07-24 17:19:49</t>
  </si>
  <si>
    <t>2025-07-24 16:50:27</t>
  </si>
  <si>
    <t>2025-07-25 11:50:09</t>
  </si>
  <si>
    <t xml:space="preserve">Sikalastic-560 Blanco x 19 L </t>
  </si>
  <si>
    <t>2025-07-30 17:46:00</t>
  </si>
  <si>
    <t>https://storage.googleapis.com/deytha-prod/payments/vXDmEX4JEli83JVDPWLFHvLZFThyv2p6tBE7kgKX.pdf</t>
  </si>
  <si>
    <t>https://storage.googleapis.com/deytha-prod/paymentBills/4jFmQV4iryNpCQMLNKqKBLyEOlx4k5FIWYMBx1VP.png</t>
  </si>
  <si>
    <t>https://storage.googleapis.com/deytha-prod/supplierBills/m9YjbhN653EIvMOkmVkpFdCIqR4B70olghAICx4V.pdf</t>
  </si>
  <si>
    <t>2025-07-24 17:26:52</t>
  </si>
  <si>
    <t>2025-07-25 12:26:46</t>
  </si>
  <si>
    <t>LO JUSTO S.A.C.</t>
  </si>
  <si>
    <t>CALIBRACION DE MULTIMETRO BRUJULA Y MEDIDAR DE CABLE DE RED</t>
  </si>
  <si>
    <t>2025-07-31 20:31:00</t>
  </si>
  <si>
    <t>https://storage.googleapis.com/deytha-prod/payments/TKjT5Hk3jVu1EvdpkCUEYmuzJeQlqxcqGMRiy9a8.pdf</t>
  </si>
  <si>
    <t>https://storage.googleapis.com/deytha-prod/paymentBills/Z2aDSbC694fkFPQok9J0apTgB1TmtbvUqBCmxCfp.png</t>
  </si>
  <si>
    <t>https://storage.googleapis.com/deytha-prod/supplierBills/ux527bxMVz1NjBMhhvx69obM3yj3XgkoeYSpTduB.pdf</t>
  </si>
  <si>
    <t>2025-07-24 20:15:39</t>
  </si>
  <si>
    <t>2025-07-25 15:15:11</t>
  </si>
  <si>
    <t>ALQUILER PUNTUAL DE 
VIBRADORA Y 
APISONADOR</t>
  </si>
  <si>
    <t>2025-08-04 11:57:00</t>
  </si>
  <si>
    <t>https://storage.googleapis.com/deytha-prod/payments/C55FUV6T43uTJzkyki1MeOHnM0nZVTL9IqQMv496.pdf</t>
  </si>
  <si>
    <t>https://storage.googleapis.com/deytha-prod/paymentBills/5199nLEXcad580hlnxm2RZS6sNjkGzY69r1QrpVM.png</t>
  </si>
  <si>
    <t>https://storage.googleapis.com/deytha-prod/supplierBills/x6R3y8vqzVVdh7t1NLcEllfOhf4i5BRLxt3Bd57f.pdf</t>
  </si>
  <si>
    <t>2025-07-24 20:18:44</t>
  </si>
  <si>
    <t>2025-07-25 15:18:31</t>
  </si>
  <si>
    <t xml:space="preserve">MADERA PARA FRENTE A3 </t>
  </si>
  <si>
    <t>2025-07-31 21:11:00</t>
  </si>
  <si>
    <t>https://storage.googleapis.com/deytha-prod/payments/COnJyGVvnYHTMKC9Ev9acNGH6X5WjDiYyS1aGNsF.pdf</t>
  </si>
  <si>
    <t>https://storage.googleapis.com/deytha-prod/paymentBills/yTl9TbRMJUySTG9mJgXGxh1Tpat2LTAeCJH2kFMl.png</t>
  </si>
  <si>
    <t>https://storage.googleapis.com/deytha-prod/supplierBills/f2WiD9lSZ8XjdNMJK5sFo7BbobJPPqxcnNPtnZIo.pdf</t>
  </si>
  <si>
    <t>2025-07-24 22:03:35</t>
  </si>
  <si>
    <t>2025-07-25 17:03:15</t>
  </si>
  <si>
    <t>CLAUDIO MARCOS ANDERSON LEOCARLOS</t>
  </si>
  <si>
    <t xml:space="preserve">215-03484505-0-98 </t>
  </si>
  <si>
    <t>EPPS URGENTES EN OBRA</t>
  </si>
  <si>
    <t>https://storage.googleapis.com/deytha-prod/payments/RQN9ldzP67kLqs2mVk88pQ4bbsnu3bdT69QyhctW.pdf</t>
  </si>
  <si>
    <t>https://storage.googleapis.com/deytha-prod/paymentBills/LSuIcGwgmgtrwlJUNyaTv98V6lN3IllgUeCFPNOQ.jpg</t>
  </si>
  <si>
    <t>https://storage.googleapis.com/deytha-prod/supplierBills/oCgc3BjDl1Nh71VpM00Bh8YOVKkp3YzCamheqkRz.pdf</t>
  </si>
  <si>
    <t>2025-07-24 20:46:04</t>
  </si>
  <si>
    <t>2025-07-24 15:46:04</t>
  </si>
  <si>
    <t>2025-06-21 15:46:04</t>
  </si>
  <si>
    <t>REPUESTO PARA MOTOR DE A´PISONADOR </t>
  </si>
  <si>
    <t>2025-08-11 11:03:20</t>
  </si>
  <si>
    <t>https://storage.googleapis.com/deytha-prod/payments/PK6FvUSrjHecY7NwXJZzd3dKzvktPLerOcydruAv.pdf</t>
  </si>
  <si>
    <t>https://storage.googleapis.com/deytha-prod/payments/D1khy9DhISibdlpxYuxJAGDg37YRRlICHxQ9HRtQ.pdf</t>
  </si>
  <si>
    <t>2025-06-12 15:46:04</t>
  </si>
  <si>
    <t>PAGO TAXI</t>
  </si>
  <si>
    <t>2025-08-11 11:03:22</t>
  </si>
  <si>
    <t>https://storage.googleapis.com/deytha-prod/payments/LKkNW1ybFfDjqUyH2v71mH8nMD60eAO2GN5zB6QL.pdf</t>
  </si>
  <si>
    <t>https://storage.googleapis.com/deytha-prod/payments/EwRorbJGZXjULwS2fXpO0DKzoskwlz3gHdyvJEZG.pdf</t>
  </si>
  <si>
    <t>2025-07-05 15:46:04</t>
  </si>
  <si>
    <t>PAGO DE TRANSPORTE DE MOVILIDAD DE TROMPO </t>
  </si>
  <si>
    <t>2025-08-11 11:03:29</t>
  </si>
  <si>
    <t>https://storage.googleapis.com/deytha-prod/payments/uuVpi4n82MihBIKCyeQNOW8rzX6eMkxWJne1mymK.pdf</t>
  </si>
  <si>
    <t>https://storage.googleapis.com/deytha-prod/payments/yaWlQSid8C5OAO9hy0WUn2HNKE56m1dNKZqDybO5.pdf</t>
  </si>
  <si>
    <t>2025-06-17 15:46:04</t>
  </si>
  <si>
    <t>ALMUERZO DEL DIA 17-06-25 </t>
  </si>
  <si>
    <t>2025-08-11 11:03:32</t>
  </si>
  <si>
    <t>https://storage.googleapis.com/deytha-prod/payments/m22UnZlKUbFBGlkUFnOMoUi00LWZyWTLhj6KBx5Y.pdf</t>
  </si>
  <si>
    <t>https://storage.googleapis.com/deytha-prod/payments/sGTcebUf7SWiyjDc2TYOJQhfsaFVxW5bL7FemqIf.pdf</t>
  </si>
  <si>
    <t>2025-06-10 15:46:04</t>
  </si>
  <si>
    <t xml:space="preserve">PAGO TAXI  EN LA CUIDAD DE ILO 
</t>
  </si>
  <si>
    <t>https://storage.googleapis.com/deytha-prod/payments/C0MRPhDgcWI4pTOrzw29Bdr6462n0EF3OolWhKnG.pdf</t>
  </si>
  <si>
    <t>https://storage.googleapis.com/deytha-prod/payments/bDYcUVq3MuefaFczBWKz2yCNjwJLSyoeTYjpWGBA.pdf</t>
  </si>
  <si>
    <t>2025-07-24 20:46:03</t>
  </si>
  <si>
    <t>2025-07-24 15:46:03</t>
  </si>
  <si>
    <t xml:space="preserve">PAGO A PERSONAL DE APOYO PARA CARGUIO DE PUNTALES METALICOS 
</t>
  </si>
  <si>
    <t>2025-08-22 16:53:41</t>
  </si>
  <si>
    <t>https://storage.googleapis.com/deytha-prod/payments/zj8L7uglLb5I5z2HqEcuPvHnBQ3DnqGkTJxTc6xv.pdf</t>
  </si>
  <si>
    <t>https://storage.googleapis.com/deytha-prod/payments/EplbHUfpFnILVY9rpMR6XUFbsW4CU1t1Eo3o2n1C.pdf</t>
  </si>
  <si>
    <t>2025-07-24 20:46:02</t>
  </si>
  <si>
    <t>2025-07-24 15:46:02</t>
  </si>
  <si>
    <t>2025-05-16 15:46:02</t>
  </si>
  <si>
    <t>COMPRA DE ESTUCHA PARA FRENTE DE D2 </t>
  </si>
  <si>
    <t>2025-08-11 11:03:14</t>
  </si>
  <si>
    <t>https://storage.googleapis.com/deytha-prod/payments/6XgvUkvjwlyu2OtJlTRgJDdHZhnKU12FW30u2vga.pdf</t>
  </si>
  <si>
    <t>https://storage.googleapis.com/deytha-prod/payments/lATaX1qeNwYESJuieJeMlKdKqYexy64BGRsLE9Wk.pdf</t>
  </si>
  <si>
    <t>2025-07-24 16:29:45</t>
  </si>
  <si>
    <t>2025-07-24 11:29:45</t>
  </si>
  <si>
    <t>2025-07-15 11:29:45</t>
  </si>
  <si>
    <t>JULIO 2025-GRAT-PY028-RG</t>
  </si>
  <si>
    <t>2026-02-23 12:10:18</t>
  </si>
  <si>
    <t>2025-07-24 08:19:04</t>
  </si>
  <si>
    <t>2025-07-24 03:19:04</t>
  </si>
  <si>
    <t>2025-06-13 03:19:04</t>
  </si>
  <si>
    <t>COMPRA DE MATERIAL PARA OFICINA </t>
  </si>
  <si>
    <t>2025-08-23 08:25:00</t>
  </si>
  <si>
    <t>https://storage.googleapis.com/deytha-prod/payments/kEyZ2ZWcaFFmwUT1u5KIpadMUC7IKPtUG7tFOnSe.pdf</t>
  </si>
  <si>
    <t>https://storage.googleapis.com/deytha-prod/payments/b7ZBKi01oeVTnnDezyO8BoS57acXIOtE0KYuARqm.pdf</t>
  </si>
  <si>
    <t>2025-07-24 08:14:14</t>
  </si>
  <si>
    <t>2025-07-24 03:14:14</t>
  </si>
  <si>
    <t>2025-06-14 03:14:14</t>
  </si>
  <si>
    <t>ENCOMIENDAS A MOQUEGUA</t>
  </si>
  <si>
    <t>2025-08-23 08:06:23</t>
  </si>
  <si>
    <t>https://storage.googleapis.com/deytha-prod/payments/ulf2im0EhPzZ2bAvNi5t2XN4tg2yUORVRV4NtQpb.pdf</t>
  </si>
  <si>
    <t>https://storage.googleapis.com/deytha-prod/payments/wYRMyv009GCJGd37CMzcP9HdTHwAYxT2oNzLPXjx.pdf</t>
  </si>
  <si>
    <t>2025-07-24 08:04:16</t>
  </si>
  <si>
    <t>2025-07-24 03:04:16</t>
  </si>
  <si>
    <t>2025-06-16 03:04:16</t>
  </si>
  <si>
    <t xml:space="preserve">COMPRA DE MATERIAL
</t>
  </si>
  <si>
    <t>https://storage.googleapis.com/deytha-prod/payments/IQOjfxYaL73F2LBT377xCPmAK9YGNbSTRUXLTwKD.pdf</t>
  </si>
  <si>
    <t>https://storage.googleapis.com/deytha-prod/payments/C8CYkRlpOqLUS77c8kMFdWjkwtJYvY8miTeasn28.pdf</t>
  </si>
  <si>
    <t>2025-07-24 07:48:49</t>
  </si>
  <si>
    <t>2025-07-24 02:48:49</t>
  </si>
  <si>
    <t>2025-06-04 02:48:49</t>
  </si>
  <si>
    <t>2025-08-23 08:06:27</t>
  </si>
  <si>
    <t>https://storage.googleapis.com/deytha-prod/payments/nIHzUuHAbN2pmMXx4elubcBMs2Bend1IoWnzRGcj.pdf</t>
  </si>
  <si>
    <t>https://storage.googleapis.com/deytha-prod/payments/eXqRILbgMVkDnEwAxj8VinjIGqUeKRylqX1LWWog.pdf</t>
  </si>
  <si>
    <t>2025-07-24 07:35:29</t>
  </si>
  <si>
    <t>2025-07-24 02:35:29</t>
  </si>
  <si>
    <t>2025-06-11 02:35:29</t>
  </si>
  <si>
    <t>COMPRA DE MATERIAL</t>
  </si>
  <si>
    <t>2025-08-23 08:07:53</t>
  </si>
  <si>
    <t>https://storage.googleapis.com/deytha-prod/payments/EWnk2n1jXMRgn7QgLITOMfCiUhJWaR67L6gFFSKM.pdf</t>
  </si>
  <si>
    <t>https://storage.googleapis.com/deytha-prod/payments/Xgh2xrqqHYrhbsyjoYLDBGB59nnmDVdoLgH0nHn7.pdf</t>
  </si>
  <si>
    <t>2025-07-24 07:35:26</t>
  </si>
  <si>
    <t>2025-07-24 02:35:26</t>
  </si>
  <si>
    <t>2025-06-16 02:35:26</t>
  </si>
  <si>
    <t>PAGO DE LAVADO CAMIONETA Z7T-860</t>
  </si>
  <si>
    <t>2025-08-23 08:07:55</t>
  </si>
  <si>
    <t>https://storage.googleapis.com/deytha-prod/payments/JY7QSUvgdN5a4ZfjnstHhn2EmHlEFk7B5wyQfqLd.pdf</t>
  </si>
  <si>
    <t>https://storage.googleapis.com/deytha-prod/payments/2N0bWX2smjoYo8y8a4dRUcfBrcEIu3hYsxe4BWHo.pdf</t>
  </si>
  <si>
    <t>2025-07-24 07:32:36</t>
  </si>
  <si>
    <t>2025-07-24 02:32:36</t>
  </si>
  <si>
    <t>2025-06-06 02:32:36</t>
  </si>
  <si>
    <t>PAGO DE COMBUSTIBLE</t>
  </si>
  <si>
    <t>https://storage.googleapis.com/deytha-prod/payments/ObbLPliM83aKGJ8Ds6yxjCh8ouDlB9a3qNYS5ydU.pdf</t>
  </si>
  <si>
    <t>https://storage.googleapis.com/deytha-prod/payments/EludoNK9AnR8XSZIML1L62b5kCnzmy3Wml391avJ.pdf</t>
  </si>
  <si>
    <t>2025-07-24 07:22:07</t>
  </si>
  <si>
    <t>2025-07-24 02:22:07</t>
  </si>
  <si>
    <t>2025-06-10 02:22:07</t>
  </si>
  <si>
    <t xml:space="preserve">PAGO DE TAXI
</t>
  </si>
  <si>
    <t>2025-08-23 08:06:13</t>
  </si>
  <si>
    <t>https://storage.googleapis.com/deytha-prod/payments/Cqkrrrbel7GBeR2cJpMzwlzcizDbunr01mhVvM2P.pdf</t>
  </si>
  <si>
    <t>https://storage.googleapis.com/deytha-prod/payments/8tGPPfFlrZ7Sv89j03VcXjRhhxPVAeHBcvfRdco4.pdf</t>
  </si>
  <si>
    <t>2025-07-24 06:57:06</t>
  </si>
  <si>
    <t>2025-07-24 01:57:06</t>
  </si>
  <si>
    <t>2025-06-03 01:57:06</t>
  </si>
  <si>
    <t>https://storage.googleapis.com/deytha-prod/payments/ntr5fetavcczz8HUCph9pHg9gcu28fcfMyLVCBAX.pdf</t>
  </si>
  <si>
    <t>https://storage.googleapis.com/deytha-prod/payments/1BHDnHWjR8nHLf8Cb4BKnTVMv8KS1sCPgIAQ8XSL.pdf</t>
  </si>
  <si>
    <t>2025-07-24 06:57:03</t>
  </si>
  <si>
    <t>2025-07-24 01:57:03</t>
  </si>
  <si>
    <t>2025-06-02 01:57:03</t>
  </si>
  <si>
    <t>2025-08-23 08:06:16</t>
  </si>
  <si>
    <t>https://storage.googleapis.com/deytha-prod/payments/1H3suHKxiaQTN0rU5HlhXOYOugzUtMjxM4Qjsyoa.pdf</t>
  </si>
  <si>
    <t>https://storage.googleapis.com/deytha-prod/payments/15sHUeOz8tbsGZgJUvkN1q2O4f97quTqaQZTxkJz.pdf</t>
  </si>
  <si>
    <t>2025-07-24 06:56:58</t>
  </si>
  <si>
    <t>2025-07-24 01:56:58</t>
  </si>
  <si>
    <t>2025-06-10 01:56:58</t>
  </si>
  <si>
    <t>ENCOMIENDAS ILO  - MOQUEGUA</t>
  </si>
  <si>
    <t>2025-08-23 08:06:03</t>
  </si>
  <si>
    <t>https://storage.googleapis.com/deytha-prod/payments/eDjv1VAbbMn7BJghY5SPURSghWImgezUOa734gCX.pdf</t>
  </si>
  <si>
    <t>https://storage.googleapis.com/deytha-prod/payments/dlTpSsLXVbO76p4tJoXDDvbtxqxxDGXXcB6InFtk.pdf</t>
  </si>
  <si>
    <t>2025-07-24 06:19:13</t>
  </si>
  <si>
    <t>2025-07-24 01:19:13</t>
  </si>
  <si>
    <t>2025-06-23 01:19:13</t>
  </si>
  <si>
    <t>ABASTECIMIENTO DE DIESEL</t>
  </si>
  <si>
    <t>2025-08-23 08:06:19</t>
  </si>
  <si>
    <t>https://storage.googleapis.com/deytha-prod/payments/27qgRBQcHMhLeVObbjsXbWLCDjF4LE1w1l5fJR7d.pdf</t>
  </si>
  <si>
    <t>https://storage.googleapis.com/deytha-prod/payments/DOEvyd8DoRvEv7biOiLvim7yVh18AC2czjhP89nH.pdf</t>
  </si>
  <si>
    <t>2025-07-24 06:19:12</t>
  </si>
  <si>
    <t>2025-07-24 01:19:12</t>
  </si>
  <si>
    <t>2025-06-11 01:19:12</t>
  </si>
  <si>
    <t>MAMANI QUISPE JANETH VIRGINIA</t>
  </si>
  <si>
    <t>PASAJE PARA VIGILAANTE MOQUEGUA - CUAJONE</t>
  </si>
  <si>
    <t>2025-08-23 08:06:10</t>
  </si>
  <si>
    <t>https://storage.googleapis.com/deytha-prod/payments/IXIUFGgtzBPgQQw6Dw9EsL0Q5CUD2KU4NKq0Yq2T.pdf</t>
  </si>
  <si>
    <t>https://storage.googleapis.com/deytha-prod/payments/NwyMMmzaDVdLSupNmVwOpfTetHvNDDZJfZGRQOkG.pdf</t>
  </si>
  <si>
    <t>2025-07-24 06:19:09</t>
  </si>
  <si>
    <t>2025-07-24 01:19:09</t>
  </si>
  <si>
    <t>2025-06-13 01:19:09</t>
  </si>
  <si>
    <t>TRANSPORTES Y MULTISERVICIOS RIO VIP S.A.C.</t>
  </si>
  <si>
    <t>2025-08-23 08:06:07</t>
  </si>
  <si>
    <t>https://storage.googleapis.com/deytha-prod/payments/xxA88IKJBSf11LOA7MfgaqKfMzc7K6oOlI3ligfP.pdf</t>
  </si>
  <si>
    <t>https://storage.googleapis.com/deytha-prod/payments/riexLaSNpp6iFs6va0PlwaAI4rAUNej4kEDSREbW.pdf</t>
  </si>
  <si>
    <t>2025-07-24 06:19:08</t>
  </si>
  <si>
    <t>2025-07-24 01:19:08</t>
  </si>
  <si>
    <t>2025-06-14 01:19:08</t>
  </si>
  <si>
    <t>ENCOMIENDAS LIMA - MOQUEGUA</t>
  </si>
  <si>
    <t>2025-08-23 08:07:50</t>
  </si>
  <si>
    <t>https://storage.googleapis.com/deytha-prod/payments/W2ig9mGH7VcE26vYO2kkb3KAy5x7iaS2AH8sc9Lw.pdf</t>
  </si>
  <si>
    <t>https://storage.googleapis.com/deytha-prod/payments/9Ur7xBoGeSNomvBFii8KCM2cM5vjJUKA3auAMpQG.pdf</t>
  </si>
  <si>
    <t>2025-07-24 05:22:17</t>
  </si>
  <si>
    <t>2025-07-24 00:22:17</t>
  </si>
  <si>
    <t>2025-06-20 00:22:17</t>
  </si>
  <si>
    <t>2025-08-23 08:05:58</t>
  </si>
  <si>
    <t>https://storage.googleapis.com/deytha-prod/payments/uzOG3VacvWYXe9qatcIw7aoxNnAgQhYlp0iyUb8y.pdf</t>
  </si>
  <si>
    <t>https://storage.googleapis.com/deytha-prod/payments/h3dEdCS3Qd6nmUAKAkmzgacjrqr1EuOo0I2nywpv.pdf</t>
  </si>
  <si>
    <t>2025-07-24 05:22:16</t>
  </si>
  <si>
    <t>2025-07-24 00:22:16</t>
  </si>
  <si>
    <t>2025-06-05 00:22:16</t>
  </si>
  <si>
    <t>https://storage.googleapis.com/deytha-prod/payments/5usKqSFDeECfu4CV3aNkj0qWK715Uz8qHQUvUgyb.pdf</t>
  </si>
  <si>
    <t>https://storage.googleapis.com/deytha-prod/payments/3YZAusiuIOwrxVEqMu4nas3CMthRCDh9AvMQui3X.pdf</t>
  </si>
  <si>
    <t>2025-07-24 05:22:13</t>
  </si>
  <si>
    <t>2025-07-24 00:22:13</t>
  </si>
  <si>
    <t>2025-05-07 00:22:13</t>
  </si>
  <si>
    <t>COMPRA DE MATERIAL </t>
  </si>
  <si>
    <t>2025-08-23 08:27:41</t>
  </si>
  <si>
    <t>https://storage.googleapis.com/deytha-prod/payments/ZGgCTz5q5SC0ytgNJzrFU9TQ5vPidrEg1nnBi1oQ.pdf</t>
  </si>
  <si>
    <t>https://storage.googleapis.com/deytha-prod/payments/VgiVvLeaWPQjCt0usT4jmHTwlOVfDvp4Pz5He55N.pdf</t>
  </si>
  <si>
    <t>2025-07-24 05:22:12</t>
  </si>
  <si>
    <t>2025-07-24 00:22:12</t>
  </si>
  <si>
    <t>2025-06-20 00:22:12</t>
  </si>
  <si>
    <t>PASAJES PARA VIGILANTES MOQUEGUA - CUAJONE</t>
  </si>
  <si>
    <t>2025-08-23 08:05:40</t>
  </si>
  <si>
    <t>https://storage.googleapis.com/deytha-prod/payments/2DMAaT1old3x3Hiy5sx00xE8zSr3bzYmCOGlLnFM.pdf</t>
  </si>
  <si>
    <t>https://storage.googleapis.com/deytha-prod/payments/ddsCLy7VobRQaf7il4WVPLY5JWbBefx5sbkWPrqN.pdf</t>
  </si>
  <si>
    <t>2025-06-18 00:22:12</t>
  </si>
  <si>
    <t>PASAJES  PARA VIGILANTES MOQUEGUA - CUAJONE </t>
  </si>
  <si>
    <t>2025-08-23 08:05:50</t>
  </si>
  <si>
    <t>https://storage.googleapis.com/deytha-prod/payments/4w7ZdietoP7P9014XrIbQQWihYFgUfbFuz8HutxH.pdf</t>
  </si>
  <si>
    <t>https://storage.googleapis.com/deytha-prod/payments/GjcOQ2XQmATZ5uqd0H7uUy7YaIBsicH7JGrd1Zpf.pdf</t>
  </si>
  <si>
    <t>2025-06-16 00:22:12</t>
  </si>
  <si>
    <t>PASAJES PARA VIGILANTES MOQUEGUA -  CUAJONE</t>
  </si>
  <si>
    <t>2025-08-23 08:05:45</t>
  </si>
  <si>
    <t>https://storage.googleapis.com/deytha-prod/payments/wuqn15k9aXBX4NKllxxEKyzGNYpTCWNTLqulNBpq.pdf</t>
  </si>
  <si>
    <t>https://storage.googleapis.com/deytha-prod/payments/HlTuGtA5py5V4ck1Ic9VQ5oDowNIRKrGqSt5p5tw.pdf</t>
  </si>
  <si>
    <t>2025-06-13 00:22:12</t>
  </si>
  <si>
    <t>https://storage.googleapis.com/deytha-prod/payments/duzFanoxErMjhnX5a5taSiEvrkmYS1TwijCwBx8y.pdf</t>
  </si>
  <si>
    <t>https://storage.googleapis.com/deytha-prod/payments/pxYzfEw2L4Q4zYD6ux1uef0xAxgqOn1xMXfbMyBj.pdf</t>
  </si>
  <si>
    <t>2025-05-31 00:22:12</t>
  </si>
  <si>
    <t xml:space="preserve">ENCOMIENDA AREQUIPA - MOQUEGUA
</t>
  </si>
  <si>
    <t>2025-08-23 08:05:53</t>
  </si>
  <si>
    <t>https://storage.googleapis.com/deytha-prod/payments/849mfHVBtxY5M26Lh9XybZxEwOKoHvZsTp5kQk74.pdf</t>
  </si>
  <si>
    <t>https://storage.googleapis.com/deytha-prod/payments/WtWQ0EUVwszokH8pcgRCQS2C7536k2UtNH9S37gW.pdf</t>
  </si>
  <si>
    <t>2025-06-12 00:22:12</t>
  </si>
  <si>
    <t>https://storage.googleapis.com/deytha-prod/payments/MSCIZkWWBYcOGAw38DvWbH0sufI9EdElrvGpRoCn.pdf</t>
  </si>
  <si>
    <t>https://storage.googleapis.com/deytha-prod/payments/fo1Vc5a6dlUSh2VQQyFOrjuQHoB6CLntfOMiIoqS.pdf</t>
  </si>
  <si>
    <t>2025-06-06 00:22:12</t>
  </si>
  <si>
    <t>https://storage.googleapis.com/deytha-prod/payments/Ur5PGqZJwvB1bE0iRXDmRJxXt1P9Gs6Iz351pmFf.pdf</t>
  </si>
  <si>
    <t>https://storage.googleapis.com/deytha-prod/payments/IZVnPGCmWYtUc2mI8BkEdxWxZCsdv630jVRmVQLx.pdf</t>
  </si>
  <si>
    <t>2025-07-24 05:22:11</t>
  </si>
  <si>
    <t>2025-07-24 00:22:11</t>
  </si>
  <si>
    <t>2025-06-11 00:22:11</t>
  </si>
  <si>
    <t>ENCOMIENDA DE AREQUIPA MOQUEGUA 02 PAQUETES </t>
  </si>
  <si>
    <t>2025-08-23 08:05:39</t>
  </si>
  <si>
    <t>https://storage.googleapis.com/deytha-prod/payments/37TGiwG4vsqi7BmU8zqlEKm4Ondyp8LCB3MCZVLV.pdf</t>
  </si>
  <si>
    <t>https://storage.googleapis.com/deytha-prod/payments/JAaP7nhY4jK3eQHdTlv3NuyyKWNfxzFFtnSxhFF8.pdf</t>
  </si>
  <si>
    <t>2025-07-24 04:50:41</t>
  </si>
  <si>
    <t>2025-07-23 23:50:41</t>
  </si>
  <si>
    <t>REINTEGRO DE CAJA CHICA </t>
  </si>
  <si>
    <t>2025-08-20 16:05:53</t>
  </si>
  <si>
    <t>https://storage.googleapis.com/deytha-prod/payments/veNzdns0FhaBs8P8ujIfg7NOu7FIiQG4uUO5R1Qt.jpg</t>
  </si>
  <si>
    <t>2025-07-24 04:50:39</t>
  </si>
  <si>
    <t>2025-07-23 23:50:39</t>
  </si>
  <si>
    <t>2025-08-20 23:50:39</t>
  </si>
  <si>
    <t>DEVOLUCION DE CAJA CHICA </t>
  </si>
  <si>
    <t>2025-08-20 16:05:52</t>
  </si>
  <si>
    <t>https://storage.googleapis.com/deytha-prod/payments/rOZgb4EMJmerv0KsXFdfV5ID71XJBb4kEEc7J6OP.jpg</t>
  </si>
  <si>
    <t>2025-07-24 04:50:32</t>
  </si>
  <si>
    <t>2025-07-23 23:50:32</t>
  </si>
  <si>
    <t>2025-05-22 23:50:32</t>
  </si>
  <si>
    <t>CENA PARA PERSONAL </t>
  </si>
  <si>
    <t>2025-08-20 15:48:13</t>
  </si>
  <si>
    <t>https://storage.googleapis.com/deytha-prod/payments/ISmdxaFFcb72xHJvLCv8SPzEM7nLFB0N9hQOn6Lw.pdf</t>
  </si>
  <si>
    <t>https://storage.googleapis.com/deytha-prod/payments/SIe7lkoi1EIMuSioOpFpW4hhzgB2T63rvPxoltud.pdf</t>
  </si>
  <si>
    <t>2025-05-24 23:50:32</t>
  </si>
  <si>
    <t>COMPRA DE CELUALRES DE URGENCIA BASICOS</t>
  </si>
  <si>
    <t>https://storage.googleapis.com/deytha-prod/payments/hwElW1wKjOaX4eChErszJh8Vfn1IwNyoEjfnLCMR.pdf</t>
  </si>
  <si>
    <t>https://storage.googleapis.com/deytha-prod/payments/UW7dMDfZFCDFuApfEYHLsURONjyVmj3IGSSvFagO.pdf</t>
  </si>
  <si>
    <t>2025-05-26 23:50:32</t>
  </si>
  <si>
    <t>PAGO DE MATERIAL DE ESCRITORIO </t>
  </si>
  <si>
    <t>2025-08-20 15:48:22</t>
  </si>
  <si>
    <t>https://storage.googleapis.com/deytha-prod/payments/xhb0BAo2SP5femz2GxRT1ctigCeQPSzCs4NbOrYa.pdf</t>
  </si>
  <si>
    <t>https://storage.googleapis.com/deytha-prod/payments/zzookNJbsaj1GXoyTIKSxPUIQhkGyCYYRE8AouzS.pdf</t>
  </si>
  <si>
    <t>2025-07-24 04:50:31</t>
  </si>
  <si>
    <t>2025-07-23 23:50:31</t>
  </si>
  <si>
    <t>2025-05-01 23:50:31</t>
  </si>
  <si>
    <t>PAGO DE ALMUERZO Y DESAYUNO AL PERSONAL</t>
  </si>
  <si>
    <t>2025-08-20 15:48:03</t>
  </si>
  <si>
    <t>https://storage.googleapis.com/deytha-prod/payments/N1Qv1UOnSst0JeLUnEqXZQVFtD3zxm5RNDk1Xd3Q.pdf</t>
  </si>
  <si>
    <t>https://storage.googleapis.com/deytha-prod/payments/wc8ZA3sxcJU1RCInf5wKQWRqE0j3HtE5zk33I75o.pdf</t>
  </si>
  <si>
    <t>2025-07-23 16:56:10</t>
  </si>
  <si>
    <t>2025-07-23 11:56:10</t>
  </si>
  <si>
    <t>DEVOLCUION DE CAJA </t>
  </si>
  <si>
    <t>2025-07-23 12:14:00</t>
  </si>
  <si>
    <t>https://storage.googleapis.com/deytha-prod/payments/nl6yUK9jH9LY5UN1M1SbHtXdZWSEsTXf6Buw9sDn.jpg</t>
  </si>
  <si>
    <t>2025-06-21 13:23:16</t>
  </si>
  <si>
    <t>2025-07-22 10:24:55</t>
  </si>
  <si>
    <t>2025-07-08 08:23:03</t>
  </si>
  <si>
    <t>ALQUILER TARIFA MES AMBULANCIA RURAL TIPO II PLACA EUF-560 MES MAYO(DEL 26/05/2025 AL 31/05/2025) PROYECTO CUAJONE SEGUN COTIZACION 021-2025 REV. 01 Y OS. 23/05/2025.</t>
  </si>
  <si>
    <t>2025-08-22 18:14:00</t>
  </si>
  <si>
    <t>https://storage.googleapis.com/deytha-prod/payments/Lx5Lnq6ycmoXlK4TjS9xFM2iqXa0AxELSxp9vnQF.pdf</t>
  </si>
  <si>
    <t>https://storage.googleapis.com/deytha-prod/paymentBills/u851koY0EaoXqKljru54rnR5YBAtnZvkd42DO1vB.png</t>
  </si>
  <si>
    <t>https://storage.googleapis.com/deytha-prod/supplierBills/nT9e3QDbe43ewhAcmswCBG5UjsxtEV1w77sewNEg.pdf</t>
  </si>
  <si>
    <t>2025-07-01 22:01:09</t>
  </si>
  <si>
    <t>2025-07-15 16:50:33</t>
  </si>
  <si>
    <t>POR SERVICIO DE ALQUILER DE CAMION GRUA 12 TN PLACA Z6P-829 DEL 05/06/2025 AL 19/06/2025 (5940-006 REEMPLAZO BASE 3 POR INSTALACION DE DOS BASES DE COMUNICACION- MINA CUAJONE)</t>
  </si>
  <si>
    <t>2025-08-15 20:28:00</t>
  </si>
  <si>
    <t>https://storage.googleapis.com/deytha-prod/payments/ftWTNuL2MPETa5hUaycdgESiuTaaNAbQ7lZwsZuA.pdf</t>
  </si>
  <si>
    <t>https://storage.googleapis.com/deytha-prod/paymentBills/k1lPuY7VSo81fFc4D8ryqVfSbBhjigu3mZ5au2A0.pdf</t>
  </si>
  <si>
    <t>https://storage.googleapis.com/deytha-prod/supplierBills/GJBQxfrENSq3UrzPsZ5fJ8vYVR8XjnsvQTG8AjmF.pdf</t>
  </si>
  <si>
    <t>2025-07-21 19:00:53</t>
  </si>
  <si>
    <t>2025-07-22 13:58:24</t>
  </si>
  <si>
    <t>COMPRA DE 15M3 DE AREA FINA PARA PROYECTO</t>
  </si>
  <si>
    <t>2025-07-31 20:51:00</t>
  </si>
  <si>
    <t>https://storage.googleapis.com/deytha-prod/payments/psaDdz4fkmPk9x8mmJjJvjCaK4ieWEcD8Jkq3nUT.pdf</t>
  </si>
  <si>
    <t>https://storage.googleapis.com/deytha-prod/paymentBills/tKjQbMHI5JrqR60mrAQNVnE5cJ0TDLYATo2feq43.png</t>
  </si>
  <si>
    <t>https://storage.googleapis.com/deytha-prod/supplierBills/JTvPs8tfKxHJ3BJpheGQsELEPXHRIntfRxrRI5u5.pdf</t>
  </si>
  <si>
    <t>2025-07-21 19:22:40</t>
  </si>
  <si>
    <t>2025-07-22 14:22:24</t>
  </si>
  <si>
    <t>REPRESENTACIONES LARC S.R.L.</t>
  </si>
  <si>
    <t>PAGO DE ALQUILER DE VAN DEL 01/06/2025 AL 21/06/2025</t>
  </si>
  <si>
    <t>2025-08-08 16:40:00</t>
  </si>
  <si>
    <t>https://storage.googleapis.com/deytha-prod/payments/1V865WR2j8V1ANxBeiKjmh5lI20U4hu1GsaGuNP0.pdf</t>
  </si>
  <si>
    <t>https://storage.googleapis.com/deytha-prod/paymentBills/MIHlNaP6cGeErwfLQNeAV2QoJLP2Fsek6RXlsAh8.png</t>
  </si>
  <si>
    <t>https://storage.googleapis.com/deytha-prod/supplierBills/6reLBzfWxxVvQCVKngjqiJa59aqluuTjYnSjmWkA.pdf</t>
  </si>
  <si>
    <t>2025-07-22 15:12:15</t>
  </si>
  <si>
    <t>2025-07-29 10:12:11</t>
  </si>
  <si>
    <t>Servicio Alimentación Cuajone Mes Junio 2025</t>
  </si>
  <si>
    <t>2025-08-13 12:44:00</t>
  </si>
  <si>
    <t>https://storage.googleapis.com/deytha-prod/payments/Y7iWz2NFassMHN8zd3VcfwiQEMI1SVgWBgiBhJze.pdf</t>
  </si>
  <si>
    <t>https://storage.googleapis.com/deytha-prod/paymentBills/9PANQYeHyddUXDmIw2tCVKLuLN6CJjp62prwZNpS.png</t>
  </si>
  <si>
    <t>https://storage.googleapis.com/deytha-prod/supplierBills/Kpn7zEaeZEVnEAG7RdgQgSxd3SiLFNKBvJLuXpJ2.pdf</t>
  </si>
  <si>
    <t>2025-07-22 15:18:41</t>
  </si>
  <si>
    <t>2025-07-23 10:18:36</t>
  </si>
  <si>
    <t>AGREDA GLOBAL GROUP E.I.R.L.</t>
  </si>
  <si>
    <t>ALQUILER DE CAMIONETA PLACA Z8O-799 POR SERVICIOS DEL 01 DE JUNIO AL 28 DE JUNIO 2025.</t>
  </si>
  <si>
    <t>2025-08-11 18:20:00</t>
  </si>
  <si>
    <t>https://storage.googleapis.com/deytha-prod/payments/dHgCbjYXI2CPXGZLHSMOwYzwbCFxHmdQGsAfCqNz.pdf</t>
  </si>
  <si>
    <t>https://storage.googleapis.com/deytha-prod/paymentBills/m2bh4hIIrxcIt2p7amX1F7QYP0lJ7eG1AuiF0vyr.png</t>
  </si>
  <si>
    <t>https://storage.googleapis.com/deytha-prod/supplierBills/bOGh8rNoYOI4aE1LEUBOexr7snTdyJQIQu4DjijM.pdf</t>
  </si>
  <si>
    <t>2025-07-22 13:25:07</t>
  </si>
  <si>
    <t>2025-07-22 09:47:27</t>
  </si>
  <si>
    <t>2025-07-23 08:23:29</t>
  </si>
  <si>
    <t xml:space="preserve">SOLICITUD DE CAJA CHICA NRO 02 DE PROYECTO. </t>
  </si>
  <si>
    <t>2025-07-24 17:31:00</t>
  </si>
  <si>
    <t>https://storage.googleapis.com/deytha-prod/paymentBills/4513I7OEZKdqutbsaCQS3BE6F4K6doe9HhsXbsCU.png</t>
  </si>
  <si>
    <t>2025-07-22 14:31:37</t>
  </si>
  <si>
    <t>2025-07-23 09:31:25</t>
  </si>
  <si>
    <t>CONCRETO PREMESCLADO 100 MPA POR 32 M3, INCLUYE BOMBA TELESCÓPICA POR 32 M3</t>
  </si>
  <si>
    <t>2025-07-22 15:17:00</t>
  </si>
  <si>
    <t>https://storage.googleapis.com/deytha-prod/payments/CdwtS5UKnnK9eTwvnwt2w1xFPpm8rK8KJq3daW4L.pdf</t>
  </si>
  <si>
    <t>https://storage.googleapis.com/deytha-prod/paymentBills/eFP5dYuS5Zwy8Z2zDFjJ1hSzIWCTL1PC1eHDuv9p.png</t>
  </si>
  <si>
    <t>https://storage.googleapis.com/deytha-prod/supplierBills/QH9Wuomoz03C5prcVHHZDIVa7XOZY2L3jMxhY9Cn.pdf</t>
  </si>
  <si>
    <t>2025-07-21 00:10:22</t>
  </si>
  <si>
    <t>2025-07-21 19:24:08</t>
  </si>
  <si>
    <t>2025-07-22 10:10:09</t>
  </si>
  <si>
    <t xml:space="preserve">IMPLEMENTACION PARA KIT DE RESCATE
AREA SSOMA
</t>
  </si>
  <si>
    <t>2025-07-23 19:06:00</t>
  </si>
  <si>
    <t>https://storage.googleapis.com/deytha-prod/payments/wJdZqoUTq60X02jI6rsBRfuYDrAlNH72gpmMzUQC.pdf</t>
  </si>
  <si>
    <t>https://storage.googleapis.com/deytha-prod/paymentBills/ZNnPAlg71nQ3QSv5ajvdWXJR6U8ZwceBVRFp7eB4.png</t>
  </si>
  <si>
    <t>https://storage.googleapis.com/deytha-prod/supplierBills/keixnAjVz5yX7OysEWSfxbtj5JdogPMxBx8zFCBL.pdf</t>
  </si>
  <si>
    <t>2025-07-21 03:26:18</t>
  </si>
  <si>
    <t>2025-07-22 13:26:02</t>
  </si>
  <si>
    <t>CHOMPAS JORGE CHAVEZ 
CHIP 
CARETA
CHALECO
GUANTES SOLDADOR</t>
  </si>
  <si>
    <t>2025-07-23 19:03:00</t>
  </si>
  <si>
    <t>https://storage.googleapis.com/deytha-prod/payments/yaZio1OcDOn8ZVxcoOSk74U8hkiCVo5Uy7zfoSQs.pdf</t>
  </si>
  <si>
    <t>https://storage.googleapis.com/deytha-prod/paymentBills/QONvF6KaW2Z1ADIKk01yMDG9X1yKT9hn0Os8isDn.png</t>
  </si>
  <si>
    <t>https://storage.googleapis.com/deytha-prod/supplierBills/PRIlWfNJb1J1D5rhcskXGC3i6nzyQNUrMageeDZ2.pdf</t>
  </si>
  <si>
    <t>2025-07-21 04:09:16</t>
  </si>
  <si>
    <t>2025-07-22 14:09:05</t>
  </si>
  <si>
    <t>CINCEL PARA ROTOMARTILLO 
TORTOL 
IMPLEMENTACION ESTACION EMER 
ZAP DIELECTRICOS</t>
  </si>
  <si>
    <t>2025-07-23 18:49:00</t>
  </si>
  <si>
    <t>https://storage.googleapis.com/deytha-prod/payments/S8OkIlRplUrt3qBuNvSXFINvVnU8jAXmyLs1J2xv.pdf</t>
  </si>
  <si>
    <t>https://storage.googleapis.com/deytha-prod/paymentBills/xSHyvlQzTCo2wdAFJVDCk3dCgri1tHlAOWuvYOu0.png</t>
  </si>
  <si>
    <t>https://storage.googleapis.com/deytha-prod/supplierBills/jt8yJ6HuABAOcKMzlMGdvdzNfcd4euHHpDK1Dvie.pdf</t>
  </si>
  <si>
    <t>2025-07-21 04:32:23</t>
  </si>
  <si>
    <t>2025-07-22 14:31:57</t>
  </si>
  <si>
    <t xml:space="preserve">GUANTES 
LENTES 
TRAJES 
</t>
  </si>
  <si>
    <t>2025-07-23 18:44:00</t>
  </si>
  <si>
    <t>https://storage.googleapis.com/deytha-prod/payments/6J90OtZbaTcKYWlGTwonain2izoq8WOcvCIkwxda.pdf</t>
  </si>
  <si>
    <t>https://storage.googleapis.com/deytha-prod/paymentBills/BMeVsPhjSAlvpPrtewP072oaRtFMAR0dYb1WKI9R.png</t>
  </si>
  <si>
    <t>https://storage.googleapis.com/deytha-prod/supplierBills/SNZk6Z5EXwP01yFcppnaWoxfihYQhnymFBe3yhFL.pdf</t>
  </si>
  <si>
    <t>2025-07-21 03:52:01</t>
  </si>
  <si>
    <t>2025-07-21 19:05:49</t>
  </si>
  <si>
    <t>2025-07-22 13:51:44</t>
  </si>
  <si>
    <t>2025-07-25 12:50:00</t>
  </si>
  <si>
    <t>https://storage.googleapis.com/deytha-prod/paymentBills/pLRUkPDAdoJyoYwNL9tfQlQwa5lunIIErgbQzRhy.jpg</t>
  </si>
  <si>
    <t>2025-07-21 03:56:43</t>
  </si>
  <si>
    <t>2025-07-22 13:56:29</t>
  </si>
  <si>
    <t>MTTO DE APISONADOR 
CANGURO 02 UND</t>
  </si>
  <si>
    <t>2025-07-22 19:53:00</t>
  </si>
  <si>
    <t>https://storage.googleapis.com/deytha-prod/payments/k6OymowUOlw6IRQ2CLg5JPIRgUn9lrSrzfQ1ZIQy.jpg</t>
  </si>
  <si>
    <t>https://storage.googleapis.com/deytha-prod/paymentBills/5DR7syTAseFVQgQakD1kdA94ykGBmg9PHDTGPHuS.png</t>
  </si>
  <si>
    <t>https://storage.googleapis.com/deytha-prod/supplierBills/uUeCRzv2VrofMeVSqdMWhPyMJOCbftGApnvVdD2r.pdf</t>
  </si>
  <si>
    <t>2025-07-21 19:12:38</t>
  </si>
  <si>
    <t>2025-07-22 14:12:02</t>
  </si>
  <si>
    <t xml:space="preserve">VALORIZACION PAGO NRO 02 INGENIERO DE COMUNICACIONES (ESPECIALISTA)
Datos de cuentas Bancarias BANCOS EN ESTADOS UNIDOS DE AMERICA:  BANK OF AMERICA  3025 NW 87th ave  Galloway Road, Miami, FL 33172 Phone: 1-305-591-0302  Swift: BOFAUS3N  ABA: 026009593  ACH Routing  Number: 063100277   Nombre: Regi Eugenio Delgadillo  Número de cuenta: 8980 8518 0380  Dirección: 6320 SW, 26th ST, Miami, FL 33155-3013  Teléfono: 1-305-647-5490 </t>
  </si>
  <si>
    <t>2025-07-22 15:41:00</t>
  </si>
  <si>
    <t>https://storage.googleapis.com/deytha-prod/payments/hFpMxavDXJt0yndpKy2cwgxeXxWS4kP09n6qyIRv.pdf</t>
  </si>
  <si>
    <t>https://storage.googleapis.com/deytha-prod/paymentBills/Wo29ibrk6TJHKcvbHeaUBQdv8FiBEbRP6Okbbe77.png</t>
  </si>
  <si>
    <t>2025-07-21 21:09:55</t>
  </si>
  <si>
    <t>2025-07-22 16:09:47</t>
  </si>
  <si>
    <t>LOPEZ LOPEZ MERLY MONICA</t>
  </si>
  <si>
    <t>215-34244717-0-19</t>
  </si>
  <si>
    <t xml:space="preserve">TINTAS PARA IMPRESORA EN OBRA </t>
  </si>
  <si>
    <t>2025-07-23 18:34:00</t>
  </si>
  <si>
    <t>https://storage.googleapis.com/deytha-prod/payments/UpXlxY2K2aM9x83rEMwLuhrVkKwVNqjDuapvYvTL.pdf</t>
  </si>
  <si>
    <t>https://storage.googleapis.com/deytha-prod/paymentBills/AOFXWUHu0ErrhRrcxIE0ch9EYFXYEQzvgbojzNwv.png</t>
  </si>
  <si>
    <t>https://storage.googleapis.com/deytha-prod/supplierBills/wzt5aj6LGFmMAEt7CuoPGBy36ofU35KHbafwvjbs.pdf</t>
  </si>
  <si>
    <t>2025-07-21 21:15:17</t>
  </si>
  <si>
    <t>2025-07-22 16:13:36</t>
  </si>
  <si>
    <t xml:space="preserve">PAGO POR SERVICIO </t>
  </si>
  <si>
    <t>TUBERIA DE ACERO PARA AREA MECANICA</t>
  </si>
  <si>
    <t>2025-07-23 18:39:00</t>
  </si>
  <si>
    <t>https://storage.googleapis.com/deytha-prod/payments/F81k0crM4vK4BYL2jxPORUhwbR6DRvIXq6N1jDaB.jpg</t>
  </si>
  <si>
    <t>https://storage.googleapis.com/deytha-prod/paymentBills/PBoZvBiUVaO3QVJU1mpcblcihI8qoZqBpLwYWee7.pdf</t>
  </si>
  <si>
    <t>https://storage.googleapis.com/deytha-prod/supplierBills/BSIEAOZBtDv8CBGwqaG1nPTrjACjJbw0BTn3dWgz.pdf</t>
  </si>
  <si>
    <t>2025-07-21 13:32:23</t>
  </si>
  <si>
    <t>2025-07-21 08:32:23</t>
  </si>
  <si>
    <t>https://storage.googleapis.com/deytha-prod/payments/PjXmvpK6Xr89RnqyKngeRsE9mJKS5oF0CoU00WCG.jpg</t>
  </si>
  <si>
    <t>2025-07-18 21:29:43</t>
  </si>
  <si>
    <t>2025-07-18 16:29:43</t>
  </si>
  <si>
    <t>2025-07-04 16:29:43</t>
  </si>
  <si>
    <t>JUNIO 2025-IR 5TA-PY028-RG</t>
  </si>
  <si>
    <t>2025-07-22 16:36:02</t>
  </si>
  <si>
    <t>2025-07-18 20:55:49</t>
  </si>
  <si>
    <t>2025-07-18 15:55:49</t>
  </si>
  <si>
    <t>2025-07-04 15:55:49</t>
  </si>
  <si>
    <t>JUNIO 2025-ESSALUD-PY028-RG</t>
  </si>
  <si>
    <t>2025-07-22 16:37:20</t>
  </si>
  <si>
    <t>2025-07-18 17:52:51</t>
  </si>
  <si>
    <t>2025-07-18 15:27:21</t>
  </si>
  <si>
    <t>2025-07-18 13:52:45</t>
  </si>
  <si>
    <t xml:space="preserve">PAGO POR EMO DE COLQUEHUANCA ZAPANA JOSE LUIS </t>
  </si>
  <si>
    <t>2025-07-18 15:32:00</t>
  </si>
  <si>
    <t>https://storage.googleapis.com/deytha-prod/payments/fC7WBVZk0SBZ5EhA62rWqHSB5xu4YZgmdCssRzxV.pdf</t>
  </si>
  <si>
    <t>https://storage.googleapis.com/deytha-prod/paymentBills/UbGNEsa9hVYnxcEBH3bcased4EK8dn9mM8NyFLVL.png</t>
  </si>
  <si>
    <t>https://storage.googleapis.com/deytha-prod/supplierBills/gF1crz6Ji1yRq1BfwzLQjvJvrzVq3I6dNafuDEJs.pdf</t>
  </si>
  <si>
    <t>2025-07-18 20:09:30</t>
  </si>
  <si>
    <t>2025-07-18 15:09:30</t>
  </si>
  <si>
    <t>2025-07-04 15:09:30</t>
  </si>
  <si>
    <t>JUNIO 2025-ONP-PY028-RG</t>
  </si>
  <si>
    <t>2025-07-22 16:38:08</t>
  </si>
  <si>
    <t>2025-07-18 17:35:07</t>
  </si>
  <si>
    <t>2025-07-18 12:35:07</t>
  </si>
  <si>
    <t>2025-07-04 12:35:07</t>
  </si>
  <si>
    <t>JUNIO 2025-AFP-PY028-RG</t>
  </si>
  <si>
    <t>2025-07-22 16:39:22</t>
  </si>
  <si>
    <t>2025-07-18 16:41:38</t>
  </si>
  <si>
    <t>2025-07-18 11:41:38</t>
  </si>
  <si>
    <t>MORALES GONZÁLES MARÍA ALEJANDRA</t>
  </si>
  <si>
    <t>Pago de Liquidación. Pago extraordinario de cese tipo "LBS" por riego laboral</t>
  </si>
  <si>
    <t>2025-07-18 12:28:00</t>
  </si>
  <si>
    <t>https://storage.googleapis.com/deytha-prod/worker/settle/nJd7skPmZrc1IPtCIia8btDktsHpv8FaR3aujJsz.pdf</t>
  </si>
  <si>
    <t>https://storage.googleapis.com/deytha-prod/paymentBills/0rH6vFb6ed8EjQKuK3VJHDctb4aNXs1S502CWT7Y.png</t>
  </si>
  <si>
    <t>2025-07-18 16:39:30</t>
  </si>
  <si>
    <t>2025-07-18 11:39:30</t>
  </si>
  <si>
    <t>2025-07-04 11:39:30</t>
  </si>
  <si>
    <t>JUNIO 2025-REM NETASPY028-RG</t>
  </si>
  <si>
    <t>2025-07-22 16:41:10</t>
  </si>
  <si>
    <t>2025-07-17 21:11:15</t>
  </si>
  <si>
    <t>2025-07-17 16:13:43</t>
  </si>
  <si>
    <t>2025-07-18 16:11:12</t>
  </si>
  <si>
    <t>TRASLADO DE VIGILACIA DE MOQUEGUA - CUAJONE / CUAJONE - MOQUEGUA POR 15CENA DEL 14 DE JULIO AL 27 DE JULIO</t>
  </si>
  <si>
    <t>2025-07-17 18:31:00</t>
  </si>
  <si>
    <t>https://storage.googleapis.com/deytha-prod/payments/yVlLJSItQNkCIgqTWzbP9ibkh7LNHsTpxi87dxK2.xlsx</t>
  </si>
  <si>
    <t>https://storage.googleapis.com/deytha-prod/paymentBills/P2IterRjaCmXPkA4RgjOVXNL86AZTQ2CFD8EhOuL.png</t>
  </si>
  <si>
    <t>https://storage.googleapis.com/deytha-prod/supplierBills/W4Xq8gvg4R1rWCt0muRvEEJJccOhmiB9s4WLuQPu.pdf</t>
  </si>
  <si>
    <t>DHODDY BREYSSON AGUILAR MORALES</t>
  </si>
  <si>
    <t>AGUILAR MORALES DHODDY BREYSSON</t>
  </si>
  <si>
    <t>2025-07-17 16:07:02</t>
  </si>
  <si>
    <t>2025-07-16 22:14:54</t>
  </si>
  <si>
    <t>2025-07-17 17:14:48</t>
  </si>
  <si>
    <t xml:space="preserve">DIAZ  CORNEJO KARLO MIGUEL </t>
  </si>
  <si>
    <t>reconocimiento a las horas extras realizadas y al apoyo brindado durante el desarrollo del proyecto</t>
  </si>
  <si>
    <t>2025-07-28 19:16:00</t>
  </si>
  <si>
    <t>https://storage.googleapis.com/deytha-prod/paymentBills/ylLO5zY6uFcCuU5KHPpcL8SL0XeRrmACBEdOViC0.jpg</t>
  </si>
  <si>
    <t>https://storage.googleapis.com/deytha-prod/supplierBills/mZ3Tx7xEo8R7QqiVvGJOkyTCPF81TGgCXimTeUPf.png</t>
  </si>
  <si>
    <t>2025-07-15 20:51:15</t>
  </si>
  <si>
    <t>2025-07-17 13:05:53</t>
  </si>
  <si>
    <t>2025-07-16 15:50:01</t>
  </si>
  <si>
    <t>DISCO 
LIJAR 
PLATINA</t>
  </si>
  <si>
    <t>2025-07-22 19:50:00</t>
  </si>
  <si>
    <t>https://storage.googleapis.com/deytha-prod/payments/XbuHP1WIowZKA5qejjWgkH4NtikQBF6ytzXcVXBg.pdf</t>
  </si>
  <si>
    <t>https://storage.googleapis.com/deytha-prod/paymentBills/IyUwOIRoPkPlcPtjxgHbhw2gUTX4eODfiUZZSiWe.png</t>
  </si>
  <si>
    <t>https://storage.googleapis.com/deytha-prod/supplierBills/HfQBlInVfSFXk2wa89mlUew4pD1fzOsxuzZdKRHq.pdf</t>
  </si>
  <si>
    <t>2025-07-15 22:56:54</t>
  </si>
  <si>
    <t>2025-07-16 17:56:34</t>
  </si>
  <si>
    <t>MACEDO CHUMBILLA BANI ELIANA</t>
  </si>
  <si>
    <t>BANNER PARA AREA SSOMA</t>
  </si>
  <si>
    <t>2025-07-18 11:34:00</t>
  </si>
  <si>
    <t>https://storage.googleapis.com/deytha-prod/payments/8rnsKfQ2jQKdqvFsSh09jRH8TMAn47vrVzMRJWRi.pdf</t>
  </si>
  <si>
    <t>https://storage.googleapis.com/deytha-prod/paymentBills/yOUL824wjbqViluvXZ0jyoL4nIZz3JK0bs2U2VGk.png</t>
  </si>
  <si>
    <t>https://storage.googleapis.com/deytha-prod/supplierBills/Z71CYX3dS54mDulrpmbtTtEd1EqU4waWEW9iG3LR.pdf</t>
  </si>
  <si>
    <t>2025-07-16 16:47:33</t>
  </si>
  <si>
    <t>2025-07-17 11:47:20</t>
  </si>
  <si>
    <t>SERVICIO DE CALIBRACION DE TORQUIMETRO</t>
  </si>
  <si>
    <t>2025-07-18 11:37:00</t>
  </si>
  <si>
    <t>https://storage.googleapis.com/deytha-prod/payments/hbjdHAQPXDmFgdSVR8XnIXwhS5A0SRNyRVS5Qek2.pdf</t>
  </si>
  <si>
    <t>https://storage.googleapis.com/deytha-prod/paymentBills/8YxFOmdekeDGk6HQPYSip2kGTZsdzdNRMTdDsWX5.png</t>
  </si>
  <si>
    <t>https://storage.googleapis.com/deytha-prod/supplierBills/0LptHMm5LBbnf4UfhK28nsKYpTU57xTPxdqQSUoe.pdf</t>
  </si>
  <si>
    <t>2025-07-14 17:19:52</t>
  </si>
  <si>
    <t>2025-07-17 13:05:10</t>
  </si>
  <si>
    <t>2025-07-16 12:19:00</t>
  </si>
  <si>
    <t xml:space="preserve">Pago RQF-D:322(2 / 2) | COTIZACION DE LA AREA LINIERO </t>
  </si>
  <si>
    <t>2025-07-17 15:58:00</t>
  </si>
  <si>
    <t>https://storage.googleapis.com/deytha-prod/payments/BwloG1XeMfYZEeIdwMg2FEtwJmcNdYc68HaaD1DI.pdf</t>
  </si>
  <si>
    <t>https://storage.googleapis.com/deytha-prod/paymentBills/bAG2SClkZlfSTs4XVbQe0PSt4fqpZvPgoxV3zuCF.png</t>
  </si>
  <si>
    <t>https://storage.googleapis.com/deytha-prod/supplierBills/AFnaOQSX0d7VGvxSym8LS92WCn4DMtXK6LXPpsQc.pdf</t>
  </si>
  <si>
    <t>2025-07-17 00:09:54</t>
  </si>
  <si>
    <t>2025-07-16 19:09:54</t>
  </si>
  <si>
    <t>2025-07-16 19:21:00</t>
  </si>
  <si>
    <t>https://storage.googleapis.com/deytha-prod/worker/settle/82DNxcSeCRhpQRRhyir6XUC3Vqx6aut6T3PtWPT6.pdf</t>
  </si>
  <si>
    <t>https://storage.googleapis.com/deytha-prod/paymentBills/qNt5tw1sYS58AUh9etUR9wUqim8HOXxx1fLARO8Z.png</t>
  </si>
  <si>
    <t>2025-07-12 17:50:01</t>
  </si>
  <si>
    <t>2025-07-15 11:38:03</t>
  </si>
  <si>
    <t>2025-07-13 12:49:19</t>
  </si>
  <si>
    <t>CAJA CHICA PY028</t>
  </si>
  <si>
    <t>2025-07-16 18:23:00</t>
  </si>
  <si>
    <t>https://storage.googleapis.com/deytha-prod/paymentBills/211eogDj8dV5naE8fcSPGUtDqjrxEuKaQ2JxabLX.png</t>
  </si>
  <si>
    <t>2025-07-13 22:15:35</t>
  </si>
  <si>
    <t>2025-07-14 17:15:29</t>
  </si>
  <si>
    <t>MENAJES &amp; MAS S.R.L.</t>
  </si>
  <si>
    <t xml:space="preserve">21503084575028    / cta 2025 </t>
  </si>
  <si>
    <t xml:space="preserve">TOMATODOS SSOMA </t>
  </si>
  <si>
    <t>2025-07-15 16:20:00</t>
  </si>
  <si>
    <t>https://storage.googleapis.com/deytha-prod/payments/tIOSgNlPT4Ef398p6j7YAcihie5DqAHyZwJPn9Wt.pdf</t>
  </si>
  <si>
    <t>https://storage.googleapis.com/deytha-prod/paymentBills/qcfdC95UUYXDwkukYFEA16gSfHTVen9DZS9fmlMY.png</t>
  </si>
  <si>
    <t>https://storage.googleapis.com/deytha-prod/supplierBills/TlQKrYzxLHdEMISYo2R62F3YK0yZ0GeC4PxY6w5G.pdf</t>
  </si>
  <si>
    <t>2025-07-14 12:19:00</t>
  </si>
  <si>
    <t xml:space="preserve">Pago RQF-D:322(1 / 2) | COTIZACION DE LA AREA LINIERO </t>
  </si>
  <si>
    <t>2025-07-15 17:01:00</t>
  </si>
  <si>
    <t>https://storage.googleapis.com/deytha-prod/paymentBills/Vx9fQTevtnKLOUnWGDG1uq40ph7IU1IWG8SwRuhc.png</t>
  </si>
  <si>
    <t>https://storage.googleapis.com/deytha-prod/supplierBills/dBb78FMn1wqG8c5XqBz87mDQsHWCPA7VD970KNaX.pdf</t>
  </si>
  <si>
    <t>2025-07-15 11:50:11</t>
  </si>
  <si>
    <t>2025-07-16 06:49:29</t>
  </si>
  <si>
    <t>Concreto Premezclado 35 Mpa, con cemento Tipo IP por 54m3, Incluye servicio de bomba Telescópica brazo 32mt por 54 m3</t>
  </si>
  <si>
    <t>2025-07-16 16:34:00</t>
  </si>
  <si>
    <t>https://storage.googleapis.com/deytha-prod/payments/B7Rg130rjMTDJc1zOyU5CUapubUGtGXSjUZzpPy4.pdf</t>
  </si>
  <si>
    <t>https://storage.googleapis.com/deytha-prod/paymentBills/1YouUATAUiHsGNATfAWU07LhcO0KSISAx0l0bWaQ.pdf</t>
  </si>
  <si>
    <t>https://storage.googleapis.com/deytha-prod/supplierBills/8aVlb21nGeIG1ShVo4wjsHBUOIhOE1pfhqpU50nL.pdf</t>
  </si>
  <si>
    <t>2025-07-15 15:01:56</t>
  </si>
  <si>
    <t>2025-07-16 10:01:38</t>
  </si>
  <si>
    <t>BIDONES DE AGUA PARA PERSONAL EN OBRA</t>
  </si>
  <si>
    <t>2025-07-16 18:15:00</t>
  </si>
  <si>
    <t>https://storage.googleapis.com/deytha-prod/payments/Elfx9TSYsMqzqqIoJcP9xDemRhAgjhE6yXrFYk0I.pdf</t>
  </si>
  <si>
    <t>https://storage.googleapis.com/deytha-prod/paymentBills/3KFa4lrv0vo02js4i8XMPsI2Cb7F3tGluRKxunCK.png</t>
  </si>
  <si>
    <t>https://storage.googleapis.com/deytha-prod/supplierBills/YezzDEkduB9CDWbxpMH6VyGdks13WFd2T2aFBla1.pdf</t>
  </si>
  <si>
    <t>2025-07-15 12:47:42</t>
  </si>
  <si>
    <t>MARVIN RAY VILCA SOSA</t>
  </si>
  <si>
    <t>2025-07-15 07:48:39</t>
  </si>
  <si>
    <t>2025-07-16 07:47:39</t>
  </si>
  <si>
    <t>ALIMENTACION DE LA CIUDAD DE MOQUEGUA DEL PERSONAL DE LA SEMANA 09</t>
  </si>
  <si>
    <t>2025-07-15 16:47:00</t>
  </si>
  <si>
    <t>https://storage.googleapis.com/deytha-prod/payments/M5bYd3pRjwyBNoZMHtSgiAGS5MHE7N8Xkm3r1EEY.pdf</t>
  </si>
  <si>
    <t>https://storage.googleapis.com/deytha-prod/paymentBills/uJgHE7l4vk5zRtq0tHd1VSDpTVWFSCDIltC34ah1.png</t>
  </si>
  <si>
    <t>https://storage.googleapis.com/deytha-prod/supplierBills/VZVcqIS1Vhk6WhsqPz6bYCnzSCG1spIY0sERN6Nx.png</t>
  </si>
  <si>
    <t>2025-07-15 12:48:29</t>
  </si>
  <si>
    <t>2025-07-16 07:48:16</t>
  </si>
  <si>
    <t>PAGO DE ALIMENTACION DE PERSONAL EN MOQUEGUA DE LA SEMANA 10</t>
  </si>
  <si>
    <t>2025-07-15 16:44:00</t>
  </si>
  <si>
    <t>https://storage.googleapis.com/deytha-prod/payments/m9dWWDYXKQAUm6AQp44jFlbRWOYD6nQTEHZhwljU.pdf</t>
  </si>
  <si>
    <t>https://storage.googleapis.com/deytha-prod/paymentBills/9AN0gf4Rirv1DJ9RArtTjDkHZ6A0RIFKvFEyZkvx.png</t>
  </si>
  <si>
    <t>https://storage.googleapis.com/deytha-prod/supplierBills/fQ8EF4UE9cxfZUykd7Mv7GBLeuyMV5ZSikaRAJJN.png</t>
  </si>
  <si>
    <t>2025-07-12 16:24:45</t>
  </si>
  <si>
    <t>2025-07-14 10:37:38</t>
  </si>
  <si>
    <t>2025-07-13 11:24:35</t>
  </si>
  <si>
    <t xml:space="preserve">CEMENTO FRONTERA </t>
  </si>
  <si>
    <t>2025-07-18 11:40:00</t>
  </si>
  <si>
    <t>https://storage.googleapis.com/deytha-prod/payments/O9wjtdtP3SahrO5ihQVcJnjJSoUAoTtgicmQ6cjq.pdf</t>
  </si>
  <si>
    <t>https://storage.googleapis.com/deytha-prod/paymentBills/R07DRl87wkeXdGBjPbj00m9fPnVH7nmYLzyaxrkp.png</t>
  </si>
  <si>
    <t>https://storage.googleapis.com/deytha-prod/supplierBills/wlnmOHLVc7EFNDmewdesrruHwdjdsbkY6iVijONQ.pdf</t>
  </si>
  <si>
    <t>2025-07-12 16:29:33</t>
  </si>
  <si>
    <t>2025-07-13 11:29:16</t>
  </si>
  <si>
    <t xml:space="preserve">UNIFORME PARA PERSONAL NUEVO </t>
  </si>
  <si>
    <t>2025-07-22 19:33:00</t>
  </si>
  <si>
    <t>https://storage.googleapis.com/deytha-prod/payments/K1XMh9Yy1hR3ZoGCPDDE6l6pR3dL7Zi7rNDkY7Af.pdf</t>
  </si>
  <si>
    <t>https://storage.googleapis.com/deytha-prod/paymentBills/B1HOYhyTKSsVKV2s7XZ97hGzDA2NhNI9lN0LJNIW.png</t>
  </si>
  <si>
    <t>https://storage.googleapis.com/deytha-prod/supplierBills/5eHq71modVgwPhaWywGzE9vrB49QF6wQxlPBddYa.pdf</t>
  </si>
  <si>
    <t>2025-07-12 16:48:30</t>
  </si>
  <si>
    <t>2025-07-13 11:48:24</t>
  </si>
  <si>
    <t>2025-07-22 19:29:00</t>
  </si>
  <si>
    <t>https://storage.googleapis.com/deytha-prod/payments/QOSIUlVGegCU4RrFhR6TlOwy7mW20tiIBrwvf5Rz.pdf</t>
  </si>
  <si>
    <t>https://storage.googleapis.com/deytha-prod/paymentBills/LRlYdBfWBayi4Wm8fq9A9OljdzzH3qRofMYu91jv.png</t>
  </si>
  <si>
    <t>https://storage.googleapis.com/deytha-prod/supplierBills/SH3ofIvjttOj9Ni5DwZOqmQmFo2opkfSITV6Ud0w.pdf</t>
  </si>
  <si>
    <t>2025-07-12 17:15:19</t>
  </si>
  <si>
    <t>2025-07-13 12:15:01</t>
  </si>
  <si>
    <t>UTILES DE ESCRITORIO AREA SSOMA</t>
  </si>
  <si>
    <t>2025-07-16 18:11:00</t>
  </si>
  <si>
    <t>https://storage.googleapis.com/deytha-prod/payments/9sAwQaMTU40EZFaTSkGMLWtvu3Q1wuie8J0e0YS9.jpg</t>
  </si>
  <si>
    <t>https://storage.googleapis.com/deytha-prod/paymentBills/m1tiZyNCoFfzx56nOrh33Os915BHR58Ov6SfdCGr.png</t>
  </si>
  <si>
    <t>https://storage.googleapis.com/deytha-prod/supplierBills/BrigY8PbmR9Vcc7uwU9wumwV4FF45sbmmgSP3fIL.pdf</t>
  </si>
  <si>
    <t>2025-07-12 17:34:57</t>
  </si>
  <si>
    <t>2025-07-13 12:34:07</t>
  </si>
  <si>
    <t>ADITIVOS 
SIKA 
CHEMA LAC</t>
  </si>
  <si>
    <t>2025-07-18 11:47:00</t>
  </si>
  <si>
    <t>https://storage.googleapis.com/deytha-prod/payments/jYYe3UFGZ4EUzVR7ptxeg5ldAu1Q2moGjFr8GS28.pdf</t>
  </si>
  <si>
    <t>https://storage.googleapis.com/deytha-prod/paymentBills/fLITB38ka7lxwyWbClAgN2fs3lu6v5oD9WfW7vcj.png</t>
  </si>
  <si>
    <t>https://storage.googleapis.com/deytha-prod/supplierBills/EJdj3kADZ3b7YoSf7wko1esEJjlNsaQBaVhOXldt.pdf</t>
  </si>
  <si>
    <t>2025-07-13 22:23:19</t>
  </si>
  <si>
    <t>2025-07-14 17:22:58</t>
  </si>
  <si>
    <t>COMBUSTIBLE PARA UNDIADES  DEL 01 AL 06 DE JULIO 2025</t>
  </si>
  <si>
    <t>2025-07-16 18:26:00</t>
  </si>
  <si>
    <t>https://storage.googleapis.com/deytha-prod/payments/OeS1xr89ta1ugNagBSClr1MAdIdqe1yGfIp4uETH.pdf</t>
  </si>
  <si>
    <t>https://storage.googleapis.com/deytha-prod/paymentBills/IoPBYARy2uLZsjqj9g8p9Qi0pZmFjGbsKNIHR3uR.png</t>
  </si>
  <si>
    <t>https://storage.googleapis.com/deytha-prod/supplierBills/TQNXSjM4LQDVtqJ3BthfKDUaUmdBx4ouNf3JCVBm.pdf</t>
  </si>
  <si>
    <t>2025-07-13 22:49:08</t>
  </si>
  <si>
    <t>2025-07-14 17:48:28</t>
  </si>
  <si>
    <t xml:space="preserve">FENOLICO 
SOLERAS </t>
  </si>
  <si>
    <t>2025-07-18 18:50:00</t>
  </si>
  <si>
    <t>https://storage.googleapis.com/deytha-prod/payments/NwkXhYze8hRiEpIdOslWCScfAWkcpayH7FyLAsYz.pdf</t>
  </si>
  <si>
    <t>https://storage.googleapis.com/deytha-prod/paymentBills/hpGizg7bIKeozOJ0FtkTqtQc8cvNUMkyDwUQSdnx.png</t>
  </si>
  <si>
    <t>https://storage.googleapis.com/deytha-prod/supplierBills/6yh3KjxhGyWUNn4Rhjt38DUXmYa3YPaPLnwcuaVW.pdf</t>
  </si>
  <si>
    <t>2025-07-14 01:40:36</t>
  </si>
  <si>
    <t>2025-07-16 11:40:31</t>
  </si>
  <si>
    <t>ALQUILER DE ESTACION TOTAL MARCA LEICA MODELO TS07-1 
Y
 NIVEL TOPOGRAFICO MODELO LEICA NA332 
 16 DIAS 
DEL 21 DEJUNIO AL 09 DE JULIO 2025</t>
  </si>
  <si>
    <t>2025-07-22 19:46:00</t>
  </si>
  <si>
    <t>https://storage.googleapis.com/deytha-prod/payments/2pNHOOWLZ0Xl7Bc1vtrdmX1kKZUFkz7BPVLlb5PH.pdf</t>
  </si>
  <si>
    <t>https://storage.googleapis.com/deytha-prod/paymentBills/24FPPs7FNb5fyFd4jk2ve3lypuaXbzcvwlddbo6Y.png</t>
  </si>
  <si>
    <t>https://storage.googleapis.com/deytha-prod/supplierBills/EqAMrTo8D4HZuKGkbvGHEnN3QcXVDRwx5pzQGSxk.pdf</t>
  </si>
  <si>
    <t>2025-07-12 15:07:28</t>
  </si>
  <si>
    <t>2025-07-12 10:46:38</t>
  </si>
  <si>
    <t>2025-07-13 10:04:46</t>
  </si>
  <si>
    <t>ALQUILER DE ANDAMIOS 
SEGUN COTIZACION DE PROVEEDOR Valtus seguridad y construccion SRL
ALQUILER POR 15 DIAS 
PROYECTO CUAJONE</t>
  </si>
  <si>
    <t>2025-07-14 10:12:00</t>
  </si>
  <si>
    <t>https://storage.googleapis.com/deytha-prod/payments/8wXIGsPBayQzji5j4lCunf89Htn8Fia9sWB7G8HZ.pdf</t>
  </si>
  <si>
    <t>https://storage.googleapis.com/deytha-prod/paymentBills/Xeldcefd7daX1zo2djCeeJOWHCWHmAcXkcmRhqgT.png</t>
  </si>
  <si>
    <t>https://storage.googleapis.com/deytha-prod/supplierBills/VzHyteRXNqCDpvqNF5oNs8n1gNg42Dho4Fs4Klel.pdf</t>
  </si>
  <si>
    <t>2025-07-11 13:40:14</t>
  </si>
  <si>
    <t>2025-07-11 16:43:51</t>
  </si>
  <si>
    <t>2025-07-12 11:43:46</t>
  </si>
  <si>
    <t>2025-07-21 17:28:00</t>
  </si>
  <si>
    <t>https://storage.googleapis.com/deytha-prod/payments/Itwz9paezLsqqQ5q7A0FaXEONz3lUNxghucZvUfQ.pdf</t>
  </si>
  <si>
    <t>https://storage.googleapis.com/deytha-prod/paymentBills/7QGyTNV5UMmPTjTtSJG6IlkgDYmGWAhbBsF5fMb8.png</t>
  </si>
  <si>
    <t>https://storage.googleapis.com/deytha-prod/supplierBills/a2n8aW33Cmz0nPoPMJtoFlBhoJr7DvSpUQHGmzVX.pdf</t>
  </si>
  <si>
    <t>2025-07-11 16:44:57</t>
  </si>
  <si>
    <t>2025-07-12 11:44:56</t>
  </si>
  <si>
    <t>2025-07-31 21:17:00</t>
  </si>
  <si>
    <t>https://storage.googleapis.com/deytha-prod/payments/evmlBF7YPH1ywWZLOsQyegiu4u9svFJugv3jHvsA.pdf</t>
  </si>
  <si>
    <t>https://storage.googleapis.com/deytha-prod/paymentBills/h61vfu8QbG9hiAHr3eKd6FPaJrGtWISMw70LJr4u.png</t>
  </si>
  <si>
    <t>https://storage.googleapis.com/deytha-prod/supplierBills/I9mITgMSCRSM3tVuJPQITGeVarj73ZHZL8i6RWOf.pdf</t>
  </si>
  <si>
    <t>2025-07-11 16:31:30</t>
  </si>
  <si>
    <t>2025-07-11 13:03:19</t>
  </si>
  <si>
    <t>2025-07-11 12:31:14</t>
  </si>
  <si>
    <t>PAGO POR EMO DE CCOPA QUISPE ISIDRO Y QUISPE CCALLA PERCY</t>
  </si>
  <si>
    <t>2025-07-11 16:13:00</t>
  </si>
  <si>
    <t>https://storage.googleapis.com/deytha-prod/payments/FpRftsXebA5SZ8xaJy8hbRV7hZfAUCb4nIoCa7DJ.xlsx</t>
  </si>
  <si>
    <t>https://storage.googleapis.com/deytha-prod/paymentBills/afK6XJZ7xoabmclHE6ijV5MozzUrD4BEml47MTV5.png</t>
  </si>
  <si>
    <t>https://storage.googleapis.com/deytha-prod/supplierBills/VP1vrxrmxPsM1EohdtYrqNeqc6BSG6GnPMoTQUrg.pdf</t>
  </si>
  <si>
    <t>2025-07-11 03:38:36</t>
  </si>
  <si>
    <t>2025-07-10 22:38:36</t>
  </si>
  <si>
    <t>2025-07-14 12:22:00</t>
  </si>
  <si>
    <t>https://storage.googleapis.com/deytha-prod/worker/settle/9FqFik83mPDmEWMe5Kyp9fWMKwrAEUJ24yPhYxx7.pdf</t>
  </si>
  <si>
    <t>https://storage.googleapis.com/deytha-prod/paymentBills/22j6B4dY8WkalTMTyaKVAOL9uQWoV6gQZo788vx9.png</t>
  </si>
  <si>
    <t>2025-07-09 17:48:06</t>
  </si>
  <si>
    <t>2025-07-10 13:33:53</t>
  </si>
  <si>
    <t>2025-07-10 12:47:54</t>
  </si>
  <si>
    <t xml:space="preserve">Concreto Premezclado 21 Mpa, con cemento Tipo IP por 10m3 , Incluye servicio de bomba Telescópica brazo 32mt por 10m3
</t>
  </si>
  <si>
    <t>2025-07-11 14:57:00</t>
  </si>
  <si>
    <t>https://storage.googleapis.com/deytha-prod/payments/zm0QFvMiePTmyFUEg5hOCQkYvOVlAYUuTG0ZDbqC.pdf</t>
  </si>
  <si>
    <t>https://storage.googleapis.com/deytha-prod/paymentBills/RvInKbHYkj1EShvnIyDjJqASLZYZtZY8qALoShZE.png</t>
  </si>
  <si>
    <t>https://storage.googleapis.com/deytha-prod/supplierBills/X59tMcmWb0hIXrlSAd7Eb7N3GvYxmurRgiTHHejk.pdf</t>
  </si>
  <si>
    <t>2025-07-09 18:45:20</t>
  </si>
  <si>
    <t>2025-07-10 09:57:49</t>
  </si>
  <si>
    <t>2025-07-10 13:45:13</t>
  </si>
  <si>
    <t>ORMEÑO MIRELES MARTIN OSCAR</t>
  </si>
  <si>
    <t>Por servicio de operador de camión grúa de 7 TN de placa Z7Z-828 por los días 22 y 23 de mayo</t>
  </si>
  <si>
    <t>2025-07-14 19:43:00</t>
  </si>
  <si>
    <t>https://storage.googleapis.com/deytha-prod/paymentBills/EdfgMEZsp6lWBThTRgzjOpyhDNN0HyWXjsyIVLSy.png</t>
  </si>
  <si>
    <t>https://storage.googleapis.com/deytha-prod/supplierBills/wgyjfofM74ThtI9VTmF7SiQHUxSPFjXkslg9yIrj.pdf</t>
  </si>
  <si>
    <t>2025-07-09 18:46:29</t>
  </si>
  <si>
    <t>2025-07-10 13:46:16</t>
  </si>
  <si>
    <t>Por servicio de operador de camión grúa de 12 TN de placa Z6P-829 por 8 días del 5 al 12 de junio</t>
  </si>
  <si>
    <t>2025-07-14 19:46:00</t>
  </si>
  <si>
    <t>https://storage.googleapis.com/deytha-prod/payments/zmMWIiR2jPELSSy4b0uGQAp4blA7F2bcGierhvab.pdf</t>
  </si>
  <si>
    <t>https://storage.googleapis.com/deytha-prod/paymentBills/pTUjhIeRtAQD5e0YGlmOGHprf5kdkahwVy0ASgOs.png</t>
  </si>
  <si>
    <t>https://storage.googleapis.com/deytha-prod/supplierBills/zooKwkohnJDEAHdBv2g0pj6c0qdtnac4ys6aR8FR.pdf</t>
  </si>
  <si>
    <t>2025-07-09 17:02:38</t>
  </si>
  <si>
    <t>2025-07-09 18:59:13</t>
  </si>
  <si>
    <t>2025-07-10 13:59:04</t>
  </si>
  <si>
    <t xml:space="preserve">MADERA 2*2 
MADERA 2*3 
MADERA 3*3 </t>
  </si>
  <si>
    <t>2025-07-09 18:58:00</t>
  </si>
  <si>
    <t>https://storage.googleapis.com/deytha-prod/payments/RfgJ5FIoCtiGdVDrRiDbFzTmCNiztlCLq82mrVEM.pdf</t>
  </si>
  <si>
    <t>https://storage.googleapis.com/deytha-prod/paymentBills/YRJUKouPPj7qwYMFni7wbrjDXlODDm3qm0I8VCKu.png</t>
  </si>
  <si>
    <t>https://storage.googleapis.com/deytha-prod/supplierBills/cVq8gC0vnmHZVUTmlq7P7aH4X6UbZD7OQhJz49gL.pdf</t>
  </si>
  <si>
    <t>2025-07-09 19:12:51</t>
  </si>
  <si>
    <t>2025-07-10 14:12:31</t>
  </si>
  <si>
    <t>* ALCOHOLIMETRO IBLOW10
N/S: TBH1P0023
TELUROMETRO FLUKE 1623-2 N/S: ST223614072B2 CODIGO : PROCEDIMIENTO : "EURAMET</t>
  </si>
  <si>
    <t>2025-07-09 19:19:00</t>
  </si>
  <si>
    <t>https://storage.googleapis.com/deytha-prod/payments/nkqh4CLI1xIgMCQMOO28sBa96LCZgUeJFyi4JxyA.pdf</t>
  </si>
  <si>
    <t>https://storage.googleapis.com/deytha-prod/paymentBills/iEWcQx7sy3BRSuAwaU4NGXxQua6rSwFupM5LDYaN.png</t>
  </si>
  <si>
    <t>https://storage.googleapis.com/deytha-prod/supplierBills/bkZvBZS4MqvAiObP9uqjF2ZxbNA2FSjxwBWdnw22.pdf</t>
  </si>
  <si>
    <t>2025-07-09 19:18:06</t>
  </si>
  <si>
    <t>2025-07-10 14:17:43</t>
  </si>
  <si>
    <t>CEMENTO 
TUBO
ALAMBRE</t>
  </si>
  <si>
    <t>2025-07-09 19:05:00</t>
  </si>
  <si>
    <t>https://storage.googleapis.com/deytha-prod/payments/7UM6Z53aSIcToYejQhVzPTqZWGvVdcXfm3xn92sv.pdf</t>
  </si>
  <si>
    <t>https://storage.googleapis.com/deytha-prod/paymentBills/uWT3ilWvoocjUlGs49rvtHYp9wiR6484fLzojETt.png</t>
  </si>
  <si>
    <t>https://storage.googleapis.com/deytha-prod/supplierBills/a0khRPSJmVBXZS0iyEvEq89tdZSRehqanFVKNJ2c.pdf</t>
  </si>
  <si>
    <t>2025-07-09 19:37:01</t>
  </si>
  <si>
    <t>2025-07-10 14:36:47</t>
  </si>
  <si>
    <t xml:space="preserve">SERVICIO DE TRASLADO DE ESCALERAS EMBONABLES DESDE LIMA HACIA MOQEUGUA 
EMPRESA MARVISUR </t>
  </si>
  <si>
    <t>2025-07-11 15:40:00</t>
  </si>
  <si>
    <t>https://storage.googleapis.com/deytha-prod/payments/2mQVUsJoq5bM3sAhiSidkQzWxhZQ19cBIag92sdT.jpg</t>
  </si>
  <si>
    <t>https://storage.googleapis.com/deytha-prod/paymentBills/kiYOaCjbV9cdIZYRRi0W1NJV9jJyq9e6rm71SJnw.png</t>
  </si>
  <si>
    <t>https://storage.googleapis.com/deytha-prod/supplierBills/RLbKqcgyV8AW1INdpqwcNCMyZA4zq1zceQkqbj6t.pdf</t>
  </si>
  <si>
    <t>2025-07-09 19:53:01</t>
  </si>
  <si>
    <t>2025-07-10 14:52:37</t>
  </si>
  <si>
    <t xml:space="preserve">ALQUILER DE RODILLO CHUPETERO
* 02 DIAS 
30 Y 01 JUNIO </t>
  </si>
  <si>
    <t>2025-07-11 16:19:00</t>
  </si>
  <si>
    <t>https://storage.googleapis.com/deytha-prod/payments/GXnyne3omwwynRG3ZSHWM2gNpGX9tDvdzGogMK1E.pdf</t>
  </si>
  <si>
    <t>https://storage.googleapis.com/deytha-prod/paymentBills/I1v2YjsGbCUs5okJDj6arbbzAfs3DmO1hJPEXevi.png</t>
  </si>
  <si>
    <t>https://storage.googleapis.com/deytha-prod/supplierBills/e8zsubWXjBSsiCvCAM0I4BUrzTUA1My0ngUYRLBZ.pdf</t>
  </si>
  <si>
    <t>2025-07-09 19:55:57</t>
  </si>
  <si>
    <t>2025-07-10 14:55:45</t>
  </si>
  <si>
    <t>RADIOS TALKAOUT 
COLOR AMARILLO 
CORTO ALCANZE</t>
  </si>
  <si>
    <t>2025-07-15 11:23:00</t>
  </si>
  <si>
    <t>https://storage.googleapis.com/deytha-prod/payments/pkm7W2muuzGwLQMVBFkEGBHZxsmpxQrH3QD7X4AD.pdf</t>
  </si>
  <si>
    <t>https://storage.googleapis.com/deytha-prod/paymentBills/wsWUOrGN6uFOrC3legwZhOMB81SgxufGCR6QuYqr.pdf</t>
  </si>
  <si>
    <t>https://storage.googleapis.com/deytha-prod/supplierBills/Kk4XifPqyG1tTOUL9vMJf5hAjk3SueHvFT1bbbGN.pdf</t>
  </si>
  <si>
    <t>2025-07-09 20:21:26</t>
  </si>
  <si>
    <t>2025-07-10 15:21:18</t>
  </si>
  <si>
    <t xml:space="preserve">ESCANTILLONES 
CLAVOS
DADOS DE CONCRETO </t>
  </si>
  <si>
    <t>2025-07-09 19:10:00</t>
  </si>
  <si>
    <t>https://storage.googleapis.com/deytha-prod/payments/PEfSnJlRfRpODg7JtJQ53Tjhh44rNXtRZWSKuCOX.pdf</t>
  </si>
  <si>
    <t>https://storage.googleapis.com/deytha-prod/paymentBills/LwcQJy9IFWkMSFE6AJD0qSHayVClokxZRCCq7HkE.png</t>
  </si>
  <si>
    <t>https://storage.googleapis.com/deytha-prod/supplierBills/NiL6G71lw69t5EMkPHVq730En2EC5DlWVdXJfM3n.pdf</t>
  </si>
  <si>
    <t>2025-07-09 21:03:41</t>
  </si>
  <si>
    <t>2025-07-10 16:03:33</t>
  </si>
  <si>
    <t>ARNES LINIERO ELASTICO 
MORRALES DE RES PARA LINIERO</t>
  </si>
  <si>
    <t>2025-07-09 19:15:00</t>
  </si>
  <si>
    <t>https://storage.googleapis.com/deytha-prod/payments/D9s59IHpTDCWy9CgoyxMq13J7lB0NaD6aufgaOWX.pdf</t>
  </si>
  <si>
    <t>https://storage.googleapis.com/deytha-prod/paymentBills/uznDztzXjaMgQsfAhPzOCPjosJMQ1fyJiYWLY7g3.png</t>
  </si>
  <si>
    <t>https://storage.googleapis.com/deytha-prod/supplierBills/O0wHeBIx1THS4rAzME0HEsuRSLgEphLiOMxHDhZ5.pdf</t>
  </si>
  <si>
    <t>2025-07-09 21:43:30</t>
  </si>
  <si>
    <t>2025-07-10 16:43:20</t>
  </si>
  <si>
    <t>CALEFACTOR 
FRENTE A3</t>
  </si>
  <si>
    <t>2025-07-11 15:44:00</t>
  </si>
  <si>
    <t>https://storage.googleapis.com/deytha-prod/payments/ke6gBReDla8KZkuD1f7UWFsECydoifziTzIOh7z4.pdf</t>
  </si>
  <si>
    <t>https://storage.googleapis.com/deytha-prod/paymentBills/aTHiqyWFzF2O2nGY22bDvUg3mH8ALg1mS4csURzN.pdf</t>
  </si>
  <si>
    <t>https://storage.googleapis.com/deytha-prod/supplierBills/hYhvrbAWoYzpA8ir6Tk0vYCiQyh9XMZGKXbTIktx.pdf</t>
  </si>
  <si>
    <t>2025-07-09 17:13:47</t>
  </si>
  <si>
    <t>2025-07-09 12:16:27</t>
  </si>
  <si>
    <t>2025-07-09 13:13:45</t>
  </si>
  <si>
    <t xml:space="preserve">PAGO POR EMO DE ESCARCENA MAMANI RAQUEL </t>
  </si>
  <si>
    <t>2025-07-09 14:50:00</t>
  </si>
  <si>
    <t>https://storage.googleapis.com/deytha-prod/payments/pa70VhMYV33y6jmKLwZTKmRr2gCMjnChy1FeEjXn.xlsx</t>
  </si>
  <si>
    <t>https://storage.googleapis.com/deytha-prod/paymentBills/1pkmdaw04LMcB86OAwQy1Ia7mHjHoNaGa3IQjySQ.png</t>
  </si>
  <si>
    <t>https://storage.googleapis.com/deytha-prod/supplierBills/rH4QTNUiyPlio0jxYMPan9lIH1dRGIYbF0hEQtha.pdf</t>
  </si>
  <si>
    <t>VALOR DE NEGOCIO</t>
  </si>
  <si>
    <t>2025-07-08 20:43:18</t>
  </si>
  <si>
    <t>2025-07-08 15:43:33</t>
  </si>
  <si>
    <t>2025-07-09 15:43:14</t>
  </si>
  <si>
    <t>DEVOLUCIÓN POR EL PAGO REALIZADO DEL SERVICIO DE INTERNET EN LA OFICINA CENTRAL DE MOQUEGUA</t>
  </si>
  <si>
    <t>2025-07-09 17:04:00</t>
  </si>
  <si>
    <t>https://storage.googleapis.com/deytha-prod/payments/JZezTnrjxG5wwoMF2FaziLF9hTPzVEDMFvbGz5kg.jpg</t>
  </si>
  <si>
    <t>https://storage.googleapis.com/deytha-prod/paymentBills/hwS6oQmJ1P8nqDbNx2xth23S07N5jpgJRmwsYSRA.png</t>
  </si>
  <si>
    <t>https://storage.googleapis.com/deytha-prod/supplierBills/2Hc07J1Hx0DOgZMxiSw98UXoTMtQpN6M1i1bdSKk.pdf</t>
  </si>
  <si>
    <t>2025-07-07 21:00:31</t>
  </si>
  <si>
    <t>2025-07-07 17:12:18</t>
  </si>
  <si>
    <t>2025-07-07 17:00:20</t>
  </si>
  <si>
    <t>PAGO POR EMO DE CONDORI CONDORI OMAR DANTE</t>
  </si>
  <si>
    <t>2025-07-07 17:40:00</t>
  </si>
  <si>
    <t>https://storage.googleapis.com/deytha-prod/payments/NNLs1WVNfP22SoLoO30aF3HV5SyiXJVU6SOkhOiu.pdf</t>
  </si>
  <si>
    <t>https://storage.googleapis.com/deytha-prod/paymentBills/KiatpHkmV70R1koW5o9t2qFE9mcTFsz20gRMGsWw.png</t>
  </si>
  <si>
    <t>https://storage.googleapis.com/deytha-prod/supplierBills/v9fSVBu2u3Ug9M6Xvu6o8FlXmlCQWYmu0z5Qu7pD.pdf</t>
  </si>
  <si>
    <t>2025-07-04 14:05:40</t>
  </si>
  <si>
    <t>2025-07-07 13:18:54</t>
  </si>
  <si>
    <t>2025-07-04 10:05:37</t>
  </si>
  <si>
    <t>DIAGNÓSTICO DE ESTACIÓN TOTAL</t>
  </si>
  <si>
    <t>2025-07-10 12:37:00</t>
  </si>
  <si>
    <t>https://storage.googleapis.com/deytha-prod/payments/hppMUMBzY0B1EPPIS2DEnDRGP1WPpxFIv4GgcBcS.pdf</t>
  </si>
  <si>
    <t>https://storage.googleapis.com/deytha-prod/paymentBills/dKyXz5j5jcn2GtwZMwSzYNtjlQJZVu8Pl2su6615.png</t>
  </si>
  <si>
    <t>https://storage.googleapis.com/deytha-prod/supplierBills/k6nsksWtZFpPydzlb3Sjz51Cz5feVa9MmZRFAYg3.pdf</t>
  </si>
  <si>
    <t>2025-07-07 15:35:39</t>
  </si>
  <si>
    <t>2025-07-07 11:21:06</t>
  </si>
  <si>
    <t>2025-07-07 11:35:35</t>
  </si>
  <si>
    <t>PAGO POR EMO DE RUEDA CRUZ BRYAN ALDAIR</t>
  </si>
  <si>
    <t>2025-07-07 18:28:00</t>
  </si>
  <si>
    <t>https://storage.googleapis.com/deytha-prod/payments/Ejn0buwDefJm8qpCM7fNwOJz4chwNGvR80Uvuzxa.pdf</t>
  </si>
  <si>
    <t>https://storage.googleapis.com/deytha-prod/paymentBills/w3R3ogZf2dH6pBbh4DFn5WnHEEYNzYCI1PHKrEVn.pdf</t>
  </si>
  <si>
    <t>https://storage.googleapis.com/deytha-prod/supplierBills/sIWs3nxhbXrRnzJwySXBZep7wphp3ngZAHws3Ah2.pdf</t>
  </si>
  <si>
    <t>2025-07-07 15:58:24</t>
  </si>
  <si>
    <t>2025-07-07 11:58:19</t>
  </si>
  <si>
    <t>PAGO POR EMO DE YUCRA SANCA HANS JEAMPIER</t>
  </si>
  <si>
    <t>2025-07-07 17:29:00</t>
  </si>
  <si>
    <t>https://storage.googleapis.com/deytha-prod/payments/ZBFBHPkJEsnWZyPY3rjZeF8M4R8jao5GUUM4YclH.pdf</t>
  </si>
  <si>
    <t>https://storage.googleapis.com/deytha-prod/paymentBills/XDtNh8U3WL0KZJTYbHXixVd4ImfO2ylBYVR5og49.png</t>
  </si>
  <si>
    <t>https://storage.googleapis.com/deytha-prod/supplierBills/IN0kkeuQ7QAMRMqB5hd0RImhc9Sorr5ujnUW9DuL.pdf</t>
  </si>
  <si>
    <t>2025-07-07 15:16:22</t>
  </si>
  <si>
    <t>2025-07-07 10:19:12</t>
  </si>
  <si>
    <t>2025-07-07 11:16:12</t>
  </si>
  <si>
    <t>PAGO POR EMO DE VASQUEZ RAMIREZ NELSON</t>
  </si>
  <si>
    <t>2025-07-07 17:45:00</t>
  </si>
  <si>
    <t>https://storage.googleapis.com/deytha-prod/payments/mK5m6XYxKNdLcHQFryqSuTufA99lyXIUFOpb6DjZ.png</t>
  </si>
  <si>
    <t>https://storage.googleapis.com/deytha-prod/paymentBills/RDiS352s5I7vMWKs2nV7hqARxihJ7wxiUiHN1jlL.png</t>
  </si>
  <si>
    <t>https://storage.googleapis.com/deytha-prod/supplierBills/7kMaAyLKIlgPdd87XXZHcKFoZZaAlqvMGzUEQCvm.pdf</t>
  </si>
  <si>
    <t>2025-07-04 19:29:53</t>
  </si>
  <si>
    <t>2025-07-07 09:24:08</t>
  </si>
  <si>
    <t>2025-07-05 14:29:39</t>
  </si>
  <si>
    <t>CEMENTO CONDUCTIVO X 25 KG - THORGEM
BENTONITA SODICA X 30 KG</t>
  </si>
  <si>
    <t>2025-07-07 11:22:00</t>
  </si>
  <si>
    <t>https://storage.googleapis.com/deytha-prod/payments/aiXym6v2cmzWfz8oED6eq8m5b3JTio9rlP0i53h9.pdf</t>
  </si>
  <si>
    <t>https://storage.googleapis.com/deytha-prod/paymentBills/USclIYw7UtnOq5KqeNeDwmVzaLCr9p0DC6hgVMPv.jpg</t>
  </si>
  <si>
    <t>https://storage.googleapis.com/deytha-prod/supplierBills/FJQJKOGJ6Kw0ImnBhwOrtvD7l47ijpsYYDfKj8lV.pdf</t>
  </si>
  <si>
    <t>2025-07-04 20:34:07</t>
  </si>
  <si>
    <t>2025-07-04 15:48:00</t>
  </si>
  <si>
    <t>2025-07-04 16:34:02</t>
  </si>
  <si>
    <t xml:space="preserve">PAGO POR EMOS DE GUTIERREZ TORRES CIPRIANA Y
ESCARCENA VELASQUEZ WINSTON FELIPE
</t>
  </si>
  <si>
    <t>2025-07-04 16:52:00</t>
  </si>
  <si>
    <t>https://storage.googleapis.com/deytha-prod/payments/k4fTJH4eFxU9KZd2TifhjnLxs8do7RnsBcOYoMR7.xlsx</t>
  </si>
  <si>
    <t>https://storage.googleapis.com/deytha-prod/paymentBills/Y4lWoSd2uUrlmglZRZYvwgdMU9q9dLwkoTDUt4Jq.png</t>
  </si>
  <si>
    <t>https://storage.googleapis.com/deytha-prod/supplierBills/jy0nPFVLtal9T4YT4RmCc03plgoeJxs5SYmcrnKT.pdf</t>
  </si>
  <si>
    <t>2025-07-04 19:05:32</t>
  </si>
  <si>
    <t>2025-07-04 14:05:32</t>
  </si>
  <si>
    <t>2025-05-07 14:05:32</t>
  </si>
  <si>
    <t xml:space="preserve">machina / SE PAGO EN EFECTIVO 
</t>
  </si>
  <si>
    <t>2025-08-20 15:48:06</t>
  </si>
  <si>
    <t>https://storage.googleapis.com/deytha-prod/payments/C65YhVHYQqKne0KFVs3j4zVAEQ9vMlov2TJPD3iD.pdf</t>
  </si>
  <si>
    <t>2025-07-04 18:57:32</t>
  </si>
  <si>
    <t>2025-07-04 13:57:32</t>
  </si>
  <si>
    <t>2025-05-07 13:57:32</t>
  </si>
  <si>
    <t>PEÑALOZA FALCON FLOR JULIA</t>
  </si>
  <si>
    <t>papel Stikers / SE PAGO EN EFECTIVO </t>
  </si>
  <si>
    <t>https://storage.googleapis.com/deytha-prod/payments/4G0xSdn10hVEvq5RCricp9Ax6wngICACPMiRowcr.pdf</t>
  </si>
  <si>
    <t>2025-07-04 18:52:59</t>
  </si>
  <si>
    <t>2025-07-04 13:52:59</t>
  </si>
  <si>
    <t>2025-05-08 13:52:59</t>
  </si>
  <si>
    <t>CAPOGRA CONTRERAS YANINA KATIA</t>
  </si>
  <si>
    <t xml:space="preserve">bolsa de ocre tortoles inox  /  SE PAGO EN EFECTIVO 
</t>
  </si>
  <si>
    <t>2025-08-20 15:48:16</t>
  </si>
  <si>
    <t>https://storage.googleapis.com/deytha-prod/payments/DcB2IK9KTZrmqh2MFzWnqqstZEWQAI23giG4d3CC.pdf</t>
  </si>
  <si>
    <t>2025-07-04 18:28:57</t>
  </si>
  <si>
    <t>2025-07-04 13:28:57</t>
  </si>
  <si>
    <t>2025-05-23 13:28:57</t>
  </si>
  <si>
    <t>compra de 6 chips para celulares basicos</t>
  </si>
  <si>
    <t>https://storage.googleapis.com/deytha-prod/payments/T6uIu5TCeiqNd8hURexrfyuNQwwY5PBd1O65KPTa.pdf</t>
  </si>
  <si>
    <t>https://storage.googleapis.com/deytha-prod/payments/Epk8xtXiIjKRQlvFfXsAQI2XxgX3JyjCu6ey2blT.pdf</t>
  </si>
  <si>
    <t>2025-07-04 15:53:52</t>
  </si>
  <si>
    <t>2025-07-04 10:53:52</t>
  </si>
  <si>
    <t>2025-05-20 10:53:52</t>
  </si>
  <si>
    <t>formateo de laptop advance </t>
  </si>
  <si>
    <t>2025-08-20 15:48:10</t>
  </si>
  <si>
    <t>https://storage.googleapis.com/deytha-prod/payments/e34FfzERKFgBVQx0gq5nRSlM0xmwaci8rUn4xnDZ.pdf</t>
  </si>
  <si>
    <t>https://storage.googleapis.com/deytha-prod/payments/01s1hbMF4k4LeXpoFOiFhg73RfYaoVfuy6f84WWI.pdf</t>
  </si>
  <si>
    <t>2025-07-04 15:51:12</t>
  </si>
  <si>
    <t>2025-07-04 10:51:12</t>
  </si>
  <si>
    <t>2025-05-31 10:51:12</t>
  </si>
  <si>
    <t>servicio de carga camioncito recojo material de maderera pino -casa huerta </t>
  </si>
  <si>
    <t>2025-08-20 15:47:57</t>
  </si>
  <si>
    <t>https://storage.googleapis.com/deytha-prod/payments/9G7MjyeroOUkZ3hxz6SLnAJLjek0Y9Si4LklowmF.pdf</t>
  </si>
  <si>
    <t>https://storage.googleapis.com/deytha-prod/payments/i21o7qtCL8zCqwPrmGCIFI9BJIeGFDmx1m3Flcwx.pdf</t>
  </si>
  <si>
    <t>2025-07-04 15:48:08</t>
  </si>
  <si>
    <t>2025-07-04 10:48:08</t>
  </si>
  <si>
    <t>2025-05-21 10:48:08</t>
  </si>
  <si>
    <t>SERVICENTRO EL GALLITO S.C.R.LTDA.</t>
  </si>
  <si>
    <t>gasolina </t>
  </si>
  <si>
    <t>2025-08-20 15:48:00</t>
  </si>
  <si>
    <t>https://storage.googleapis.com/deytha-prod/payments/Bkhh93BO45ENeS4R68c9LGiyOk3u2K0BnwMdlFVF.pdf</t>
  </si>
  <si>
    <t>https://storage.googleapis.com/deytha-prod/payments/AEt6pbTCiZdwEUHPjLrFaz0RcoiVblUx6Sx4Senv.pdf</t>
  </si>
  <si>
    <t>2025-07-04 15:30:09</t>
  </si>
  <si>
    <t>2025-07-04 10:30:09</t>
  </si>
  <si>
    <t>2025-05-31 10:30:09</t>
  </si>
  <si>
    <t>movilidad para recojo encomiendas y compras </t>
  </si>
  <si>
    <t>https://storage.googleapis.com/deytha-prod/payments/0bCbq1InuZXalOES47VDA1rGNcpsh8k7Iv2ZusGB.pdf</t>
  </si>
  <si>
    <t>https://storage.googleapis.com/deytha-prod/payments/HnWzsDWd7CtFvY2uv8kJEPCstve1ysdVcoeOqaet.pdf</t>
  </si>
  <si>
    <t>2025-07-04 15:29:13</t>
  </si>
  <si>
    <t>2025-07-04 10:29:13</t>
  </si>
  <si>
    <t>2025-05-06 10:29:13</t>
  </si>
  <si>
    <t>EMPRESA DE TRANSPORTES INTERPROVINCIAL ANGELITOS BLANCOS INTERNACIONAL S.R.L.</t>
  </si>
  <si>
    <t xml:space="preserve">movilidad arequipa moquegua / SE PAGO EN EFECTIVO 
</t>
  </si>
  <si>
    <t>2025-08-20 15:47:54</t>
  </si>
  <si>
    <t>https://storage.googleapis.com/deytha-prod/payments/C07pIIoWkUpPuK1t01y2vuWvZmLpqdeDrLetMxGi.pdf</t>
  </si>
  <si>
    <t>2025-07-04 15:25:31</t>
  </si>
  <si>
    <t>2025-07-04 10:25:31</t>
  </si>
  <si>
    <t>2025-04-28 10:25:31</t>
  </si>
  <si>
    <t xml:space="preserve">movilidad arequipa moquegua  / SE PAGO EN EFECTIVO 
</t>
  </si>
  <si>
    <t>2025-08-20 15:47:43</t>
  </si>
  <si>
    <t>https://storage.googleapis.com/deytha-prod/payments/69HBMw3LRLOuR1lYYGn9bVl9N5dfEmizY0xX0IOQ.pdf</t>
  </si>
  <si>
    <t>2025-07-04 15:24:19</t>
  </si>
  <si>
    <t>2025-07-04 10:24:19</t>
  </si>
  <si>
    <t>2025-05-02 10:24:19</t>
  </si>
  <si>
    <t>alimentacion  ssoma </t>
  </si>
  <si>
    <t>2025-08-20 15:47:50</t>
  </si>
  <si>
    <t>https://storage.googleapis.com/deytha-prod/payments/3upZ4kEv4z5K67qcNrCdSVe5qAsnGH0qA0zM8dyq.pdf</t>
  </si>
  <si>
    <t>https://storage.googleapis.com/deytha-prod/payments/pTuvShHqGgfrCGQv7R1n7hfZOJy9QObcxbAecIBo.pdf</t>
  </si>
  <si>
    <t>2025-07-04 15:21:17</t>
  </si>
  <si>
    <t>2025-07-04 10:21:17</t>
  </si>
  <si>
    <t>2025-05-06 10:21:17</t>
  </si>
  <si>
    <t>CHAVEZ CONDORI ANYELARD EDUARDO</t>
  </si>
  <si>
    <t>foco halogeno h15 12v 55w</t>
  </si>
  <si>
    <t>https://storage.googleapis.com/deytha-prod/payments/YiQ2NdVTRx0C3noNIW3WX0UxMhFueJmsrrjbYjBd.pdf</t>
  </si>
  <si>
    <t>https://storage.googleapis.com/deytha-prod/payments/P3tlDEnTfFMCakNj9CohgO5dCECQqmpUov1BR39A.pdf</t>
  </si>
  <si>
    <t>2025-07-04 15:17:53</t>
  </si>
  <si>
    <t>2025-07-04 10:17:53</t>
  </si>
  <si>
    <t>2025-05-22 10:17:53</t>
  </si>
  <si>
    <t>MAREDY INVERSIONES E.I.R.L.</t>
  </si>
  <si>
    <t>foco pertiga de seguridad led</t>
  </si>
  <si>
    <t>2025-08-20 15:47:47</t>
  </si>
  <si>
    <t>https://storage.googleapis.com/deytha-prod/payments/3u5QJaGjdpD8bIzMJh0LPL1D0PXSRzz8mzWjzLzR.pdf</t>
  </si>
  <si>
    <t>https://storage.googleapis.com/deytha-prod/payments/LZZDEjRjwLHf4mTqiRbnvY00gnyh87x9HG4KoQVM.pdf</t>
  </si>
  <si>
    <t>2025-07-04 15:14:44</t>
  </si>
  <si>
    <t>2025-07-04 10:14:44</t>
  </si>
  <si>
    <t>2025-05-23 10:14:44</t>
  </si>
  <si>
    <t>compra de insumos para pago de tierra en cuajone </t>
  </si>
  <si>
    <t>https://storage.googleapis.com/deytha-prod/payments/jTPYuQgatXNrs3fgjWSYuVfpGeqalnxgpONTKgcj.pdf</t>
  </si>
  <si>
    <t>https://storage.googleapis.com/deytha-prod/payments/Z63W5opFkPxqiEUKcgxRhAn1m45renPdNR7qr1o9.pdf</t>
  </si>
  <si>
    <t>2025-07-04 15:12:45</t>
  </si>
  <si>
    <t>2025-07-04 10:12:45</t>
  </si>
  <si>
    <t>2025-05-08 10:12:45</t>
  </si>
  <si>
    <t>micas
sobres manila
folder</t>
  </si>
  <si>
    <t>2025-08-20 15:47:41</t>
  </si>
  <si>
    <t>https://storage.googleapis.com/deytha-prod/payments/dW14YYtk1bGzSyo47UE5fUzjC19Oz5iFbfVO4xDk.pdf</t>
  </si>
  <si>
    <t>2025-07-04 15:11:22</t>
  </si>
  <si>
    <t>2025-07-04 10:11:22</t>
  </si>
  <si>
    <t>2025-05-31 10:11:22</t>
  </si>
  <si>
    <t>encomienda por shalom</t>
  </si>
  <si>
    <t>2025-08-20 15:47:39</t>
  </si>
  <si>
    <t>https://storage.googleapis.com/deytha-prod/payments/aUZJoviV1ljRsMxxdffJOHXzSmJb888MdFcVLCWj.pdf</t>
  </si>
  <si>
    <t>2025-07-04 15:09:39</t>
  </si>
  <si>
    <t>2025-07-04 10:09:39</t>
  </si>
  <si>
    <t>2025-05-16 10:09:39</t>
  </si>
  <si>
    <t>sika cem
sikaaer</t>
  </si>
  <si>
    <t>2025-08-20 15:48:28</t>
  </si>
  <si>
    <t>https://storage.googleapis.com/deytha-prod/payments/W3RNo1Uplga1oT8Iclo0b7OGhVDKcitHnZWuuqwE.pdf</t>
  </si>
  <si>
    <t>https://storage.googleapis.com/deytha-prod/payments/JBuOy0naAPNPD5tvJvm9ne8zfzGyiS9hrbUWos7Q.pdf</t>
  </si>
  <si>
    <t>2025-07-04 14:56:49</t>
  </si>
  <si>
    <t>2025-07-04 09:56:49</t>
  </si>
  <si>
    <t>2025-05-12 09:56:49</t>
  </si>
  <si>
    <t>transporte de madera de san antonio a samegua </t>
  </si>
  <si>
    <t>2025-08-20 15:47:34</t>
  </si>
  <si>
    <t>https://storage.googleapis.com/deytha-prod/payments/VKgT8quUOG1e5eqeAiXpn3OOWNEzHeYrOTq5D5e1.pdf</t>
  </si>
  <si>
    <t>https://storage.googleapis.com/deytha-prod/payments/YA08QlmHEt0v7UfWOZLhFKv5bg8HlezlpSCR2tSq.pdf</t>
  </si>
  <si>
    <t>2025-06-21 09:56:49</t>
  </si>
  <si>
    <t>taxi de lavado bus , taxi de regreso</t>
  </si>
  <si>
    <t>2025-08-20 15:47:35</t>
  </si>
  <si>
    <t>https://storage.googleapis.com/deytha-prod/payments/Ec7EP9nW5POIRqlmDA0PQ6qxPzl9C4lud2FpBAhM.pdf</t>
  </si>
  <si>
    <t>https://storage.googleapis.com/deytha-prod/payments/tDQzNrrl2zhGlNX8NyTpXAJ4nBabXulLAFScT662.pdf</t>
  </si>
  <si>
    <t>2025-04-29 09:56:49</t>
  </si>
  <si>
    <t>movilidad para cotizar en la ciudad de tacna</t>
  </si>
  <si>
    <t>2025-08-20 15:47:37</t>
  </si>
  <si>
    <t>https://storage.googleapis.com/deytha-prod/payments/DcOid1MPmzZgG8AGFbUNDrb9P7dGosnO1JhfFhGm.pdf</t>
  </si>
  <si>
    <t>https://storage.googleapis.com/deytha-prod/payments/cuvDIm6I36qgf6VVqXLNaCExlYFHjlaSrFo7TjVf.pdf</t>
  </si>
  <si>
    <t>2025-07-04 14:56:48</t>
  </si>
  <si>
    <t>2025-07-04 09:56:48</t>
  </si>
  <si>
    <t>2025-05-11 09:56:48</t>
  </si>
  <si>
    <t>CORPORACION HELEO S.A.C.</t>
  </si>
  <si>
    <t>compra de parihuela heleo </t>
  </si>
  <si>
    <t>2025-08-20 15:47:32</t>
  </si>
  <si>
    <t>https://storage.googleapis.com/deytha-prod/payments/ttyImUtkXO75iGLLdbR2jFb76x8Y5FmxvoFh9MVU.pdf</t>
  </si>
  <si>
    <t>https://storage.googleapis.com/deytha-prod/payments/b1lasvhQ84hWq98U29CioWljsxK4Y5elpfHqv6Xm.pdf</t>
  </si>
  <si>
    <t>2025-07-03 17:56:01</t>
  </si>
  <si>
    <t>2025-07-03 19:55:47</t>
  </si>
  <si>
    <t>2025-07-04 12:55:51</t>
  </si>
  <si>
    <t>COMBUSTIBLE PARA UNIDADES 
19 AL 30 JUNIO</t>
  </si>
  <si>
    <t>2025-07-04 21:04:00</t>
  </si>
  <si>
    <t>https://storage.googleapis.com/deytha-prod/payments/aBEnE3hGGN84iOazAASjfNwpj7fAfoqcAxDDOUXC.pdf</t>
  </si>
  <si>
    <t>https://storage.googleapis.com/deytha-prod/paymentBills/OomIjUnt0UUAX0Dkl4YP2aObshRlv4uThQfuv3uK.png</t>
  </si>
  <si>
    <t>https://storage.googleapis.com/deytha-prod/supplierBills/upTKsmXlyOuNG9GiGBH83T3DjHx5LvFVetZuXACC.pdf</t>
  </si>
  <si>
    <t>2025-07-03 22:30:48</t>
  </si>
  <si>
    <t>2025-07-04 17:30:13</t>
  </si>
  <si>
    <t>CABLE DE ALUMINIO AAAC</t>
  </si>
  <si>
    <t>2025-07-04 21:00:00</t>
  </si>
  <si>
    <t>https://storage.googleapis.com/deytha-prod/payments/FndsDMZNkMdw2JQYC1fC2SvJsPX5QkeIWw2t564u.pdf</t>
  </si>
  <si>
    <t>https://storage.googleapis.com/deytha-prod/paymentBills/VKvStNrKIUDBhmVFweC1UilD8PyWNZ7ilh9cq2nS.png</t>
  </si>
  <si>
    <t>https://storage.googleapis.com/deytha-prod/supplierBills/SgmRc7bLopfQDys8qSDO6CtBMIlNI6nOw7fAQZJj.pdf</t>
  </si>
  <si>
    <t>2025-07-03 14:25:57</t>
  </si>
  <si>
    <t>2025-07-01 21:12:10</t>
  </si>
  <si>
    <t>2025-07-02 16:11:43</t>
  </si>
  <si>
    <t>15 M3 DE PIEDRA CHANCA 3/4 PARA ZONA D2</t>
  </si>
  <si>
    <t>2025-07-14 19:40:00</t>
  </si>
  <si>
    <t>https://storage.googleapis.com/deytha-prod/payments/0utfEeO2zjVkJZXUXif9pD0XtdGZ96zb4XwYg2dj.pdf</t>
  </si>
  <si>
    <t>https://storage.googleapis.com/deytha-prod/paymentBills/0vk8B9SI3Vgz5qlOu9QuoU9GJQriNYvBOOT7CTLP.png</t>
  </si>
  <si>
    <t>https://storage.googleapis.com/deytha-prod/supplierBills/XUsKRUFdb7vJ6GRV7HeFmNUDuGwZbPIPlq1lrqU3.pdf</t>
  </si>
  <si>
    <t>2025-07-01 21:13:11</t>
  </si>
  <si>
    <t>2025-07-02 16:12:55</t>
  </si>
  <si>
    <t xml:space="preserve">15 M3 DE PIEDRA CHANCADA 3/4 PARA ZONA A3 </t>
  </si>
  <si>
    <t>2025-07-14 19:37:00</t>
  </si>
  <si>
    <t>https://storage.googleapis.com/deytha-prod/payments/yUrdV5p5lTb5mUQhyVy1BqoOiO8TlzKFp596oFoh.pdf</t>
  </si>
  <si>
    <t>https://storage.googleapis.com/deytha-prod/paymentBills/564FGgrq9eO6svvAeGssAtFdGhNdqpp8P4OmvhyP.png</t>
  </si>
  <si>
    <t>https://storage.googleapis.com/deytha-prod/supplierBills/xQ6XqyNkpwgUeWuQevg2DTxxJgEVk7E7mGVup6m8.pdf</t>
  </si>
  <si>
    <t>2025-07-01 21:14:55</t>
  </si>
  <si>
    <t>2025-07-02 16:14:41</t>
  </si>
  <si>
    <t>15 M3 DE ARENA GRUESA PARA ZONA A3</t>
  </si>
  <si>
    <t>2025-07-14 19:33:00</t>
  </si>
  <si>
    <t>https://storage.googleapis.com/deytha-prod/payments/lZ6hOGAZtv4JqNcZDr5qUJgGhNFHEwnrUz4IUFLR.pdf</t>
  </si>
  <si>
    <t>https://storage.googleapis.com/deytha-prod/paymentBills/Imzmhbs4g0yaDPzhOBSa5YX5CBxiQSTDm9HlkIex.png</t>
  </si>
  <si>
    <t>https://storage.googleapis.com/deytha-prod/supplierBills/wXUpAOfGmEqKtKGOx7f2OBwq5bdkrG8XVBcGnnGc.pdf</t>
  </si>
  <si>
    <t>2025-07-02 21:55:47</t>
  </si>
  <si>
    <t>María Alejandra Morales Gonzáles</t>
  </si>
  <si>
    <t>2025-07-03 16:53:32</t>
  </si>
  <si>
    <t>Alimentación PY-28. Semana 08.</t>
  </si>
  <si>
    <t>2025-07-04 20:44:00</t>
  </si>
  <si>
    <t>https://storage.googleapis.com/deytha-prod/payments/z7azBt25BEcaCpDfEpzNhXZxG50I0KUpxdDUnz9s.pdf</t>
  </si>
  <si>
    <t>https://storage.googleapis.com/deytha-prod/paymentBills/P1TfJzzj4V8mnWN2WmLXyL3jtTi4gFLS7K2dEpxs.png</t>
  </si>
  <si>
    <t>2025-07-01 21:49:02</t>
  </si>
  <si>
    <t>2025-07-02 20:36:48</t>
  </si>
  <si>
    <t>2025-07-15 16:48:51</t>
  </si>
  <si>
    <t>POR SERVICIO DE ALQUILER DE CAMION GRUA 7 TN PLACA Z7Z-828 DEL 22/05/2025 AL 14/06/2025 (5940-006 REEMPLAZO BASE 3 POR INSTALACION DE DOS BASES DE COMUNICACION-MINA CUAJONE)</t>
  </si>
  <si>
    <t>2025-07-24 18:13:00</t>
  </si>
  <si>
    <t>https://storage.googleapis.com/deytha-prod/payments/NeEGPySjoCdDxToDzcyfinYTad9HfReIaVbrGiiv.pdf</t>
  </si>
  <si>
    <t>https://storage.googleapis.com/deytha-prod/paymentBills/V9cPiGFmpgqWatumEzX4hPzX3DeqaZyuq5vsI5hu.pdf</t>
  </si>
  <si>
    <t>https://storage.googleapis.com/deytha-prod/supplierBills/mL1LBdxNcJTIJoiNzUyEuLLVUBTSEg48hj6FGqZU.pdf</t>
  </si>
  <si>
    <t>2025-06-21 13:12:51</t>
  </si>
  <si>
    <t>2025-07-02 19:40:06</t>
  </si>
  <si>
    <t>2025-07-06 08:12:27</t>
  </si>
  <si>
    <t>TRASLADO DE RETROEXCAVADORA A ZONA D2</t>
  </si>
  <si>
    <t>2025-07-31 09:24:00</t>
  </si>
  <si>
    <t>https://storage.googleapis.com/deytha-prod/payments/tbLIebR7xbA9bc5w5G0zrZSIVu4FQV7bpV7t78pE.pdf</t>
  </si>
  <si>
    <t>https://storage.googleapis.com/deytha-prod/paymentBills/YtsgfMTKcTAJdREPS6bk2NcQ07aY9b0Lh2tb3EPX.png</t>
  </si>
  <si>
    <t>https://storage.googleapis.com/deytha-prod/supplierBills/scegJxaodBB0lsIEbB8tqTDcKKdA3VNNOkCGhapz.pdf</t>
  </si>
  <si>
    <t>2025-07-01 16:14:41</t>
  </si>
  <si>
    <t>2025-07-02 11:14:38</t>
  </si>
  <si>
    <t>ALQUILER DE CONTENEDOR TIPO ALMACEN CON REPISAS
ALQUILER DE CONTENEDOR TIPO OFICINA
ALQUILER DE CONTENEDOR TIPO ALMACEN VACIO
ALQUILER DE CONTENEDOR TIPO OFICINA
ALQUILER DE CONTENEDOR TIPO ALMACEN CON REPISAS, DESDE EL 06/06/2025 AL 05/07/2025</t>
  </si>
  <si>
    <t>2025-07-22 12:49:00</t>
  </si>
  <si>
    <t>https://storage.googleapis.com/deytha-prod/payments/m7sbWS6vyrlpyEv8IoK32g4C2jmCdJbI5tmOaI23.pdf</t>
  </si>
  <si>
    <t>https://storage.googleapis.com/deytha-prod/paymentBills/MAcjjr38qJd5FZ992WlyZo6zYiyYJypQcOhb6QuA.pdf</t>
  </si>
  <si>
    <t>https://storage.googleapis.com/deytha-prod/supplierBills/SA87P9YeSEDowqPA5uw1qGvrCuAloJrfbeIpNe5p.pdf</t>
  </si>
  <si>
    <t>2025-07-01 16:16:41</t>
  </si>
  <si>
    <t>2025-07-02 11:16:35</t>
  </si>
  <si>
    <t>ALQUILER DE CONTENEDOR TIPO ALMACEN COLOR AZUL VACIO EN SU INTERIOR, DESDE EL 17/06/2025 AL 16/07/2025 PARA OBRA EN MINA CUAJONE DE ACUERDO A ORDEN DE SERVICIO FO-LO-21186</t>
  </si>
  <si>
    <t>2025-07-18 17:27:00</t>
  </si>
  <si>
    <t>https://storage.googleapis.com/deytha-prod/payments/bstDMfogoKxdtkm1sJOYxt8fYU2LTp9t7Et685w0.pdf</t>
  </si>
  <si>
    <t>https://storage.googleapis.com/deytha-prod/paymentBills/JzAHLU768uVMNiw7LbUulRBwvIqjjXn24R9Y3LMq.pdf</t>
  </si>
  <si>
    <t>https://storage.googleapis.com/deytha-prod/supplierBills/Oq4jnzenoQV2lU7i8S4LTmJY0lHgjO9KjDcRVi7x.pdf</t>
  </si>
  <si>
    <t>2025-07-01 17:29:28</t>
  </si>
  <si>
    <t>2025-07-02 12:27:28</t>
  </si>
  <si>
    <t>MDM SERVICE E.I.R.L.</t>
  </si>
  <si>
    <t>341-3003327584    CCI - 003-341-003003327584-50</t>
  </si>
  <si>
    <t xml:space="preserve">CERTIFICACION DE FIBRA OPTICA SM 9/125 -24  / 24 fusiones f.o </t>
  </si>
  <si>
    <t>2025-07-04 19:27:00</t>
  </si>
  <si>
    <t>https://storage.googleapis.com/deytha-prod/payments/zYvcFHY9APX31PzGBFkwCu7FmmNGyjLw0WL0Fz4a.pdf</t>
  </si>
  <si>
    <t>https://storage.googleapis.com/deytha-prod/paymentBills/7xs5CflojAc6LheS51nq5SUOJNrpHsVjJCHaA4uS.png</t>
  </si>
  <si>
    <t>https://storage.googleapis.com/deytha-prod/supplierBills/eXjunFcdZbcaX499ofXmMlWOwzfIfQrr8fy29E1P.pdf</t>
  </si>
  <si>
    <t>2025-07-02 14:22:59</t>
  </si>
  <si>
    <t>2025-07-03 09:22:46</t>
  </si>
  <si>
    <t>PINES 
SELLOS 
CUADERNO ANILLADO</t>
  </si>
  <si>
    <t>2025-07-04 21:07:00</t>
  </si>
  <si>
    <t>https://storage.googleapis.com/deytha-prod/payments/cKStHOQhyT642a0ysPX7yIiipWGHebDqljY2Jo4N.pdf</t>
  </si>
  <si>
    <t>https://storage.googleapis.com/deytha-prod/paymentBills/MTppKgkPJeMrW7S4tkKbi5ajGTtoz2rFSDNlIImC.png</t>
  </si>
  <si>
    <t>https://storage.googleapis.com/deytha-prod/rqf/25229/89817741-3981-4b84-a05d-601e0cc47e4d_F001-7574-DEYFOR EIRL.pdf</t>
  </si>
  <si>
    <t>2025-07-02 14:25:44</t>
  </si>
  <si>
    <t>2025-07-03 09:25:37</t>
  </si>
  <si>
    <t>ROTOMARTILLO MOD. GBH12-52DV 
MARCA BOSCH
AMOLADORA
JUEGO DE BROCAS MINERAS 
GRANDE Y MEDIANA GBH12-52DV</t>
  </si>
  <si>
    <t>2025-07-10 18:12:00</t>
  </si>
  <si>
    <t>https://storage.googleapis.com/deytha-prod/payments/jJrHvOIgucWUNTOJ08JJJCoghUNKxbNpfE9PFitv.pdf</t>
  </si>
  <si>
    <t>https://storage.googleapis.com/deytha-prod/paymentBills/PqftXqGnuO8KmgL4gOv22T6zLWgRMQ5KwVE4Slhp.png</t>
  </si>
  <si>
    <t>https://storage.googleapis.com/deytha-prod/supplierBills/OUd7lWxg45l6dy0uLEZR4rkfu24ksy4am4kIij8T.pdf</t>
  </si>
  <si>
    <t>2025-07-02 14:48:21</t>
  </si>
  <si>
    <t>2025-07-03 09:48:10</t>
  </si>
  <si>
    <t xml:space="preserve">ALQUILER DE OLLA WASHINGTON </t>
  </si>
  <si>
    <t>2025-07-11 16:09:00</t>
  </si>
  <si>
    <t>https://storage.googleapis.com/deytha-prod/payments/lMx7RX2LD2it7tcUD8qcy1rhFQ4KGkclxMvN6oT1.pdf</t>
  </si>
  <si>
    <t>https://storage.googleapis.com/deytha-prod/paymentBills/4EgxvwCzT7e4tyi0Tbq7mpV72jBgZgWbX6A5NACV.png</t>
  </si>
  <si>
    <t>https://storage.googleapis.com/deytha-prod/rqf/25232/13fc6f7e-17e3-45c4-ad96-38c9c9f19922_PDF-DOC-E001-17620607229962.pdf</t>
  </si>
  <si>
    <t>2025-07-02 15:33:46</t>
  </si>
  <si>
    <t>2025-07-03 10:33:34</t>
  </si>
  <si>
    <t>540 - 1823932 -0 - 99</t>
  </si>
  <si>
    <t>LADRILLO TECHO HUECO 15 (8T)15X30X30 DIAMANTE</t>
  </si>
  <si>
    <t>2025-07-07 11:28:00</t>
  </si>
  <si>
    <t>https://storage.googleapis.com/deytha-prod/payments/K1TuALBkQ3UZIvxx3Wr13IkwKTf1KD2DQvyjxfzr.pdf</t>
  </si>
  <si>
    <t>https://storage.googleapis.com/deytha-prod/paymentBills/trUuuMepOEhxT4Hmtcb2FIBJGeDHFkihtqIIDmor.jpg</t>
  </si>
  <si>
    <t>https://storage.googleapis.com/deytha-prod/rqf/25242/4b3ae2f9-b579-4393-897f-59586610fb4f_RICARDO.pdf</t>
  </si>
  <si>
    <t>2025-07-01 14:09:18</t>
  </si>
  <si>
    <t>2025-07-02 18:30:56</t>
  </si>
  <si>
    <t>2025-07-02 09:07:42</t>
  </si>
  <si>
    <t>UTILES DE OFICINA  - SSOMA</t>
  </si>
  <si>
    <t>2025-07-04 12:19:00</t>
  </si>
  <si>
    <t>https://storage.googleapis.com/deytha-prod/payments/fDvmvQhutANGq4ieLKS0vYloPyhr9pEeZ0mL7bHA.pdf</t>
  </si>
  <si>
    <t>https://storage.googleapis.com/deytha-prod/paymentBills/xknTCp8qXSGhoKOCHHCqDQHX8JDfEDBInHZI2EOg.png</t>
  </si>
  <si>
    <t>https://storage.googleapis.com/deytha-prod/supplierBills/QAe2UBuk7pzS4uKApcISNJBYdnTjElj7l4x8q8kW.pdf</t>
  </si>
  <si>
    <t>2025-07-01 14:30:55</t>
  </si>
  <si>
    <t>2025-07-02 09:30:24</t>
  </si>
  <si>
    <t xml:space="preserve">MORDAZA 
CABLE GALVANIZADO 
CONECTORES 
ABRAZADERAS DE 4 VIAS 
</t>
  </si>
  <si>
    <t>2025-07-03 11:50:00</t>
  </si>
  <si>
    <t>https://storage.googleapis.com/deytha-prod/payments/0I69s7Jba3AAeny7D7tM8rTbhLBGBDSjIfHvTbKG.pdf</t>
  </si>
  <si>
    <t>https://storage.googleapis.com/deytha-prod/paymentBills/bUw2XOQphIjykWc3P92NNvIbqpPrS2Z2vnvvdLYf.png</t>
  </si>
  <si>
    <t>https://storage.googleapis.com/deytha-prod/supplierBills/g5ZRYuoiUgEeUoExYlEtqr70Z9FNU1cu5jqNxE25.pdf</t>
  </si>
  <si>
    <t>2025-07-02 16:17:19</t>
  </si>
  <si>
    <t>2025-07-03 11:16:49</t>
  </si>
  <si>
    <t>2025-07-07 19:23:00</t>
  </si>
  <si>
    <t>https://storage.googleapis.com/deytha-prod/paymentBills/DkzeDjbJiPlvcKMliVUwSskPmD38JZphZ70gzkA2.png</t>
  </si>
  <si>
    <t>2025-07-02 18:50:26</t>
  </si>
  <si>
    <t>2025-07-03 13:49:41</t>
  </si>
  <si>
    <t xml:space="preserve">SILLAS Y MESAS </t>
  </si>
  <si>
    <t>2025-07-07 17:50:00</t>
  </si>
  <si>
    <t>https://storage.googleapis.com/deytha-prod/payments/8dj63tzCx2nOw44j2XvFC8d3Y9B6Q59L1tMzmIZA.pdf</t>
  </si>
  <si>
    <t>https://storage.googleapis.com/deytha-prod/paymentBills/qSAnfaIp7RAwGK3dDctxGGPz0rnobed6XAzon514.pdf</t>
  </si>
  <si>
    <t>https://storage.googleapis.com/deytha-prod/supplierBills/UKj1qdbKI5aCa1blzvvZ1ChyIFdVGVMegbM1Ccsa.pdf</t>
  </si>
  <si>
    <t>2025-07-02 21:37:20</t>
  </si>
  <si>
    <t>2025-07-03 16:36:28</t>
  </si>
  <si>
    <t>POWER H &amp; O EIRL</t>
  </si>
  <si>
    <t>215-2543604-0-85</t>
  </si>
  <si>
    <t xml:space="preserve">MEZCLADORA TIPO TROMPO DE 11 PIES CUBICOS CON MOTOR GOSOLINERO DE 13HP
GX390 
MOTOR HONDA </t>
  </si>
  <si>
    <t>2025-07-03 16:52:00</t>
  </si>
  <si>
    <t>https://storage.googleapis.com/deytha-prod/payments/30O0bu1dEn5k0OmX07JzJFln1QGpeBbOoCl0e0A5.pdf</t>
  </si>
  <si>
    <t>https://storage.googleapis.com/deytha-prod/paymentBills/H4bLlv18QKOB57N6kX4piatSpu2rUf8EgK7QSu2Z.png</t>
  </si>
  <si>
    <t>https://storage.googleapis.com/deytha-prod/supplierBills/Zj4CVeZQSW083qowAmSR2AuPzbkxOd0pP7Nbckf4.pdf</t>
  </si>
  <si>
    <t>2025-07-02 22:05:34</t>
  </si>
  <si>
    <t>2025-07-03 17:04:50</t>
  </si>
  <si>
    <t xml:space="preserve">CALIBRACION DE TORQUIMETRO KTPRO G3462 160 FT-LB / 197 Nm N/S: 2003627084  
CALIBRACION DE NIVEL TOPOGRAFICO LEICA NA730 plus
</t>
  </si>
  <si>
    <t>2025-07-04 11:29:00</t>
  </si>
  <si>
    <t>https://storage.googleapis.com/deytha-prod/payments/ynRQbjWTHwrFRTh6xkZpyQJ8LCtUh8gGh7RQ6TNa.pdf</t>
  </si>
  <si>
    <t>https://storage.googleapis.com/deytha-prod/paymentBills/HY9SVapTp7ZgIisuKULuATZPyc5GzCKQPfqhQwfk.pdf</t>
  </si>
  <si>
    <t>https://storage.googleapis.com/deytha-prod/supplierBills/fa4jUP4V5PlwupX4Y4w7jmVvnVcjGQIcWVnJJR4b.pdf</t>
  </si>
  <si>
    <t>2025-07-02 17:52:27</t>
  </si>
  <si>
    <t>2025-07-02 14:49:49</t>
  </si>
  <si>
    <t>2025-07-02 13:52:14</t>
  </si>
  <si>
    <t>PAGO POR EMO DE BARRETO AÑACATO CESAR AUGUSTO</t>
  </si>
  <si>
    <t>2025-07-02 17:43:00</t>
  </si>
  <si>
    <t>https://storage.googleapis.com/deytha-prod/payments/ryV5hhfJfsgVMfOrE8RzrxkHt2UZV5axMwDVGToN.pdf</t>
  </si>
  <si>
    <t>https://storage.googleapis.com/deytha-prod/paymentBills/lZ1ijD2yNJ8cy1CsXQkrauAZn63s6AS8MXQ5OhFr.png</t>
  </si>
  <si>
    <t>https://storage.googleapis.com/deytha-prod/supplierBills/zz1UYiVxa7W6loeOmhoK3zfaQoBaMug8BjMKPDNu.pdf</t>
  </si>
  <si>
    <t>2025-07-01 13:52:25</t>
  </si>
  <si>
    <t>2025-07-01 11:59:10</t>
  </si>
  <si>
    <t>2025-07-01 09:52:19</t>
  </si>
  <si>
    <t>PAGO POR EMO DE DELGADILLO PORRAS REGGI EUGENIO</t>
  </si>
  <si>
    <t>2025-07-01 13:13:00</t>
  </si>
  <si>
    <t>https://storage.googleapis.com/deytha-prod/payments/MMVH1Q5WJLAwUYIkVkQUx2uy2NYu7cJ6IiAz42QQ.xlsx</t>
  </si>
  <si>
    <t>https://storage.googleapis.com/deytha-prod/paymentBills/3IywYB6092DGzKcrWImJNnwdcctyqNKyLf34F0Ic.png</t>
  </si>
  <si>
    <t>https://storage.googleapis.com/deytha-prod/supplierBills/1GlbxWVz6rSuomhF1UEWiBNmPAvJjJbXYpyfegXo.pdf</t>
  </si>
  <si>
    <t>2025-06-27 21:24:41</t>
  </si>
  <si>
    <t>2025-06-30 22:14:58</t>
  </si>
  <si>
    <t>2025-06-28 16:24:31</t>
  </si>
  <si>
    <t>materiales varios</t>
  </si>
  <si>
    <t>2025-07-03 19:35:00</t>
  </si>
  <si>
    <t>https://storage.googleapis.com/deytha-prod/payments/kam415I07QCuXmnqDxJBLJqpEMr6i2WmDoTlDOgW.pdf</t>
  </si>
  <si>
    <t>https://storage.googleapis.com/deytha-prod/paymentBills/7Pnn2IzWBVxCbQalx1MCi8jfSt28p8JQ8tpjUaj1.png</t>
  </si>
  <si>
    <t>https://storage.googleapis.com/deytha-prod/supplierBills/fJ59Su9AmSJCDVSlSKlW2ihqoHM6LLyzB3VPRd0q.pdf</t>
  </si>
  <si>
    <t>2025-06-27 21:34:37</t>
  </si>
  <si>
    <t>2025-06-28 16:34:32</t>
  </si>
  <si>
    <t xml:space="preserve">COMBUSTIBLE PARA UNIDADES Y MAQUIMAS EN OBRA </t>
  </si>
  <si>
    <t>2025-07-01 13:11:00</t>
  </si>
  <si>
    <t>https://storage.googleapis.com/deytha-prod/payments/hlG0KQ3aT7sRE7JSGzQY9qqTRw2LTCW9PGUQUI4p.pdf</t>
  </si>
  <si>
    <t>https://storage.googleapis.com/deytha-prod/paymentBills/nr0YBYPVtnWgxpj2BCGrfQP76zppF3Wb10F6RqhA.png</t>
  </si>
  <si>
    <t>https://storage.googleapis.com/deytha-prod/supplierBills/IWrga42qAQagRZY8FI0qH1SjlxLSyBFBvdoNEKNY.pdf</t>
  </si>
  <si>
    <t>2025-06-27 22:49:38</t>
  </si>
  <si>
    <t>2025-06-28 17:49:32</t>
  </si>
  <si>
    <t>SERVICIO DE ALQUILER DE MEZCLADORA TIPO
TROMPO DE 11 P3 CON MOTOR HUSQVARNA /
HONDA DE 13 HP X DIA</t>
  </si>
  <si>
    <t>2025-07-01 12:59:00</t>
  </si>
  <si>
    <t>https://storage.googleapis.com/deytha-prod/payments/Nomzxs0OfDRO6be8ge2pCvhlQPfeVsl29H1kbSr1.pdf</t>
  </si>
  <si>
    <t>https://storage.googleapis.com/deytha-prod/paymentBills/63mLQyQR0Mxkz5UfWpAlnbn6xBgJEmwE8deaVuC8.png</t>
  </si>
  <si>
    <t>https://storage.googleapis.com/deytha-prod/supplierBills/Yr7rqTntJNqNlOsrFgBXm75wce278M0B6ePdbv3m.pdf</t>
  </si>
  <si>
    <t>2025-06-27 22:55:19</t>
  </si>
  <si>
    <t>2025-06-28 17:55:11</t>
  </si>
  <si>
    <t xml:space="preserve">ESCALERAS EMBONABLES </t>
  </si>
  <si>
    <t>2025-07-02 17:19:00</t>
  </si>
  <si>
    <t>https://storage.googleapis.com/deytha-prod/payments/p4Si8qyOybGtksTiu2XW1O5LGM6VNjGOokcKKdlv.pdf</t>
  </si>
  <si>
    <t>https://storage.googleapis.com/deytha-prod/paymentBills/dwlQfAZj9fpxADMYkjqN5abagkElCbG2CKTbUsUv.png</t>
  </si>
  <si>
    <t>https://storage.googleapis.com/deytha-prod/supplierBills/5B8uAoU51Tu9E036787MHnIxL6jX1rri4iECi4Un.pdf</t>
  </si>
  <si>
    <t>2025-06-27 23:12:34</t>
  </si>
  <si>
    <t>2025-06-30 09:11:57</t>
  </si>
  <si>
    <t>CEMENTO YURA MAX HS</t>
  </si>
  <si>
    <t>2025-07-01 12:52:00</t>
  </si>
  <si>
    <t>https://storage.googleapis.com/deytha-prod/payments/fIt56VSkBR5d1Pej7dtBF7dn1OgwBFhm7Ts893Df.pdf</t>
  </si>
  <si>
    <t>https://storage.googleapis.com/deytha-prod/paymentBills/Gq7ViRPKHBePIFhoYgEMsURpVWGtJ9UZrGZwT5Vv.png</t>
  </si>
  <si>
    <t>https://storage.googleapis.com/deytha-prod/supplierBills/7B6ql6ZuZNrO8Kz0rfWisXAT9l95eM2wGm5sEdii.pdf</t>
  </si>
  <si>
    <t>2025-06-27 23:25:19</t>
  </si>
  <si>
    <t>2025-06-29 09:25:01</t>
  </si>
  <si>
    <t xml:space="preserve">COT - TABLA DE MADERA 1.5x8x10  PARA ENCOGRADO DE TECHO </t>
  </si>
  <si>
    <t>2025-07-04 21:13:00</t>
  </si>
  <si>
    <t>https://storage.googleapis.com/deytha-prod/payments/dnhcPi2V0RMJCCaJfUr1GXerT5B83XSBIscyszeU.pdf</t>
  </si>
  <si>
    <t>https://storage.googleapis.com/deytha-prod/paymentBills/ldlXUC2WY49Ky0QzkTIX4cjqKtr9WCXDpAXkZzzT.jpg</t>
  </si>
  <si>
    <t>https://storage.googleapis.com/deytha-prod/supplierBills/X9at5lM4FFoPOZSetl9UUWk8zs344orDdnqVoQLn.pdf</t>
  </si>
  <si>
    <t>2025-06-27 23:42:19</t>
  </si>
  <si>
    <t>2025-06-30 09:42:15</t>
  </si>
  <si>
    <t xml:space="preserve">SEPARADORES DE CONCRETO Y 
MATERIALES VARIOS </t>
  </si>
  <si>
    <t>2025-07-07 15:15:00</t>
  </si>
  <si>
    <t>https://storage.googleapis.com/deytha-prod/payments/kzBty4IP8LonKhKjWeko0e28jQXA5HP6WWNNKnEm.pdf</t>
  </si>
  <si>
    <t>https://storage.googleapis.com/deytha-prod/paymentBills/7wZ1SdZNxxnxfBYCsZrgYb1OX6cUTv4RgbYYB2UJ.png</t>
  </si>
  <si>
    <t>https://storage.googleapis.com/deytha-prod/supplierBills/x2hjQvop2EzNGkzPZtKrYyMmgsboJkxAVxFUBbIX.pdf</t>
  </si>
  <si>
    <t>2025-06-28 17:15:28</t>
  </si>
  <si>
    <t>2025-06-29 12:14:51</t>
  </si>
  <si>
    <t>ALQUILER DE PUNTALES METALICOS DE 4 MTS</t>
  </si>
  <si>
    <t>2025-07-01 12:55:00</t>
  </si>
  <si>
    <t>https://storage.googleapis.com/deytha-prod/payments/g37klJPYUpy0S7AslejqyY346SlRHOoEvzFrEXk0.pdf</t>
  </si>
  <si>
    <t>https://storage.googleapis.com/deytha-prod/paymentBills/sgzliMhKPcl8Sy2gfDosSIfv3MVKuGro5R2r2cOt.png</t>
  </si>
  <si>
    <t>https://storage.googleapis.com/deytha-prod/supplierBills/vFIMISGvGHJqwNj0w3tecIJnwpyyTRK1fo3RLBsl.jpg</t>
  </si>
  <si>
    <t>2025-06-11 13:45:52</t>
  </si>
  <si>
    <t>2025-06-30 11:55:57</t>
  </si>
  <si>
    <t>2025-06-14 08:44:48</t>
  </si>
  <si>
    <t>ABONO DE PRIMERA CUOTA DE PÓLIZA RC PARA PY-028</t>
  </si>
  <si>
    <t>2025-06-30 18:09:00</t>
  </si>
  <si>
    <t>https://storage.googleapis.com/deytha-prod/payments/LY3Q5h2FWLxaWNlHDwb47ndxSpxdTj5kWz73AdMe.png</t>
  </si>
  <si>
    <t>https://storage.googleapis.com/deytha-prod/paymentBills/mmFhXXjawnkzBCbKSfp0yubdkyJc0a3YZSdbOsvh.pdf</t>
  </si>
  <si>
    <t>https://storage.googleapis.com/deytha-prod/supplierBills/2BNfkCF61qCUpjD8CbUV5OunjQ3qigHuTqgKfv8z.pdf</t>
  </si>
  <si>
    <t>2025-06-30 14:10:26</t>
  </si>
  <si>
    <t>2025-06-30 09:32:44</t>
  </si>
  <si>
    <t>2025-06-30 10:10:17</t>
  </si>
  <si>
    <t>PAGO POR EMO DE MANCHEGO PACCI EVARISTO VEGA Y QUISPE ROBERTO CARLOS</t>
  </si>
  <si>
    <t>2025-06-30 11:25:00</t>
  </si>
  <si>
    <t>https://storage.googleapis.com/deytha-prod/payments/VJnLDeF9qSVEf0XM3dmLRzpKDM4fhqMnT5yPR4yY.xlsx</t>
  </si>
  <si>
    <t>https://storage.googleapis.com/deytha-prod/paymentBills/htmDAIaVdItIT1dBow5URYKnaJzHuly2BeA87FZo.png</t>
  </si>
  <si>
    <t>https://storage.googleapis.com/deytha-prod/supplierBills/EYgdNiXZo1TrdW8vARhPNLN0ydFocC5ydWLEeEMB.pdf</t>
  </si>
  <si>
    <t>2025-06-27 22:40:24</t>
  </si>
  <si>
    <t>2025-06-27 17:40:24</t>
  </si>
  <si>
    <t>VELAZCO COA JHORLAN LEONIDAS</t>
  </si>
  <si>
    <t>430-08272059-0-28</t>
  </si>
  <si>
    <t>2025-06-30 18:53:00</t>
  </si>
  <si>
    <t>https://storage.googleapis.com/deytha-prod/worker/settle/WeDck1MEZZc3wyWFW1NYzg2oFEkewybYi9BLRZOk.pdf</t>
  </si>
  <si>
    <t>https://storage.googleapis.com/deytha-prod/paymentBills/tdF7OndEMMYJD8D4PidC7qkZ36W7pLLaOgtf4MJY.png</t>
  </si>
  <si>
    <t>2025-06-27 13:40:37</t>
  </si>
  <si>
    <t>2025-06-27 14:55:02</t>
  </si>
  <si>
    <t>2025-06-27 09:40:27</t>
  </si>
  <si>
    <t>PAGO POR EMO DE FERRO BRAVO KATHERIN NISSIDA</t>
  </si>
  <si>
    <t>2025-06-30 11:28:00</t>
  </si>
  <si>
    <t>https://storage.googleapis.com/deytha-prod/payments/WVLesok9fFLgwaI7F0Yle9U7XY2XAArrC4r7Q8mI.pdf</t>
  </si>
  <si>
    <t>https://storage.googleapis.com/deytha-prod/paymentBills/R7HmPvmwuMTmbJ3HHLbrnxtkNAPtDon0sSnE02o9.png</t>
  </si>
  <si>
    <t>https://storage.googleapis.com/deytha-prod/supplierBills/yteEiBwTiJxj9aT247opwp9WIENtwBLtcBmRhElo.pdf</t>
  </si>
  <si>
    <t>2025-06-25 18:24:37</t>
  </si>
  <si>
    <t>2025-06-27 13:10:28</t>
  </si>
  <si>
    <t>2025-06-26 13:24:06</t>
  </si>
  <si>
    <t>ALQUILER + GARANTIA DE HABITACION - MOQWUGUA 
ING WILMER
DEPOSITO A CTA :  WILMER DIAZ C.</t>
  </si>
  <si>
    <t>2025-06-27 19:47:00</t>
  </si>
  <si>
    <t>https://storage.googleapis.com/deytha-prod/payments/Bo8ASCQ6XbT3Hlv6w9vPHGmZhTD5RS32X5DeKgHc.pdf</t>
  </si>
  <si>
    <t>https://storage.googleapis.com/deytha-prod/paymentBills/gmtSb2uWv8TOWOjJIOl4DiqxJOPNZKtcqGDEN9nN.png</t>
  </si>
  <si>
    <t>https://storage.googleapis.com/deytha-prod/supplierBills/DdqL3iyP5p8r8emSCvYUNtCgYd8kfaJHbW5gPQEu.pdf</t>
  </si>
  <si>
    <t>2025-06-25 20:47:45</t>
  </si>
  <si>
    <t>2025-06-26 15:47:40</t>
  </si>
  <si>
    <t>MAMELUCO MICROPOROSO STEELPRO
PAÑO ABSORBENTE P/ HIDROCARBUROS
BOLSA KIT ANTIDERRAME COLOR ANARANJADO</t>
  </si>
  <si>
    <t>2025-06-30 18:14:00</t>
  </si>
  <si>
    <t>https://storage.googleapis.com/deytha-prod/payments/cyyo0ZbLViJILPXQs7NhVXPunfiWZBLFJPaCVu8L.pdf</t>
  </si>
  <si>
    <t>https://storage.googleapis.com/deytha-prod/paymentBills/MZGuoUygCtqnLKE5FdHmB1GAsBbv2dKw3jluxPUa.png</t>
  </si>
  <si>
    <t>https://storage.googleapis.com/deytha-prod/supplierBills/1pVxRHCdyRsxOFqpnoH3pBAETrR1xj9uuJ1jIO9l.pdf</t>
  </si>
  <si>
    <t>2025-06-25 22:15:39</t>
  </si>
  <si>
    <t>2025-06-26 17:15:34</t>
  </si>
  <si>
    <t>EPP  
FILTROS 
GUANTES</t>
  </si>
  <si>
    <t>2025-06-27 19:42:00</t>
  </si>
  <si>
    <t>https://storage.googleapis.com/deytha-prod/payments/gX8meA6eJ9BZqUNsLvKC0oeG9W2HQQy2I89S34F7.pdf</t>
  </si>
  <si>
    <t>https://storage.googleapis.com/deytha-prod/paymentBills/GGD3CYV8hpbwbVM2FNSuOIJCQDUBkyUawgiLSQ6o.png</t>
  </si>
  <si>
    <t>https://storage.googleapis.com/deytha-prod/supplierBills/clINAuMZOBv5BqrcggT1z8gJi1MgTZvfQlzQK3oy.pdf</t>
  </si>
  <si>
    <t>2025-06-26 15:08:08</t>
  </si>
  <si>
    <t>2025-06-27 10:07:52</t>
  </si>
  <si>
    <t xml:space="preserve">MATERIALES CIVIL </t>
  </si>
  <si>
    <t>2025-07-07 15:39:00</t>
  </si>
  <si>
    <t>https://storage.googleapis.com/deytha-prod/payments/AcTlEbToFwaMU1XLnuQWhcsYeAoje5RtK2DWmrXb.pdf</t>
  </si>
  <si>
    <t>https://storage.googleapis.com/deytha-prod/paymentBills/cgrcfkvKzODmsn8nmfTEFoJFUe3KyPXWcaUIQYuy.png</t>
  </si>
  <si>
    <t>https://storage.googleapis.com/deytha-prod/supplierBills/gkOIEIlaok0Lqgk735mbaDyr4td2etjt8LeLXhia.pdf</t>
  </si>
  <si>
    <t>2025-06-26 21:35:12</t>
  </si>
  <si>
    <t>2025-06-27 16:33:39</t>
  </si>
  <si>
    <t>CABLE PARA EXTENSION 
PULPO MENEKES</t>
  </si>
  <si>
    <t>2025-06-27 19:37:00</t>
  </si>
  <si>
    <t>https://storage.googleapis.com/deytha-prod/payments/syd69kjrSq4n2TIYWvvZoFpc7L6MKUhKHW3SC08H.pdf</t>
  </si>
  <si>
    <t>https://storage.googleapis.com/deytha-prod/paymentBills/LpfvjqOWGxWZS2K2LdJkFWFmvY7puSkRFqOtFed8.png</t>
  </si>
  <si>
    <t>https://storage.googleapis.com/deytha-prod/supplierBills/Ao6dPSEMdQbr0tZzhsAO4HY5SyxKHFK5bGxXAxEb.pdf</t>
  </si>
  <si>
    <t>COMBUSTIBLE</t>
  </si>
  <si>
    <t>2025-06-27 02:20:11</t>
  </si>
  <si>
    <t>2025-06-27 10:33:51</t>
  </si>
  <si>
    <t>2025-06-28 12:19:12</t>
  </si>
  <si>
    <t>Alimentación PY-028, SEMANA 07</t>
  </si>
  <si>
    <t>2025-06-27 15:43:00</t>
  </si>
  <si>
    <t>https://storage.googleapis.com/deytha-prod/payments/PPBIKhWphy3l1gwGFDmyj2uqwoM6HpHNHoxHblAG.pdf</t>
  </si>
  <si>
    <t>https://storage.googleapis.com/deytha-prod/paymentBills/hrEiwWJZnoaZEqd1EU5CXr8Ph6ZlQzgIxk0OtzAD.png</t>
  </si>
  <si>
    <t>2025-06-27 04:54:37</t>
  </si>
  <si>
    <t>BOLAÑOS CERVANTES ALEJANDRINA</t>
  </si>
  <si>
    <t>2025-06-26 23:54:37</t>
  </si>
  <si>
    <t>2025-06-05 23:54:37</t>
  </si>
  <si>
    <t>MAYO 2025- ESSALUD DEL RÉGIMEN GENERAL</t>
  </si>
  <si>
    <t>2025-06-27 04:48:49</t>
  </si>
  <si>
    <t>2025-06-26 23:48:49</t>
  </si>
  <si>
    <t>2025-06-05 23:48:49</t>
  </si>
  <si>
    <t>MAYO 2025- RENTA DE 5TA CATEGORIA DEL RÉGIMEN GENERAL</t>
  </si>
  <si>
    <t>2025-06-27 04:41:44</t>
  </si>
  <si>
    <t>2025-06-26 23:41:44</t>
  </si>
  <si>
    <t>2025-06-05 23:41:44</t>
  </si>
  <si>
    <t>MAYO 2025-ONP DE RÉGIMEN GENERAL</t>
  </si>
  <si>
    <t>2025-06-27 04:35:19</t>
  </si>
  <si>
    <t>2025-06-26 23:35:19</t>
  </si>
  <si>
    <t>2025-06-05 23:35:19</t>
  </si>
  <si>
    <t>MAYO 2025-AFP DE RÉGIMEN GENERAL</t>
  </si>
  <si>
    <t>2025-06-27 04:28:13</t>
  </si>
  <si>
    <t>2025-06-26 23:28:13</t>
  </si>
  <si>
    <t>2025-06-05 23:28:13</t>
  </si>
  <si>
    <t>MAYO 2025-REMUNERACIONES NETAS DE RÉGIMEN GENERAL</t>
  </si>
  <si>
    <t>2025-06-26 21:48:48</t>
  </si>
  <si>
    <t>2025-06-26 16:48:48</t>
  </si>
  <si>
    <t>2025-05-17 16:48:48</t>
  </si>
  <si>
    <t>PEAJE AUW710 </t>
  </si>
  <si>
    <t>https://storage.googleapis.com/deytha-prod/payments/jtJFr4u2jD9wQ78AVZd81C2M6mWMhiA6Ojwbb6Ym.pdf</t>
  </si>
  <si>
    <t>2025-06-26 21:42:15</t>
  </si>
  <si>
    <t>2025-06-26 16:42:15</t>
  </si>
  <si>
    <t>2025-06-12 16:42:15</t>
  </si>
  <si>
    <t>TRASLADO DE CUAJONE A MOQUEGUA, REUNION PARA INGRESO DE LINEA AMARILLA</t>
  </si>
  <si>
    <t>https://storage.googleapis.com/deytha-prod/payments/QYIvyerDgWRcDFbVuWsnvhTsgqkyQrqYNOnAZG2H.jpg</t>
  </si>
  <si>
    <t>https://storage.googleapis.com/deytha-prod/payments/lodV3VzkLZpAW3cdVWOA95TvFAfEbS6lARnr3JaN.pdf</t>
  </si>
  <si>
    <t>2025-06-26 20:20:45</t>
  </si>
  <si>
    <t>2025-06-26 16:13:54</t>
  </si>
  <si>
    <t>2025-06-26 16:20:41</t>
  </si>
  <si>
    <t>PAGO POR EMO DE ZANGA CASTRO LUIS BELTRAN</t>
  </si>
  <si>
    <t>2025-06-27 10:42:00</t>
  </si>
  <si>
    <t>https://storage.googleapis.com/deytha-prod/payments/T4omouwHDZGjTSeyKKWrljdC3w3BUFDLROqn7TG1.pdf</t>
  </si>
  <si>
    <t>https://storage.googleapis.com/deytha-prod/paymentBills/aDp6KJnl9BIp3isu8GSJtCeDd0P5guJNxqG48UKG.pdf</t>
  </si>
  <si>
    <t>https://storage.googleapis.com/deytha-prod/supplierBills/BgXpbq9vmItt4w8L3lytVDRDf5WnliqIrbH97P6A.pdf</t>
  </si>
  <si>
    <t>2025-06-26 21:07:16</t>
  </si>
  <si>
    <t>2025-06-26 17:07:09</t>
  </si>
  <si>
    <t>PAGO POR EMO DE YALAN ARREY JHONATHAN YSMAEL</t>
  </si>
  <si>
    <t>https://storage.googleapis.com/deytha-prod/payments/RGezEtyCU5yaz2yoPKQOQHYV5eGrZSTozuubs5Al.pdf</t>
  </si>
  <si>
    <t>https://storage.googleapis.com/deytha-prod/paymentBills/qFRfxCaiEkhqhFFpKcksecpbHLs69fdsuEA6XcZv.pdf</t>
  </si>
  <si>
    <t>https://storage.googleapis.com/deytha-prod/supplierBills/Zug2wYTDfKWcsJ9LtmLAoKLqvljUYmqjZRWPNvTv.pdf</t>
  </si>
  <si>
    <t>2025-06-26 21:11:10</t>
  </si>
  <si>
    <t>2025-06-26 16:11:10</t>
  </si>
  <si>
    <t>2025-05-29 16:11:10</t>
  </si>
  <si>
    <t>MOVLIDAD DE OBRA A OFICINA, SOLO SE REALIZO LA TRANSFERENCIA POR 160, LOS 5 RESTANTES NO SE COBRARÁN</t>
  </si>
  <si>
    <t>https://storage.googleapis.com/deytha-prod/payments/lAvuhnDTZATjjMJqmHLZYYcQKhg1URAPbymddRgt.jpg</t>
  </si>
  <si>
    <t>https://storage.googleapis.com/deytha-prod/payments/ZzRGscyqyeGzbO8YkqHGna35UDICMLwG7anP3nC0.pdf</t>
  </si>
  <si>
    <t>2025-06-26 21:06:59</t>
  </si>
  <si>
    <t>2025-06-26 16:06:59</t>
  </si>
  <si>
    <t>2025-05-24 16:06:59</t>
  </si>
  <si>
    <t>VILELA  MARIÑAS JOSE WILSON</t>
  </si>
  <si>
    <t>ALIMENTACION CENA DEL SIGUIENTE PERSONAL : 
WILSON VILELA
JHONATAN ÑAUPA
JOSE MEDINA</t>
  </si>
  <si>
    <t>https://storage.googleapis.com/deytha-prod/payments/7Wh4PCLvMnTcQ9ZrMw4X1D55SIMrAIPTyeUUQIwH.jpg</t>
  </si>
  <si>
    <t>https://storage.googleapis.com/deytha-prod/payments/aBNV7h92NaC417zeM7zIZdMrWss5oKYEM4qSprQS.pdf</t>
  </si>
  <si>
    <t>2025-06-26 20:55:37</t>
  </si>
  <si>
    <t>2025-06-26 15:55:37</t>
  </si>
  <si>
    <t>2025-05-21 15:55:37</t>
  </si>
  <si>
    <t>PAGO RESTANTE DE VALORIZACION DE LA SEMANA 02 (VALORIZACION POR 8 SOLES, CUANDO DEBERIA SER POR 10 SOLES, POR TAL MOTIVO SE LE HIZO EL REINTEGRO DEL RESTATE) </t>
  </si>
  <si>
    <t>https://storage.googleapis.com/deytha-prod/payments/99b6uonGIajYu5K8p3tt3RB190gxvplwIjnd5aSB.jpg</t>
  </si>
  <si>
    <t>https://storage.googleapis.com/deytha-prod/payments/poQ5TM4medfPtZNdFkPheXKdmpiMIx1VjhPrkogF.pdf</t>
  </si>
  <si>
    <t>2025-06-26 20:51:06</t>
  </si>
  <si>
    <t>2025-06-26 15:51:06</t>
  </si>
  <si>
    <t>2025-05-15 15:51:06</t>
  </si>
  <si>
    <t>APOYO DE CONDUCCION Y ALQUILER DE CAMIONCITO </t>
  </si>
  <si>
    <t>https://storage.googleapis.com/deytha-prod/payments/TfhAQBJitUhjXjgzCWtxbHXrIJkKEaZtXHR3pgo1.jpg</t>
  </si>
  <si>
    <t>https://storage.googleapis.com/deytha-prod/payments/rBVNjl4nOS1fAUem0hem7TULEOKWSxvaMGaFtXmB.pdf</t>
  </si>
  <si>
    <t>2025-06-26 20:40:49</t>
  </si>
  <si>
    <t>2025-06-26 15:40:49</t>
  </si>
  <si>
    <t>2025-05-10 15:40:49</t>
  </si>
  <si>
    <t>MOVILIZACION A OBRA (INICIO)</t>
  </si>
  <si>
    <t>https://storage.googleapis.com/deytha-prod/payments/0mN95YHyTIZkgIQEA5cSaMTkDY4l61MJv9U9TW0e.jpg</t>
  </si>
  <si>
    <t>https://storage.googleapis.com/deytha-prod/payments/AjqFud8eDUagyQWN1JPJZsCIA7ncCPuXasw42RQX.pdf</t>
  </si>
  <si>
    <t>2025-06-26 20:37:39</t>
  </si>
  <si>
    <t>2025-06-26 15:37:39</t>
  </si>
  <si>
    <t>2025-05-10 15:37:39</t>
  </si>
  <si>
    <t>COMPRA DE CINTILLO</t>
  </si>
  <si>
    <t>https://storage.googleapis.com/deytha-prod/payments/O7DnttGOUQcFHYxAg4hDVDLPJIstL6d9RiOzjdG5.jpg</t>
  </si>
  <si>
    <t>https://storage.googleapis.com/deytha-prod/payments/XjUuSApVJwMfSjPTlOeMytd9q1B5SaYjxUN2uPPJ.pdf</t>
  </si>
  <si>
    <t>2025-06-26 20:19:56</t>
  </si>
  <si>
    <t>2025-06-26 15:19:56</t>
  </si>
  <si>
    <t>2025-05-10 15:19:56</t>
  </si>
  <si>
    <t>ALIMENTACION EN MINA CONCESIONARIA </t>
  </si>
  <si>
    <t>https://storage.googleapis.com/deytha-prod/payments/EJzHZi5gxOATMJssp8PatkmhMmJsQRjtqr5udLdC.jpg</t>
  </si>
  <si>
    <t>https://storage.googleapis.com/deytha-prod/payments/Y1tiRFrb8PnGqmhiz8s0WCyKVqaqzZboaJtuVsYo.pdf</t>
  </si>
  <si>
    <t>2025-06-26 20:04:18</t>
  </si>
  <si>
    <t>2025-06-26 15:04:18</t>
  </si>
  <si>
    <t>2025-05-08 15:04:18</t>
  </si>
  <si>
    <t>VIATIOCOS INGRESO A OBRA, SE LE HIZO REGRESAR PARA PODER TRAER EQUIPO TOPOGRAFICO</t>
  </si>
  <si>
    <t>https://storage.googleapis.com/deytha-prod/payments/6jvo62FAcVM2yk4LMU3mjYWHypf2rZevJLIcIlJJ.jpg</t>
  </si>
  <si>
    <t>https://storage.googleapis.com/deytha-prod/payments/QHn89CDrzsq70xr48FLCUBnKPV0s4Sx8Q9C3pgK2.pdf</t>
  </si>
  <si>
    <t>2025-06-25 17:32:43</t>
  </si>
  <si>
    <t>2025-06-25 15:24:59</t>
  </si>
  <si>
    <t>2025-06-25 13:32:32</t>
  </si>
  <si>
    <t>POR POR EMO DE CHAMBILLA ILLACHURA EUCLIDES Y TICONA OTERO KENOY LUIS</t>
  </si>
  <si>
    <t>2025-06-25 19:31:00</t>
  </si>
  <si>
    <t>https://storage.googleapis.com/deytha-prod/payments/SLKrMoHHksboidWn4WMWv0Jyzvdr9coaBialOad6.pdf</t>
  </si>
  <si>
    <t>https://storage.googleapis.com/deytha-prod/paymentBills/xX0Fk9KYmRkcx4Y888n7vh5DIDtMhbfpGYv8uqNO.pdf</t>
  </si>
  <si>
    <t>https://storage.googleapis.com/deytha-prod/supplierBills/pJhlfdObADooSGfEjXtvO0C4stKvR49GoJrNL2BH.pdf</t>
  </si>
  <si>
    <t>2025-06-24 16:54:05</t>
  </si>
  <si>
    <t>2025-06-25 12:55:22</t>
  </si>
  <si>
    <t>2025-06-25 11:53:56</t>
  </si>
  <si>
    <t xml:space="preserve"> Bordado de chalecos pecho y espalda
 Bordado de chalecos pecho y espalda</t>
  </si>
  <si>
    <t>2025-06-26 10:50:00</t>
  </si>
  <si>
    <t>https://storage.googleapis.com/deytha-prod/payments/7wORvif6jhDjqVngatjg9OnFgIOBSk5I3fHIT9AN.pdf</t>
  </si>
  <si>
    <t>https://storage.googleapis.com/deytha-prod/paymentBills/PzjD1BFB1Z09EdGEyZOfq3rPNchjwyP8GVhZO5Fm.png</t>
  </si>
  <si>
    <t>https://storage.googleapis.com/deytha-prod/supplierBills/ymD8mXQ3dkPIiQDPWUMLRc0hm3apyEHOwtyQKV5m.jpg</t>
  </si>
  <si>
    <t>2025-06-24 16:55:28</t>
  </si>
  <si>
    <t>2025-06-25 11:55:20</t>
  </si>
  <si>
    <t xml:space="preserve">
 TRIPLAY FENOLICO FIL FACE MARRON BUILDPLEX
 1.22M X 2.44M X 18MM</t>
  </si>
  <si>
    <t>2025-06-26 10:56:00</t>
  </si>
  <si>
    <t>https://storage.googleapis.com/deytha-prod/payments/g8Z2x69ISsYQVp03WiJ5yFwl9M5QVrHsXKXkMyke.pdf</t>
  </si>
  <si>
    <t>https://storage.googleapis.com/deytha-prod/paymentBills/Uecod3oYs79mj1JfMIFEJafoOaJLo4Ed1FLQgqTu.png</t>
  </si>
  <si>
    <t>https://storage.googleapis.com/deytha-prod/supplierBills/gIcTE2ocpT81eqjkkxywkZy01lgtSKleDIVv746f.pdf</t>
  </si>
  <si>
    <t>2025-06-24 19:17:07</t>
  </si>
  <si>
    <t>2025-06-25 14:17:01</t>
  </si>
  <si>
    <t>CEMENTO FRONTERA IP</t>
  </si>
  <si>
    <t>2025-06-27 18:23:00</t>
  </si>
  <si>
    <t>https://storage.googleapis.com/deytha-prod/payments/cgktFrvk7O3K1ODJiHGpvXeEg5Kj67VanN2tyl0F.pdf</t>
  </si>
  <si>
    <t>https://storage.googleapis.com/deytha-prod/paymentBills/7pBY6kK6xUP6PVuZMP3nDab92NcwxF0QUiumCm3Q.png</t>
  </si>
  <si>
    <t>https://storage.googleapis.com/deytha-prod/supplierBills/KtGRv4KZaBDnpQUn13hPnnM2rBTbMhY6BoZzpEaD.pdf</t>
  </si>
  <si>
    <t>2025-06-25 17:22:44</t>
  </si>
  <si>
    <t>MURRUGARRA MEDINA DONOBAN BALTAZAR</t>
  </si>
  <si>
    <t>2025-06-25 12:22:44</t>
  </si>
  <si>
    <t>DEVOLUCION CODIGO PADRE 22824</t>
  </si>
  <si>
    <t>2025-06-25 15:47:30</t>
  </si>
  <si>
    <t>https://storage.googleapis.com/deytha-prod/payments/cQYBqK93uyaF5UwtqE2INwx8gJJdS94b9SrWyl5q.jpg</t>
  </si>
  <si>
    <t>2025-06-25 17:22:42</t>
  </si>
  <si>
    <t>2025-06-25 12:22:42</t>
  </si>
  <si>
    <t>PAGO POR HOSPEDAJE Y ALIMENTACION POR CONTINGENCIA EN AEREOPUERTO AQP</t>
  </si>
  <si>
    <t>2025-06-25 15:42:07</t>
  </si>
  <si>
    <t>https://storage.googleapis.com/deytha-prod/payments/kN1FvxDxXRn3kjRoeGGqCvkrSyyPXScRErDMGYYn.jpg</t>
  </si>
  <si>
    <t>https://storage.googleapis.com/deytha-prod/payments/TSmMLikAScKpnD2d6jJiGZwjFJtdziemq7SjbDax.pdf</t>
  </si>
  <si>
    <t>2025-06-25 17:22:40</t>
  </si>
  <si>
    <t>2025-06-25 12:22:40</t>
  </si>
  <si>
    <t>NIÑO DE GUZMAN CCALLA FLOR DE MARIA</t>
  </si>
  <si>
    <t>PAGO POR CENA 08-05 AQP</t>
  </si>
  <si>
    <t>2025-06-25 15:41:49</t>
  </si>
  <si>
    <t>https://storage.googleapis.com/deytha-prod/payments/RwUmrCDSvK9WZGCYvJ1EqvWFnjYCGnJSj7q1D6dB.jpg</t>
  </si>
  <si>
    <t>https://storage.googleapis.com/deytha-prod/payments/d6wEF3Kg2k12uTU6oNg7nJ9ITNsOHuxnsQLZbeeB.pdf</t>
  </si>
  <si>
    <t>2025-06-25 17:22:38</t>
  </si>
  <si>
    <t>2025-06-25 12:22:38</t>
  </si>
  <si>
    <t>COMPRA DE 1 LIMPIACONTACTO Y 1 LIMPIACARBURADOR VISTONY</t>
  </si>
  <si>
    <t>2025-06-25 15:41:28</t>
  </si>
  <si>
    <t>https://storage.googleapis.com/deytha-prod/payments/BxIjYmdDi8HKOifv37sBcMTrFH2cgaXL5LgW2gEC.jpg</t>
  </si>
  <si>
    <t>https://storage.googleapis.com/deytha-prod/payments/Bujl8evxHkbFjWStLks2H34oiKN0hFfmyyzMMHiJ.pdf</t>
  </si>
  <si>
    <t>2025-06-25 17:22:36</t>
  </si>
  <si>
    <t>2025-06-25 12:22:36</t>
  </si>
  <si>
    <t>COMPRA DE 1 JUEGO DE LLAVES ALLEN</t>
  </si>
  <si>
    <t>2025-06-25 15:41:11</t>
  </si>
  <si>
    <t>https://storage.googleapis.com/deytha-prod/payments/o96WlxfxGfU2TPcCqMOLSNAtMYmDPfBdP5TmJUGz.jpg</t>
  </si>
  <si>
    <t>https://storage.googleapis.com/deytha-prod/payments/lrR4jL5J6pFC95BykCOvJvt8W6SY9rRdciF1361h.pdf</t>
  </si>
  <si>
    <t>2025-06-25 17:22:34</t>
  </si>
  <si>
    <t>2025-06-25 12:22:34</t>
  </si>
  <si>
    <t>COMPRA DE MARCADOR D EMETAL Y CINTAS DE CONO DE BUS</t>
  </si>
  <si>
    <t>2025-06-25 15:40:46</t>
  </si>
  <si>
    <t>https://storage.googleapis.com/deytha-prod/payments/EVwGj01Spk5afUMAHVc9TmWwPdGBlHSJB1aYIPcC.jpg</t>
  </si>
  <si>
    <t>https://storage.googleapis.com/deytha-prod/payments/RSaR5pK4XTmYYyhtYJ9aXT08ALbu2JOhntbp9qir.pdf</t>
  </si>
  <si>
    <t>2025-06-25 17:22:32</t>
  </si>
  <si>
    <t>2025-06-25 12:22:32</t>
  </si>
  <si>
    <t>COMPRA DE 2 JUEGOS DE TRABATUERCAS DE OMNIBUS</t>
  </si>
  <si>
    <t>2025-06-25 15:40:32</t>
  </si>
  <si>
    <t>https://storage.googleapis.com/deytha-prod/payments/988Nl6UEGSph5CUgkYI17ipZlla72VEAr5z80BvG.jpg</t>
  </si>
  <si>
    <t>https://storage.googleapis.com/deytha-prod/payments/HWOvY7Q0eqzgNRkCFpRIUEoUuL8Ouf8c4zx2UHrS.pdf</t>
  </si>
  <si>
    <t>2025-06-25 17:22:26</t>
  </si>
  <si>
    <t>2025-06-25 12:22:26</t>
  </si>
  <si>
    <t>TJ VENTAS Y SERVICIOS E.I.R.L.</t>
  </si>
  <si>
    <t>COMPRA DE LLAVES MIXTAS </t>
  </si>
  <si>
    <t>2025-06-25 15:40:15</t>
  </si>
  <si>
    <t>https://storage.googleapis.com/deytha-prod/payments/XL8nzIDhCF14PgwsHxj965bwPzQc6mpYcl5L9sTK.jpg</t>
  </si>
  <si>
    <t>https://storage.googleapis.com/deytha-prod/payments/CE8s95c4oS8EhwI8zI6S8IIGFoiBzjQULyenaAJr.pdf</t>
  </si>
  <si>
    <t>2025-06-25 17:22:14</t>
  </si>
  <si>
    <t>2025-06-25 12:22:14</t>
  </si>
  <si>
    <t>HUANCA FLORES JUAN CARLOS</t>
  </si>
  <si>
    <t>COMPRA DE HERRAMIENTAS MECANICAS TRUPER</t>
  </si>
  <si>
    <t>2025-06-25 15:39:41</t>
  </si>
  <si>
    <t>https://storage.googleapis.com/deytha-prod/payments/spVNdmF0xa921A999r4tAUtN74H9DXM597u1zOyP.jpg</t>
  </si>
  <si>
    <t>https://storage.googleapis.com/deytha-prod/payments/31NuRJ9XboHN0cLxtYRrvDQeiwQmwGmz78YWIDXW.pdf</t>
  </si>
  <si>
    <t>2025-06-25 17:22:10</t>
  </si>
  <si>
    <t>2025-06-25 12:22:10</t>
  </si>
  <si>
    <t>METHATRON COMPANY S.A.C.</t>
  </si>
  <si>
    <t>AGO POR SERVICIO DE ESCANEO CAMIONETA BKH-850</t>
  </si>
  <si>
    <t>2025-06-25 15:39:27</t>
  </si>
  <si>
    <t>https://storage.googleapis.com/deytha-prod/payments/OsTFpsj03trAvWlzS00qOgoHxozvnmmJXIRui20I.jpg</t>
  </si>
  <si>
    <t>https://storage.googleapis.com/deytha-prod/payments/lZRJ7l5Rcr2Lv9k5ycLknHNmEfWnpI7RsrAvdngF.pdf</t>
  </si>
  <si>
    <t>2025-06-25 17:22:06</t>
  </si>
  <si>
    <t>2025-06-25 12:22:06</t>
  </si>
  <si>
    <t>FLOREZ ZARATE ELIA LISBETH</t>
  </si>
  <si>
    <t>SERVICIO DE HOSPEDAJE POR UNA NOCHE</t>
  </si>
  <si>
    <t>2025-06-25 15:39:08</t>
  </si>
  <si>
    <t>https://storage.googleapis.com/deytha-prod/payments/f4sVsKRhY47aaziZQ2itfAqBt5eg48HAV5uSDypi.jpg</t>
  </si>
  <si>
    <t>https://storage.googleapis.com/deytha-prod/payments/t7fLydyUbaAN6Sktbg73dHqSO7qs8VHqEdqiUeDJ.pdf</t>
  </si>
  <si>
    <t>2025-06-25 17:22:01</t>
  </si>
  <si>
    <t>2025-06-25 12:22:01</t>
  </si>
  <si>
    <t>ROJAS NINA NELLY</t>
  </si>
  <si>
    <t>PAGO POR SERVICIO DE LAVADO DE OMNIBUS T9F-962</t>
  </si>
  <si>
    <t>2025-06-25 15:38:52</t>
  </si>
  <si>
    <t>https://storage.googleapis.com/deytha-prod/payments/7cLseTWTEjQsO2i7P02KfqxDk3SXGyJA1MhakjV4.jpg</t>
  </si>
  <si>
    <t>https://storage.googleapis.com/deytha-prod/payments/GGnAyuxPleFuGngoQiIOOpLdcEtOvuhEugNOvuPd.pdf</t>
  </si>
  <si>
    <t>2025-06-25 16:44:58</t>
  </si>
  <si>
    <t>2025-06-25 11:44:58</t>
  </si>
  <si>
    <t>2025-04-30 11:44:58</t>
  </si>
  <si>
    <t>COESTI S.A.</t>
  </si>
  <si>
    <t>diesel
peajes 
gasolina</t>
  </si>
  <si>
    <t>2025-08-11 11:40:20</t>
  </si>
  <si>
    <t>https://storage.googleapis.com/deytha-prod/payments/KBTw3ln0udM86hrGv6V8Kxp82kOCcIWkMtjMB03Q.pdf</t>
  </si>
  <si>
    <t>https://storage.googleapis.com/deytha-prod/payments/HLVY7LHy1axGEBtA41dFDzmxDL6NEWsk57PmEsLt.pdf</t>
  </si>
  <si>
    <t>2025-06-25 16:42:49</t>
  </si>
  <si>
    <t>2025-06-25 11:42:49</t>
  </si>
  <si>
    <t>2025-05-03 11:42:49</t>
  </si>
  <si>
    <t>RODRIGUEZ MANZANO SARA BEYNI</t>
  </si>
  <si>
    <t>movilidad moquegua mina cuajone</t>
  </si>
  <si>
    <t>2025-08-11 11:40:23</t>
  </si>
  <si>
    <t>https://storage.googleapis.com/deytha-prod/payments/WUFZzlAc93rm6PMN86MWi2PhQ0acY0UOICPULvTZ.pdf</t>
  </si>
  <si>
    <t>https://storage.googleapis.com/deytha-prod/payments/MTl37pbXJ70lQEZwzC0IGFPqqP9Oh9pUayFOCD2u.pdf</t>
  </si>
  <si>
    <t>2025-06-25 16:40:50</t>
  </si>
  <si>
    <t>2025-06-25 11:40:50</t>
  </si>
  <si>
    <t>2025-05-12 11:40:50</t>
  </si>
  <si>
    <t>diesel</t>
  </si>
  <si>
    <t>2025-08-11 11:40:26</t>
  </si>
  <si>
    <t>https://storage.googleapis.com/deytha-prod/payments/Ml8JL4GMYAwdl1LoAtwq7qs4m7atQwwvPRulwafF.pdf</t>
  </si>
  <si>
    <t>https://storage.googleapis.com/deytha-prod/payments/BqlwzyUSJmFU9dxToH5iyBkfjy12t5qQkH3TenJo.pdf</t>
  </si>
  <si>
    <t>2025-06-25 16:36:42</t>
  </si>
  <si>
    <t>2025-06-25 11:36:42</t>
  </si>
  <si>
    <t>2025-05-06 11:36:42</t>
  </si>
  <si>
    <t>ESTACION DE SERVICIOS SANTA FE E.I.R.L.</t>
  </si>
  <si>
    <t>https://storage.googleapis.com/deytha-prod/payments/bcCyM05TyTup2XOJa8o025jbXCDqJRCvsOoUqCJf.pdf</t>
  </si>
  <si>
    <t>https://storage.googleapis.com/deytha-prod/payments/NbhUq0euFSztPWcPCjV6rTwyEVqCiboxD85wRxBq.pdf</t>
  </si>
  <si>
    <t>2025-06-25 16:33:05</t>
  </si>
  <si>
    <t>2025-06-25 11:33:05</t>
  </si>
  <si>
    <t>2025-05-03 11:33:05</t>
  </si>
  <si>
    <t>TPA SERVICENTRO S.R.L.</t>
  </si>
  <si>
    <t>2025-08-11 11:40:29</t>
  </si>
  <si>
    <t>https://storage.googleapis.com/deytha-prod/payments/6fz9HBAtCvSArKfPNgxEjAPV3mWUEbWHNV0luxNc.pdf</t>
  </si>
  <si>
    <t>https://storage.googleapis.com/deytha-prod/payments/8Qizdk8PKY8RlYEjatz1cNzmWCElFuPlDbZT4W7v.pdf</t>
  </si>
  <si>
    <t>2025-06-25 16:31:16</t>
  </si>
  <si>
    <t>2025-06-25 11:31:16</t>
  </si>
  <si>
    <t>2025-05-07 11:31:16</t>
  </si>
  <si>
    <t>gasolina premium</t>
  </si>
  <si>
    <t>https://storage.googleapis.com/deytha-prod/payments/wAQCUCKMDISuJSEOIC5FOeZ90hjnEVBO3sGPqBqg.pdf</t>
  </si>
  <si>
    <t>https://storage.googleapis.com/deytha-prod/payments/XAF7hmt84QmP3lvh2RcfFlKzVf3eTStCXafQd8wB.pdf</t>
  </si>
  <si>
    <t>2025-06-25 16:27:29</t>
  </si>
  <si>
    <t>2025-06-25 11:27:29</t>
  </si>
  <si>
    <t>2025-05-17 11:27:29</t>
  </si>
  <si>
    <t>encomienda</t>
  </si>
  <si>
    <t>2025-08-11 11:40:40</t>
  </si>
  <si>
    <t>https://storage.googleapis.com/deytha-prod/payments/WlmyyQAjSOAk1kOjPm5BFgl8oPdFFGNnHWFaBg7r.pdf</t>
  </si>
  <si>
    <t>https://storage.googleapis.com/deytha-prod/payments/W7NO6W6FTCsB7ucPcxvqjmM3ccflP8F7uhawMBy7.pdf</t>
  </si>
  <si>
    <t>2025-06-25 16:07:14</t>
  </si>
  <si>
    <t>2025-06-25 11:07:14</t>
  </si>
  <si>
    <t>2025-05-13 11:07:14</t>
  </si>
  <si>
    <t>gasolina</t>
  </si>
  <si>
    <t>2025-08-11 11:40:37</t>
  </si>
  <si>
    <t>https://storage.googleapis.com/deytha-prod/payments/xpW2YR3RXsYmBt15PKTKLAqQkjIRBhW7ejAhDcRh.pdf</t>
  </si>
  <si>
    <t>https://storage.googleapis.com/deytha-prod/payments/hYfAwKDxHcWgwWgK9Fx4wI1mmYY5zxXB3TWsXMZ5.pdf</t>
  </si>
  <si>
    <t>2025-08-11 11:40:54</t>
  </si>
  <si>
    <t>https://storage.googleapis.com/deytha-prod/payments/kM16pues48tjzvqSpIAmsgGPvboXNfDXyM2RnQW3.pdf</t>
  </si>
  <si>
    <t>https://storage.googleapis.com/deytha-prod/payments/nxMSOO3Y2rHGhYZfjcreq6v7B8dx179Epb9hM65m.pdf</t>
  </si>
  <si>
    <t>2025-05-17 11:07:14</t>
  </si>
  <si>
    <t>serv. mantenimiento de generador werker</t>
  </si>
  <si>
    <t>2025-08-11 11:40:56</t>
  </si>
  <si>
    <t>https://storage.googleapis.com/deytha-prod/payments/009H0mjKOU3KUm0OGayFmmtf3BNTv0gaOlxFppE9.pdf</t>
  </si>
  <si>
    <t>https://storage.googleapis.com/deytha-prod/payments/zNF0b2bTMMWJ7b8SPvc0WooN5G0hKCtEGnlxKtHQ.pdf</t>
  </si>
  <si>
    <t>2025-08-11 11:40:32</t>
  </si>
  <si>
    <t>https://storage.googleapis.com/deytha-prod/payments/7P4sD6Ck6cYy7RhSAH2dqN8tC5spzUJNnjVg7vKy.pdf</t>
  </si>
  <si>
    <t>https://storage.googleapis.com/deytha-prod/payments/1MSzOUynxgpRETsiDPpm1LMbB7nki11dhOW6CGjr.pdf</t>
  </si>
  <si>
    <t>2025-05-12 11:07:14</t>
  </si>
  <si>
    <t>2025-08-11 11:40:35</t>
  </si>
  <si>
    <t>https://storage.googleapis.com/deytha-prod/payments/q0FJqpwqAVpBQG8Y5PWhtY6rYy03RpqSYvyDZvMF.pdf</t>
  </si>
  <si>
    <t>https://storage.googleapis.com/deytha-prod/payments/KGxihMPokMvPCRfnkG23ULqhmTSTtcZVFO4lpTpD.pdf</t>
  </si>
  <si>
    <t>2025-05-06 11:07:14</t>
  </si>
  <si>
    <t>stech surpac</t>
  </si>
  <si>
    <t>2025-08-11 11:40:43</t>
  </si>
  <si>
    <t>https://storage.googleapis.com/deytha-prod/payments/La7S1EXGdOKWjqLgglYVJ05Bq3CVNcfja1hugbea.pdf</t>
  </si>
  <si>
    <t>2025-06-25 16:07:13</t>
  </si>
  <si>
    <t>2025-06-25 11:07:13</t>
  </si>
  <si>
    <t>2025-05-12 11:07:13</t>
  </si>
  <si>
    <t>chalecos reportero verde limon t=xxl</t>
  </si>
  <si>
    <t>2025-08-11 11:40:49</t>
  </si>
  <si>
    <t>https://storage.googleapis.com/deytha-prod/payments/BIL0Yw3I6AgxvbUJj860rv2s778NDyNBr0liCi6m.pdf</t>
  </si>
  <si>
    <t>https://storage.googleapis.com/deytha-prod/payments/Bs855T6kgoW5iwZsw5khzN0hmCyyXz5fcRJHhjuH.pdf</t>
  </si>
  <si>
    <t>2025-06-25 14:11:35</t>
  </si>
  <si>
    <t>2025-06-25 09:11:35</t>
  </si>
  <si>
    <t>2025-05-14 09:11:35</t>
  </si>
  <si>
    <t>transporte arequipa moquegua</t>
  </si>
  <si>
    <t>2025-08-11 11:40:46</t>
  </si>
  <si>
    <t>https://storage.googleapis.com/deytha-prod/payments/yznveEwXudBHhmkiAZ4pIkkHSu6qViL1x620RdrA.pdf</t>
  </si>
  <si>
    <t>https://storage.googleapis.com/deytha-prod/payments/mVHmaEExjpCaCX9TZTr4PbcmhBMyL2z114QbfC1O.pdf</t>
  </si>
  <si>
    <t>2025-06-25 14:05:07</t>
  </si>
  <si>
    <t>2025-06-25 09:05:07</t>
  </si>
  <si>
    <t>2025-04-28 09:05:07</t>
  </si>
  <si>
    <t>alimentacion para personal cena, ricardo concha, ray agreda, maria alejandra</t>
  </si>
  <si>
    <t>https://storage.googleapis.com/deytha-prod/payments/yQ90W6tNelryAF3Z1JZoBgJjPE9Ofk9ucGhJ5hS5.pdf</t>
  </si>
  <si>
    <t>https://storage.googleapis.com/deytha-prod/payments/TPehDlkQKNv16uxWHdVPWFX94RXLuS5f51AGS9eF.pdf</t>
  </si>
  <si>
    <t>2025-06-25 14:00:37</t>
  </si>
  <si>
    <t>2025-06-25 09:00:37</t>
  </si>
  <si>
    <t>2025-04-30 09:00:37</t>
  </si>
  <si>
    <t>TACNA EXPRESS COMITE 26 S.R.L.</t>
  </si>
  <si>
    <t>2025-07-23 12:14:03</t>
  </si>
  <si>
    <t>https://storage.googleapis.com/deytha-prod/payments/uKL3KradxByyS4sZEQlkLx6clq7eyR8se95OGgaI.pdf</t>
  </si>
  <si>
    <t>https://storage.googleapis.com/deytha-prod/payments/ImLpJOnxVAmkJPDL88k8JxEqwuZGqrapY01lkgOL.pdf</t>
  </si>
  <si>
    <t>2025-06-25 13:58:23</t>
  </si>
  <si>
    <t>2025-06-25 08:58:23</t>
  </si>
  <si>
    <t>2025-04-15 08:58:23</t>
  </si>
  <si>
    <t>gasto para visita a moquegua  hotel</t>
  </si>
  <si>
    <t>2025-07-23 12:14:06</t>
  </si>
  <si>
    <t>https://storage.googleapis.com/deytha-prod/payments/RkJ2fmJwm09K1mbMQiedUBqYk9DjaziUgtS8wQJk.pdf</t>
  </si>
  <si>
    <t>https://storage.googleapis.com/deytha-prod/payments/2r6JV9ASZuKctlF7yPS4fLINZ0Ste9jhZwmHgjwo.pdf</t>
  </si>
  <si>
    <t>2025-06-25 13:55:19</t>
  </si>
  <si>
    <t>2025-06-25 08:55:19</t>
  </si>
  <si>
    <t>2025-05-21 08:55:19</t>
  </si>
  <si>
    <t>cambio de esparrago
perono+tuerca
cinta aislante cinta masking</t>
  </si>
  <si>
    <t>2025-07-23 12:13:50</t>
  </si>
  <si>
    <t>https://storage.googleapis.com/deytha-prod/payments/1qasndyubpLPx84i3fVoGh7oyubJ8wWC59s1IX60.pdf</t>
  </si>
  <si>
    <t>https://storage.googleapis.com/deytha-prod/payments/9EsDfAfgvtKIh2F7r66U7ZYaoVe3euclGGQeq7b7.pdf</t>
  </si>
  <si>
    <t>2025-06-25 13:53:55</t>
  </si>
  <si>
    <t>2025-06-25 08:53:55</t>
  </si>
  <si>
    <t>2025-05-27 08:53:55</t>
  </si>
  <si>
    <t>taxi para recojo va-en oficina moquegua </t>
  </si>
  <si>
    <t>2025-07-23 12:13:53</t>
  </si>
  <si>
    <t>https://storage.googleapis.com/deytha-prod/payments/LSpIJyuBIvnAHK9MlMFMhQx0MU3Bl1LqVipG2ZCt.pdf</t>
  </si>
  <si>
    <t>https://storage.googleapis.com/deytha-prod/payments/8Fm7BxDYZYONHC8dVUmtU6yPAJ1YRr8CbEX5qkUz.pdf</t>
  </si>
  <si>
    <t>2025-06-25 13:51:48</t>
  </si>
  <si>
    <t>2025-06-25 08:51:48</t>
  </si>
  <si>
    <t>2025-05-30 08:51:48</t>
  </si>
  <si>
    <t>pasaje p/personal arequipa-moquegua ingreso a obra</t>
  </si>
  <si>
    <t>2025-07-23 12:13:57</t>
  </si>
  <si>
    <t>https://storage.googleapis.com/deytha-prod/payments/wc9naUMQ3d8px9yHMHl0L6OTEGwXQbihmZe0ZzJz.pdf</t>
  </si>
  <si>
    <t>https://storage.googleapis.com/deytha-prod/payments/HRRNnHj425b4wep765sOHMom7PC5z6NdnnWECioR.pdf</t>
  </si>
  <si>
    <t>2025-06-25 13:50:05</t>
  </si>
  <si>
    <t>2025-06-25 08:50:05</t>
  </si>
  <si>
    <t>2025-06-11 08:50:05</t>
  </si>
  <si>
    <t>taxi para recoger volquete de taller de binacional ida y vuelta</t>
  </si>
  <si>
    <t>2025-07-23 12:13:45</t>
  </si>
  <si>
    <t>https://storage.googleapis.com/deytha-prod/payments/eclpnGi4CBJ5LzxqLc1UyDMmjMysiChQ37hYE4e8.pdf</t>
  </si>
  <si>
    <t>https://storage.googleapis.com/deytha-prod/payments/QlrcQnDjJx8NQ1n1xWnhSxzo19jfTV6bkJqURtg7.pdf</t>
  </si>
  <si>
    <t>2025-06-25 13:47:48</t>
  </si>
  <si>
    <t>2025-06-25 08:47:48</t>
  </si>
  <si>
    <t>2025-05-06 08:47:48</t>
  </si>
  <si>
    <t>https://storage.googleapis.com/deytha-prod/payments/bBjW46rqFXiz6eygQo83KJBM0Ml2EGKRMXg8K8fO.pdf</t>
  </si>
  <si>
    <t>https://storage.googleapis.com/deytha-prod/payments/P156S02SS2iC5Ju9c65ZKmc907yrCXytNpeqJV5g.pdf</t>
  </si>
  <si>
    <t>2025-06-24 20:46:30</t>
  </si>
  <si>
    <t>2025-06-24 15:47:21</t>
  </si>
  <si>
    <t>2025-06-24 16:46:23</t>
  </si>
  <si>
    <t xml:space="preserve">PAGO POR EMO DE JAVIER CALLA JORGE ANIBAL
</t>
  </si>
  <si>
    <t>2025-06-24 17:50:00</t>
  </si>
  <si>
    <t>https://storage.googleapis.com/deytha-prod/payments/Bf4cn0uclBdZJEZkiwWltSKlreP60o16z5xZRQgf.pdf</t>
  </si>
  <si>
    <t>https://storage.googleapis.com/deytha-prod/paymentBills/lSMCODnqnDtMUTpzlDALCZIthm0lwAATVODQHNeZ.png</t>
  </si>
  <si>
    <t>https://storage.googleapis.com/deytha-prod/supplierBills/HAG2baP0ESOdDNOqPCPS4vMrguQmHs1ATGn5GNY3.pdf</t>
  </si>
  <si>
    <t>2025-06-24 17:45:58</t>
  </si>
  <si>
    <t>2025-06-24 15:45:07</t>
  </si>
  <si>
    <t>2025-06-24 13:45:38</t>
  </si>
  <si>
    <t xml:space="preserve">PAGO POR EMO DE CUTIPA CUTIPA ROBERTO DIAZ
</t>
  </si>
  <si>
    <t>2025-06-24 16:33:00</t>
  </si>
  <si>
    <t>https://storage.googleapis.com/deytha-prod/payments/5tqwYwLiI9mSp1AdPvQe7l2uBvXTx79dOdKFrVUL.xlsx</t>
  </si>
  <si>
    <t>https://storage.googleapis.com/deytha-prod/paymentBills/7pT0VjS3Rzlf02KKQH1a29MPT5oXqs2GRGEdVpPJ.png</t>
  </si>
  <si>
    <t>https://storage.googleapis.com/deytha-prod/supplierBills/w5YVJKfEcDeTwoFyfEAQ9mTME8hTTrwlLHiZOQG3.pdf</t>
  </si>
  <si>
    <t>2025-06-20 13:28:35</t>
  </si>
  <si>
    <t>2025-06-24 12:38:09</t>
  </si>
  <si>
    <t>2025-06-21 08:28:00</t>
  </si>
  <si>
    <t xml:space="preserve">Alquiler 2 baños Químicos de varones y 1 lavamanos para zona D2 </t>
  </si>
  <si>
    <t>2025-06-30 19:58:00</t>
  </si>
  <si>
    <t>https://storage.googleapis.com/deytha-prod/payments/yPxLT9izXwSbszXZO1pzYrFvp0GsNtS3dXPEDviD.pdf</t>
  </si>
  <si>
    <t>https://storage.googleapis.com/deytha-prod/paymentBills/vtC9CfUEgXcEZNVbw24WiqhxK1RhP0yzHJOsj0Mz.jpg</t>
  </si>
  <si>
    <t>https://storage.googleapis.com/deytha-prod/supplierBills/DsHhnwvnS6T0XShKcooTL3Wq7XkLGyHpul64LfzA.pdf</t>
  </si>
  <si>
    <t>2025-06-20 13:30:30</t>
  </si>
  <si>
    <t>2025-06-21 08:30:08</t>
  </si>
  <si>
    <t xml:space="preserve">Alquiler de 1 baño químico para dama zona D2 renovación de contrato mes de Junio </t>
  </si>
  <si>
    <t>2025-06-26 10:31:00</t>
  </si>
  <si>
    <t>https://storage.googleapis.com/deytha-prod/payments/yneBX4ygcNads7viOnlGcG8N7x8aHJT9eIHKVQ7t.pdf</t>
  </si>
  <si>
    <t>https://storage.googleapis.com/deytha-prod/paymentBills/q5mnZXT3tWzHBFDtpw0y6ekoTEpmGF9wLvylkfYm.png</t>
  </si>
  <si>
    <t>https://storage.googleapis.com/deytha-prod/supplierBills/xiJ4RGozh9maiY0kSjUiO8sD1F0xdeArZ0mifGaG.pdf</t>
  </si>
  <si>
    <t>2025-06-20 13:33:59</t>
  </si>
  <si>
    <t>2025-06-21 08:33:09</t>
  </si>
  <si>
    <t xml:space="preserve">Alquiler de 1 Baño químico y de 1 lavamanos para zona A3 renovación mes de junio </t>
  </si>
  <si>
    <t>2025-06-26 18:20:00</t>
  </si>
  <si>
    <t>https://storage.googleapis.com/deytha-prod/payments/k9OxrGqL8QZeEc2C5vIemFFxLuA3ktQnoTtTwOJw.pdf</t>
  </si>
  <si>
    <t>https://storage.googleapis.com/deytha-prod/paymentBills/Ox8yMa8LAOWJAF2IfFjMc9wpGiv7Nz71q63cpIqq.png</t>
  </si>
  <si>
    <t>https://storage.googleapis.com/deytha-prod/supplierBills/pshm07ZriDqXWgqaFPV07C07lGPO7hagRE0K6ctH.pdf</t>
  </si>
  <si>
    <t>2025-06-19 20:47:32</t>
  </si>
  <si>
    <t>2025-06-23 16:19:00</t>
  </si>
  <si>
    <t>2025-06-23 15:46:00</t>
  </si>
  <si>
    <t>TOLDOS CARPAS Y ESTRUCTURAS SANCHEZ S.A.C.</t>
  </si>
  <si>
    <t>191 - 2381867 - 0 - 60</t>
  </si>
  <si>
    <t>Pago RQF-D:295(2 / 2) | Carpa de campamento modelo iglú de 5x8x3 metros.</t>
  </si>
  <si>
    <t>2025-06-24 17:14:00</t>
  </si>
  <si>
    <t>https://storage.googleapis.com/deytha-prod/payments/MquPDnYnIByvfpswlX1MoR9Qe7SWlZ8uMrt5lqlC.pdf</t>
  </si>
  <si>
    <t>https://storage.googleapis.com/deytha-prod/paymentBills/8ttTySSSVFOgSqmGwQHyHCVFiMHz5dL3s9lyALOP.png</t>
  </si>
  <si>
    <t>https://storage.googleapis.com/deytha-prod/supplierBills/PQkPbS5Q7BXSE8g00Vlj9gBWL3j5O7BJ8gzi6vpN.pdf</t>
  </si>
  <si>
    <t>2025-06-23 15:05:01</t>
  </si>
  <si>
    <t>2025-06-23 15:59:57</t>
  </si>
  <si>
    <t>2025-06-23 11:04:53</t>
  </si>
  <si>
    <t xml:space="preserve">PAGO POR EMOS DE CCAPA YUJRA JULIO CESAR
MENESES MENESES EDWIN LUIS
QUISPE ASENCIO FRANZ YURY
</t>
  </si>
  <si>
    <t>2025-06-23 16:47:00</t>
  </si>
  <si>
    <t>https://storage.googleapis.com/deytha-prod/payments/mr8tphGT4iCfplqPLypOhtIm5MEnQAQINxA7uuHN.xlsx</t>
  </si>
  <si>
    <t>https://storage.googleapis.com/deytha-prod/paymentBills/eE3wxCpF0NBLtZswXNp8OcLUiv6YfAnrzTAZxD5W.png</t>
  </si>
  <si>
    <t>https://storage.googleapis.com/deytha-prod/supplierBills/34sJXaEH0jX2YYkxqUHz5inKpq6kMvt1sNIZv1ku.pdf</t>
  </si>
  <si>
    <t>2025-06-23 20:32:40</t>
  </si>
  <si>
    <t>2025-06-23 15:32:40</t>
  </si>
  <si>
    <t>2025-06-06 15:32:40</t>
  </si>
  <si>
    <t>movilidad de cuajone a moquegua 2 pasajeros</t>
  </si>
  <si>
    <t>2025-07-23 12:13:40</t>
  </si>
  <si>
    <t>https://storage.googleapis.com/deytha-prod/payments/KA7YUjVBTxuhvemlKE7KpPRw3VvTzV9KHqCFIUmW.pdf</t>
  </si>
  <si>
    <t>https://storage.googleapis.com/deytha-prod/payments/DhpEvt7w1kQx9Pig3yiwBgsX1515bG0tOHWC4432.pdf</t>
  </si>
  <si>
    <t>2025-06-23 20:29:55</t>
  </si>
  <si>
    <t>2025-06-23 15:29:55</t>
  </si>
  <si>
    <t>2025-06-03 15:29:55</t>
  </si>
  <si>
    <t>egua cuajone</t>
  </si>
  <si>
    <t>2025-07-23 12:13:43</t>
  </si>
  <si>
    <t>https://storage.googleapis.com/deytha-prod/payments/4ptfmTrP91CSWo5qrJnIKQXHQAX3FI139ULM0xhc.pdf</t>
  </si>
  <si>
    <t>https://storage.googleapis.com/deytha-prod/payments/2Nvj4nTiFLAPPS74rtw4rpOxz2ghxd6s4OgpxmOq.pdf</t>
  </si>
  <si>
    <t>2025-06-18 20:47:04</t>
  </si>
  <si>
    <t>2025-06-23 12:09:43</t>
  </si>
  <si>
    <t>2025-06-19 15:46:18</t>
  </si>
  <si>
    <t xml:space="preserve">Alquiler de apisonador tipo canguro – Marca: 
MASALTA, Serie N°: H0704191157, Motor 
Honda, modelo GX 160 correspondiente a los 
dias 16/06/2025 al 21/06/2025. </t>
  </si>
  <si>
    <t>2025-06-23 14:53:00</t>
  </si>
  <si>
    <t>https://storage.googleapis.com/deytha-prod/payments/ejrBKnF6YjSKkclGExvizvW76Jk0Oo0bTMUHOODt.pdf</t>
  </si>
  <si>
    <t>https://storage.googleapis.com/deytha-prod/paymentBills/8P6ErK3vByYclZef0MmkQEejL2LKYkWJM7DLi40b.png</t>
  </si>
  <si>
    <t>https://storage.googleapis.com/deytha-prod/supplierBills/ydF5OQUzkQPY908WwqZEAmVZMx1wJyomRnBqpMl2.pdf</t>
  </si>
  <si>
    <t>2025-06-21 14:52:52</t>
  </si>
  <si>
    <t>2025-06-22 09:52:45</t>
  </si>
  <si>
    <t xml:space="preserve"> TERMOHIGROMETRO MARCA EUROTECH
CERTIFICADO DE CALIBRACIÓN</t>
  </si>
  <si>
    <t>2025-06-23 16:56:00</t>
  </si>
  <si>
    <t>https://storage.googleapis.com/deytha-prod/payments/Ms1RerpxDOTUwyMiYRFtDdRV8dr2RHuXY8yK2E5A.pdf</t>
  </si>
  <si>
    <t>https://storage.googleapis.com/deytha-prod/paymentBills/DIeUf88SCQJ2wb7w1Qy3nmtE3NbQL3fZcc274Bnr.png</t>
  </si>
  <si>
    <t>https://storage.googleapis.com/deytha-prod/supplierBills/2t3ptFjuzs0Dc5DJua9iOH7U8vld4LqFdLRSzwMa.pdf</t>
  </si>
  <si>
    <t>2025-06-23 14:31:17</t>
  </si>
  <si>
    <t>2025-06-24 09:31:11</t>
  </si>
  <si>
    <t>MOVILIZACION DE PERSONAL DE VIGILANCIA DE MOQUEGUA A CUAJONE - CUAJONE MOQUEGUA DESDE EL 23/06 AL 06/07</t>
  </si>
  <si>
    <t>2025-06-24 15:40:00</t>
  </si>
  <si>
    <t>https://storage.googleapis.com/deytha-prod/payments/aabTcKjYMzYGeVdIX8hzHI3UPZ6hgk1xZuEA9t6L.pdf</t>
  </si>
  <si>
    <t>https://storage.googleapis.com/deytha-prod/paymentBills/5c7moWMhP3jYZOH2GChC9kXCCmqVb4oNxQJq6Lew.pdf</t>
  </si>
  <si>
    <t>https://storage.googleapis.com/deytha-prod/supplierBills/erEV9e9HXB6pxBk96Tv63Icjxv29e1aJRKqckWBT.pdf</t>
  </si>
  <si>
    <t>2025-06-23 16:00:49</t>
  </si>
  <si>
    <t>2025-06-23 11:03:22</t>
  </si>
  <si>
    <t>2025-06-24 11:00:06</t>
  </si>
  <si>
    <t>ADAPTADOR PVC SCH  4" (FEMALE) CON UL
ADAPTADOR PVC SCH  2" (FEMALE) CON UL</t>
  </si>
  <si>
    <t>2025-06-23 12:01:00</t>
  </si>
  <si>
    <t>https://storage.googleapis.com/deytha-prod/payments/0RciFVKzsgq4WGZ16Or46fn3tmVTB5WEOxLMW95E.pdf</t>
  </si>
  <si>
    <t>https://storage.googleapis.com/deytha-prod/paymentBills/ZxazuHJI0VLoeE8igR3tbenk4VUOSoc6V7dQJqi4.png</t>
  </si>
  <si>
    <t>https://storage.googleapis.com/deytha-prod/supplierBills/w61oeun2LzXUAwC0ZMFvdQIu9xPg67EItrtv120d.pdf</t>
  </si>
  <si>
    <t>2025-06-19 13:46:00</t>
  </si>
  <si>
    <t>2025-06-23 10:09:39</t>
  </si>
  <si>
    <t>2025-06-20 08:45:09</t>
  </si>
  <si>
    <t>Compra de 15 m3 de Material de Relleno para PY-028.</t>
  </si>
  <si>
    <t>2025-06-23 15:50:00</t>
  </si>
  <si>
    <t>https://storage.googleapis.com/deytha-prod/payments/buuC2W1g3lcyFlM1FY1jRciRYXjTIRh4G7ZOlaPs.pdf</t>
  </si>
  <si>
    <t>https://storage.googleapis.com/deytha-prod/paymentBills/s2ZNIvK2UolClnO5n4VfHrFfQUkx6H2g2Xtlkshm.png</t>
  </si>
  <si>
    <t>https://storage.googleapis.com/deytha-prod/supplierBills/DRsiZ9hvaQF7YfEukOmehLX5yNuE3ssCyhUBR4ym.pdf</t>
  </si>
  <si>
    <t>Compra de 15m3 de Piedra Chancada para PY-028.</t>
  </si>
  <si>
    <t>2025-06-19 13:58:57</t>
  </si>
  <si>
    <t>2025-06-20 08:58:13</t>
  </si>
  <si>
    <t>Compra de 15m3 de Arena Gruesa para PY-028.</t>
  </si>
  <si>
    <t>2025-06-23 15:59:00</t>
  </si>
  <si>
    <t>https://storage.googleapis.com/deytha-prod/payments/lSRI4eT3wz0OMYRrC20nPk4yFoc2BCr9ktHuwdRN.pdf</t>
  </si>
  <si>
    <t>https://storage.googleapis.com/deytha-prod/paymentBills/wFilHGpzylGEnKvYXCqCqDk2V4YVMhB1AhnANRrG.png</t>
  </si>
  <si>
    <t>https://storage.googleapis.com/deytha-prod/supplierBills/sVnyQIAXQjlgBd5sn9jVz7CMq5vY5iOoHin91iNW.pdf</t>
  </si>
  <si>
    <t>2025-06-19 14:20:17</t>
  </si>
  <si>
    <t>2025-06-20 09:19:44</t>
  </si>
  <si>
    <t>2025-06-23 16:04:00</t>
  </si>
  <si>
    <t>https://storage.googleapis.com/deytha-prod/payments/rTlBBa7FGea1N1pY58zrwrqUAy7EqAonzBKMlNRv.pdf</t>
  </si>
  <si>
    <t>https://storage.googleapis.com/deytha-prod/paymentBills/HwuDQQ0hdC2qlQ4jtW11Ek8be2JdsSgNoesy8rHp.png</t>
  </si>
  <si>
    <t>https://storage.googleapis.com/deytha-prod/supplierBills/ikFJZs18VUEsCYL8O83K6mQLIOWiLPtHmxJuZOxD.pdf</t>
  </si>
  <si>
    <t>2025-06-21 18:59:49</t>
  </si>
  <si>
    <t>2025-06-21 13:59:49</t>
  </si>
  <si>
    <t>2025-06-02 13:59:49</t>
  </si>
  <si>
    <t>pasaje de cuajone a  moquegua </t>
  </si>
  <si>
    <t>2025-07-23 12:13:36</t>
  </si>
  <si>
    <t>https://storage.googleapis.com/deytha-prod/payments/7jedAD7hqznAenUCmMsvrToiF3VLwStPONtSLJ5O.pdf</t>
  </si>
  <si>
    <t>https://storage.googleapis.com/deytha-prod/payments/R8dcU5fbxAsPW4HGXFST0hU3y8vl5Xtk3UrvLwsH.pdf</t>
  </si>
  <si>
    <t>2025-06-21 18:53:22</t>
  </si>
  <si>
    <t>2025-06-21 13:53:22</t>
  </si>
  <si>
    <t>2025-05-29 13:53:22</t>
  </si>
  <si>
    <t>servicio de movilidad de moquegua a cuajone</t>
  </si>
  <si>
    <t>2025-07-23 12:13:33</t>
  </si>
  <si>
    <t>https://storage.googleapis.com/deytha-prod/payments/m7fCanE9SmJY8cRbZkgSEvUZXwoKaSqahndGVrQ5.pdf</t>
  </si>
  <si>
    <t>https://storage.googleapis.com/deytha-prod/payments/NaaKXc0UHPdNUyp1YKYuBbLdG9BxjTPBYB3Lv2Rl.pdf</t>
  </si>
  <si>
    <t>2025-06-21 18:43:19</t>
  </si>
  <si>
    <t>2025-06-21 13:43:19</t>
  </si>
  <si>
    <t>2025-05-27 13:43:19</t>
  </si>
  <si>
    <t>movilidad moquegua cuajone</t>
  </si>
  <si>
    <t>https://storage.googleapis.com/deytha-prod/payments/AuqUMWEUMcqEoNqcoIQCfelNZD68B7FezzuteOuO.pdf</t>
  </si>
  <si>
    <t>https://storage.googleapis.com/deytha-prod/payments/QSdLyjTasYf8uBh6I48HAuxXDEET5PNhAgcS4j6h.pdf</t>
  </si>
  <si>
    <t>2025-06-21 18:36:40</t>
  </si>
  <si>
    <t>2025-06-21 13:36:40</t>
  </si>
  <si>
    <t>2025-05-25 13:36:40</t>
  </si>
  <si>
    <t xml:space="preserve">servicio movilidad mina cuajone
</t>
  </si>
  <si>
    <t>2025-07-23 12:13:48</t>
  </si>
  <si>
    <t>https://storage.googleapis.com/deytha-prod/payments/TfCr3Jm7Iw6bnRXLLUeldwp2KJpyam1pklQsTIoy.pdf</t>
  </si>
  <si>
    <t>https://storage.googleapis.com/deytha-prod/payments/DPjKabs2y96BrkT5qOPMXsMb3cIuDlLH1hvsYI7i.pdf</t>
  </si>
  <si>
    <t>2025-06-21 18:29:19</t>
  </si>
  <si>
    <t>2025-06-21 13:29:19</t>
  </si>
  <si>
    <t>2025-05-23 13:29:19</t>
  </si>
  <si>
    <t>movilidad de moquegua a cuajone</t>
  </si>
  <si>
    <t>2025-07-23 12:13:27</t>
  </si>
  <si>
    <t>https://storage.googleapis.com/deytha-prod/payments/UNuK6CqnYpJS13lofVYCYpQ0xlqcfIuNCgCC3rZZ.pdf</t>
  </si>
  <si>
    <t>https://storage.googleapis.com/deytha-prod/payments/dbIWhVSWNvIT0erG3z8L7T1WhKJHNo3SlhgROSWO.pdf</t>
  </si>
  <si>
    <t>2025-06-19 02:00:15</t>
  </si>
  <si>
    <t>2025-06-21 10:15:58</t>
  </si>
  <si>
    <t>2025-06-20 11:59:46</t>
  </si>
  <si>
    <t>MADERAS Y ROLLIZOS</t>
  </si>
  <si>
    <t>2025-06-27 18:37:00</t>
  </si>
  <si>
    <t>https://storage.googleapis.com/deytha-prod/payments/HG74mu6AeYzFn7B08SZQ73Or4P7UWCTMcm4TYqqQ.pdf</t>
  </si>
  <si>
    <t>https://storage.googleapis.com/deytha-prod/paymentBills/EVZrm4czCslitqK1xnaouQb9YHosBY7mLlkE2i29.png</t>
  </si>
  <si>
    <t>https://storage.googleapis.com/deytha-prod/supplierBills/fUrHWN05QYEaen8iT8k2Yhb8dTQtXlJcH7gBuLhz.pdf</t>
  </si>
  <si>
    <t>2025-06-19 02:44:04</t>
  </si>
  <si>
    <t>2025-06-20 12:43:58</t>
  </si>
  <si>
    <t>CEMENTO FRONTERA IP
ALAMBRE</t>
  </si>
  <si>
    <t>2025-06-24 11:22:00</t>
  </si>
  <si>
    <t>https://storage.googleapis.com/deytha-prod/payments/B3thxylE4xQlak0Ma8K5krCcvRePzbIFAHomoMXh.pdf</t>
  </si>
  <si>
    <t>https://storage.googleapis.com/deytha-prod/paymentBills/Bz5YFGdHZqfGXmJIVMbTrvUsKeSTPtS7VteV8jJt.png</t>
  </si>
  <si>
    <t>https://storage.googleapis.com/deytha-prod/supplierBills/Ti8HzXapHVjeIcvd0DuQQdche1HZ3ISpxyfdcv0j.pdf</t>
  </si>
  <si>
    <t>2025-06-20 00:53:58</t>
  </si>
  <si>
    <t>2025-06-20 19:53:50</t>
  </si>
  <si>
    <t>EXTINTOR
MALLA 
Y MAS</t>
  </si>
  <si>
    <t>2025-06-23 15:37:00</t>
  </si>
  <si>
    <t>https://storage.googleapis.com/deytha-prod/payments/bsfdQZncUcVlqKBTF7Es1jzdmBmetPVhtmjHrdk6.pdf</t>
  </si>
  <si>
    <t>https://storage.googleapis.com/deytha-prod/paymentBills/YpITVOMBlYMIqAdBGrJyZ74rkTTlnY5bKPTNuKsb.png</t>
  </si>
  <si>
    <t>https://storage.googleapis.com/deytha-prod/supplierBills/vakJJDP2OEt0WpPkP7Z0nh2VK3BRrxxAB6cesxq9.pdf</t>
  </si>
  <si>
    <t>2025-06-20 15:39:51</t>
  </si>
  <si>
    <t>2025-06-21 10:39:41</t>
  </si>
  <si>
    <t xml:space="preserve">ARNES Y LINEA PARA LINIEROS </t>
  </si>
  <si>
    <t>2025-06-26 17:27:00</t>
  </si>
  <si>
    <t>https://storage.googleapis.com/deytha-prod/payments/Ob3ICo09hK4DJy7gEJoOguSRv8dzSzs0YyZ71eZC.pdf</t>
  </si>
  <si>
    <t>https://storage.googleapis.com/deytha-prod/paymentBills/TYUiqUW6Al6yCKAANzH0AXjymlpXYKMQLrKrs9wl.png</t>
  </si>
  <si>
    <t>https://storage.googleapis.com/deytha-prod/supplierBills/0wbhoMFRo0M1C10Gj3fhtZCoSeUC7HXbLuhiFBLs.pdf</t>
  </si>
  <si>
    <t>2025-06-20 13:38:18</t>
  </si>
  <si>
    <t>2025-06-20 16:16:21</t>
  </si>
  <si>
    <t>2025-06-21 08:37:07</t>
  </si>
  <si>
    <t>Alquiler de Baño Químico para Dama en zona A3</t>
  </si>
  <si>
    <t>2025-06-26 10:25:00</t>
  </si>
  <si>
    <t>https://storage.googleapis.com/deytha-prod/payments/B17pXTVQ1ld3A1eSBREO1TkUF2dQNTrpxKOrj3Q0.pdf</t>
  </si>
  <si>
    <t>https://storage.googleapis.com/deytha-prod/paymentBills/mrLRigERdkCw942HbbL6wSIz02bJf6RZb7qgZmVu.png</t>
  </si>
  <si>
    <t>https://storage.googleapis.com/deytha-prod/supplierBills/A5F0JV4ATulzQAfrFB021xalPciA6awfy1JHF6Cj.pdf</t>
  </si>
  <si>
    <t>2025-06-20 16:10:31</t>
  </si>
  <si>
    <t>2025-06-21 11:10:24</t>
  </si>
  <si>
    <t>BANNERS RQ008-SSOMA</t>
  </si>
  <si>
    <t>2025-06-24 12:11:00</t>
  </si>
  <si>
    <t>https://storage.googleapis.com/deytha-prod/payments/NUJsRjPyFKm6wAnAlxAToObOPoM5GSxWtUJMbJdq.pdf</t>
  </si>
  <si>
    <t>https://storage.googleapis.com/deytha-prod/paymentBills/Wjka0U2BSI9X036XxdVWClg6KY4FQKath0hiB1gA.png</t>
  </si>
  <si>
    <t>https://storage.googleapis.com/deytha-prod/supplierBills/xJbm3vyFi617E688COItsNK8thIMCR7y1WCsInmI.pdf</t>
  </si>
  <si>
    <t>2025-06-20 16:25:20</t>
  </si>
  <si>
    <t>2025-06-21 11:25:16</t>
  </si>
  <si>
    <t>PLATINA DE 4 X 4 1/8 X 6 M
PLATINA 2X2X18 X 6M
SOLDADURA 1/8 CELLOCORD</t>
  </si>
  <si>
    <t>2025-06-26 10:47:00</t>
  </si>
  <si>
    <t>https://storage.googleapis.com/deytha-prod/payments/W6uCcxjCQaZJ55jAgXjtHLC6GZ4bIOPRRODvmraH.pdf</t>
  </si>
  <si>
    <t>https://storage.googleapis.com/deytha-prod/paymentBills/1fCVxRyC53hLMUIUDALgUU46WuraqqMU2qL6O8TS.png</t>
  </si>
  <si>
    <t>https://storage.googleapis.com/deytha-prod/supplierBills/CX6RUgnNoa6VFiyHJj2M6EbOFWi1ipnEdW3TLiAx.pdf</t>
  </si>
  <si>
    <t>2025-06-20 20:26:36</t>
  </si>
  <si>
    <t>2025-06-21 15:26:31</t>
  </si>
  <si>
    <t>LUMARIA 
PASTORAL 
CURVAS PVC</t>
  </si>
  <si>
    <t>2025-06-20 19:33:00</t>
  </si>
  <si>
    <t>https://storage.googleapis.com/deytha-prod/payments/9OCHZEHk466Iu83tuvodcPxcNHkXjdokKslEAnjo.pdf</t>
  </si>
  <si>
    <t>https://storage.googleapis.com/deytha-prod/paymentBills/D0fvttU7bMsU7NfL7S0uhI23GfzxxokInnJfw5lS.png</t>
  </si>
  <si>
    <t>https://storage.googleapis.com/deytha-prod/supplierBills/xYU7MULnGsPt9mb9zphFv0mfVHFHARLbffym23Ds.pdf</t>
  </si>
  <si>
    <t>2025-06-20 19:50:53</t>
  </si>
  <si>
    <t>2025-06-20 16:12:40</t>
  </si>
  <si>
    <t>2025-06-20 15:50:39</t>
  </si>
  <si>
    <t>PAGO POR EMO DE  CCALLO APAZA JHONY OMAR</t>
  </si>
  <si>
    <t>2025-06-20 18:02:00</t>
  </si>
  <si>
    <t>https://storage.googleapis.com/deytha-prod/payments/UnK9iA8Z5eTZvaDCmEhwd4SNQvDNkOTg2AIzQvpx.pdf</t>
  </si>
  <si>
    <t>https://storage.googleapis.com/deytha-prod/paymentBills/syvz648sZGuOObWs3upUvwT6ndGovMVheIzy8f2w.png</t>
  </si>
  <si>
    <t>https://storage.googleapis.com/deytha-prod/supplierBills/fTdvTa8Ef6pD7SL2jNDYDLQo2PsqBEdl5yLxcrOw.pdf</t>
  </si>
  <si>
    <t>2025-06-20 21:08:09</t>
  </si>
  <si>
    <t>2025-06-20 17:08:00</t>
  </si>
  <si>
    <t>PAGO DE EMO PARA CUAYLA TALA JOSE LUIS</t>
  </si>
  <si>
    <t>2025-06-20 17:59:00</t>
  </si>
  <si>
    <t>https://storage.googleapis.com/deytha-prod/payments/G1kvQTqIp04fOumT8zzwN8MHUUXiTbzRehC3RbPQ.xlsx</t>
  </si>
  <si>
    <t>https://storage.googleapis.com/deytha-prod/paymentBills/Vh47a1cQfZaP1ep0pe7MpDD5t8NJzQFpVSix9Irm.png</t>
  </si>
  <si>
    <t>https://storage.googleapis.com/deytha-prod/supplierBills/mMKF2F5YTYuhxnf3zXFmL05DGE8hMcpBytXyhPdT.pdf</t>
  </si>
  <si>
    <t>2025-06-20 17:56:21</t>
  </si>
  <si>
    <t>2025-06-20 12:56:21</t>
  </si>
  <si>
    <t>2025-06-05 12:56:21</t>
  </si>
  <si>
    <t>recojo en shalom bandeja hacia alamcen</t>
  </si>
  <si>
    <t>https://storage.googleapis.com/deytha-prod/payments/8oF4GbSYTII0aUNc0SZieDin3XlrNLpn0brGJ0WR.pdf</t>
  </si>
  <si>
    <t>https://storage.googleapis.com/deytha-prod/payments/gwm1CFKW35HEWeoSfPKE6URbnnEgWQC3LXdgHadN.pdf</t>
  </si>
  <si>
    <t>2025-06-20 17:54:47</t>
  </si>
  <si>
    <t>2025-06-20 12:54:47</t>
  </si>
  <si>
    <t>2025-06-04 12:54:47</t>
  </si>
  <si>
    <t>recojo de madera y bandeja </t>
  </si>
  <si>
    <t>2025-07-23 12:13:24</t>
  </si>
  <si>
    <t>https://storage.googleapis.com/deytha-prod/payments/bHWZxc3KJpOVQpLFT5v6Uc4Zf84W0kLPhJ4V8Pux.pdf</t>
  </si>
  <si>
    <t>https://storage.googleapis.com/deytha-prod/payments/rK7l3imYbcjOVDPvEErqj65UQGm97VgLF7uB5nii.pdf</t>
  </si>
  <si>
    <t>2025-06-20 17:53:32</t>
  </si>
  <si>
    <t>2025-06-20 12:53:32</t>
  </si>
  <si>
    <t>2025-05-30 12:53:32</t>
  </si>
  <si>
    <t>recojo shalom / heleo </t>
  </si>
  <si>
    <t>2025-07-23 12:13:21</t>
  </si>
  <si>
    <t>https://storage.googleapis.com/deytha-prod/payments/XUQI9Shz74DfpL7P9th6FUxxb4pBUvU7JyfOSDG0.pdf</t>
  </si>
  <si>
    <t>https://storage.googleapis.com/deytha-prod/payments/yvQDuZz4Re7XqulLHNlEe6NTQfBpkRmZvLQPQUfA.pdf</t>
  </si>
  <si>
    <t>2025-06-20 17:50:04</t>
  </si>
  <si>
    <t>2025-06-20 12:50:04</t>
  </si>
  <si>
    <t>2025-05-16 12:50:04</t>
  </si>
  <si>
    <t>recojo materiales  almacen moquegua</t>
  </si>
  <si>
    <t>2025-07-23 12:13:30</t>
  </si>
  <si>
    <t>https://storage.googleapis.com/deytha-prod/payments/4rikAisahbk9KLjQ0lrO38KbeeqzNG2z8Szxxpxu.pdf</t>
  </si>
  <si>
    <t>https://storage.googleapis.com/deytha-prod/payments/e8vpf6szCuv3Pf66Hf4Gohh2r7Rbg4k7kOStaUSL.pdf</t>
  </si>
  <si>
    <t>2025-06-20 17:40:57</t>
  </si>
  <si>
    <t>2025-06-20 12:40:57</t>
  </si>
  <si>
    <t>2025-05-13 12:40:57</t>
  </si>
  <si>
    <t>recojo en promart /  recojo de encomiendas </t>
  </si>
  <si>
    <t>2025-07-23 12:13:18</t>
  </si>
  <si>
    <t>https://storage.googleapis.com/deytha-prod/payments/46oF5h0bgbORWsDynlcjmIJvBadferNrzm4pjOiU.pdf</t>
  </si>
  <si>
    <t>https://storage.googleapis.com/deytha-prod/payments/O8DXPxQdnbagyVujmlDKFtNwgOr4hZ3jpAq9naCh.pdf</t>
  </si>
  <si>
    <t>2025-06-20 17:40:56</t>
  </si>
  <si>
    <t>2025-06-20 12:40:56</t>
  </si>
  <si>
    <t>2025-06-17 12:40:56</t>
  </si>
  <si>
    <t>indicadores  / papel fotocopia oxford</t>
  </si>
  <si>
    <t>2025-07-23 12:13:09</t>
  </si>
  <si>
    <t>https://storage.googleapis.com/deytha-prod/payments/Mz6raRtmw5v4wy2W84PjD0i3jUSpW9dZqIVzTTYX.pdf</t>
  </si>
  <si>
    <t>https://storage.googleapis.com/deytha-prod/payments/pYx8xWwOiBdJcxuQBOn64ylKVTXYvMsOiNdeLP3i.pdf</t>
  </si>
  <si>
    <t>2025-06-20 17:40:52</t>
  </si>
  <si>
    <t>2025-06-20 12:40:52</t>
  </si>
  <si>
    <t>2025-06-10 12:40:52</t>
  </si>
  <si>
    <t>taxi para recoger volquete </t>
  </si>
  <si>
    <t>https://storage.googleapis.com/deytha-prod/payments/MkJtVuXdlbQd61i1CvHHAtunzNXRBH6kTiXKAcwL.pdf</t>
  </si>
  <si>
    <t>https://storage.googleapis.com/deytha-prod/payments/43CTXQe7vN3rD6tgqeA1aC5c3cpeM3L1gVuWb6Qr.pdf</t>
  </si>
  <si>
    <t>2025-06-20 17:35:31</t>
  </si>
  <si>
    <t>2025-06-20 12:35:31</t>
  </si>
  <si>
    <t>2025-06-16 12:35:31</t>
  </si>
  <si>
    <t>servicio de movilidad de moquegua-cuajone</t>
  </si>
  <si>
    <t>2025-07-23 12:13:06</t>
  </si>
  <si>
    <t>https://storage.googleapis.com/deytha-prod/payments/vZrui92O3s357gT8Ta5p4kZXbzeKaaUNibOPDI7h.pdf</t>
  </si>
  <si>
    <t>https://storage.googleapis.com/deytha-prod/payments/zoLfraKrKar1O14BHkO8sXOWl0OF2eWB6AoBM3qG.pdf</t>
  </si>
  <si>
    <t>2025-06-20 17:30:22</t>
  </si>
  <si>
    <t>2025-06-20 12:30:22</t>
  </si>
  <si>
    <t>2025-05-20 12:30:22</t>
  </si>
  <si>
    <t>mantenimiento carburador y revision
aceite multigrado vision 4t</t>
  </si>
  <si>
    <t>2025-07-23 12:13:03</t>
  </si>
  <si>
    <t>https://storage.googleapis.com/deytha-prod/payments/sRBKYPKG4fWhiuX8Ua9hNgJDGw8i0Unm4lQ69R0O.pdf</t>
  </si>
  <si>
    <t>https://storage.googleapis.com/deytha-prod/payments/cwylAtEP3hEZz6XLDTmSkqLHjYl5hm0Pfltug6s4.pdf</t>
  </si>
  <si>
    <t>2025-06-20 17:02:04</t>
  </si>
  <si>
    <t>2025-06-20 12:02:04</t>
  </si>
  <si>
    <t>2025-05-22 12:02:04</t>
  </si>
  <si>
    <t>alarma de retroceso hella 12v  PARA UNIDAD - Z8O-799</t>
  </si>
  <si>
    <t>2025-07-23 12:12:59</t>
  </si>
  <si>
    <t>https://storage.googleapis.com/deytha-prod/payments/NPuG8Orq5lwRac0r8reR7xV2nflrbMp6nL8x2na1.pdf</t>
  </si>
  <si>
    <t>https://storage.googleapis.com/deytha-prod/payments/wT4OhlCkjdHyjvZXBtp0m980a7VIbCwL1DApvOkU.pdf</t>
  </si>
  <si>
    <t>2025-05-21 12:02:04</t>
  </si>
  <si>
    <t>taxi arequipa  recojo de utiles y envio en colectivo Hacia moquegua</t>
  </si>
  <si>
    <t>2025-07-23 12:13:01</t>
  </si>
  <si>
    <t>https://storage.googleapis.com/deytha-prod/payments/GWJDRz7NW446XI38pQdOiROGmftQ2scXoWVsh9TN.pdf</t>
  </si>
  <si>
    <t>https://storage.googleapis.com/deytha-prod/payments/SKj5wQRnhbCe5i2eARBXvpB9lsG9iZ7FXMSxjdI9.pdf</t>
  </si>
  <si>
    <t>2025-05-13 12:02:04</t>
  </si>
  <si>
    <t>stikers troquelados 5cm</t>
  </si>
  <si>
    <t>2025-07-23 12:13:13</t>
  </si>
  <si>
    <t>https://storage.googleapis.com/deytha-prod/payments/cuPxlRjthB7bhR0SCjttcp8tXTWCT3qkTaXMTUaF.pdf</t>
  </si>
  <si>
    <t>https://storage.googleapis.com/deytha-prod/payments/LYucLENotVygpDiVFijPf6KD2Ih1hdnvFkn6HZ62.pdf</t>
  </si>
  <si>
    <t>2025-06-20 17:02:03</t>
  </si>
  <si>
    <t>2025-06-20 12:02:03</t>
  </si>
  <si>
    <t>2025-05-30 12:02:03</t>
  </si>
  <si>
    <t>extension camasa 3m</t>
  </si>
  <si>
    <t>2025-07-23 12:12:54</t>
  </si>
  <si>
    <t>https://storage.googleapis.com/deytha-prod/payments/l8ANfO7Oaat45grcy9ZKGamEXcXgXkTyIg0EuUVv.pdf</t>
  </si>
  <si>
    <t>https://storage.googleapis.com/deytha-prod/payments/69kMXxeTX5SoDwxEZ2iuuCbZT3OfY5x98A9YE8VF.pdf</t>
  </si>
  <si>
    <t>2025-05-23 12:02:03</t>
  </si>
  <si>
    <t>INFANTAS SANCHEZ JOSE ALFREDO</t>
  </si>
  <si>
    <t>RANCHO FRIO POR CUIDAR GRUA EN GARITA A VIGILANTES
                                                                                                                      </t>
  </si>
  <si>
    <t>2025-07-23 12:12:57</t>
  </si>
  <si>
    <t>https://storage.googleapis.com/deytha-prod/payments/NLuZHpKd6V99Svt8GkN9zgfb6iIbktjGNMknlZPu.pdf</t>
  </si>
  <si>
    <t>https://storage.googleapis.com/deytha-prod/payments/gKvAp7rUeXTWPqqiH9bDl6kjk5dGraiOCVBLpIDB.pdf</t>
  </si>
  <si>
    <t>2025-06-19 20:01:35</t>
  </si>
  <si>
    <t>2025-06-19 15:53:11</t>
  </si>
  <si>
    <t>2025-06-19 16:01:29</t>
  </si>
  <si>
    <t>PAGO POR EMO DE FLORES COLANA JAVIER ALFREDO VALDIVIA COLLATUPA CLARA LIDIA DIAZ CHUQUIMANGO WILMER</t>
  </si>
  <si>
    <t>2025-06-19 16:17:00</t>
  </si>
  <si>
    <t>https://storage.googleapis.com/deytha-prod/payments/8SdggAUkaEybsyk6ZAYDQsRPhTGeG31r7khsM06J.xlsx</t>
  </si>
  <si>
    <t>https://storage.googleapis.com/deytha-prod/paymentBills/ivWNKh6bjzWPU7QdL2zSaHSPoUvuJt6Np5T4npxC.png</t>
  </si>
  <si>
    <t>https://storage.googleapis.com/deytha-prod/supplierBills/wNFRGcOOrH4gv6NkCoJ6bVRC8LWs91MMv5WizIAT.pdf</t>
  </si>
  <si>
    <t>2025-06-19 15:49:21</t>
  </si>
  <si>
    <t>2025-06-19 15:46:00</t>
  </si>
  <si>
    <t>Pago RQF-D:295(1 / 2) | Carpa de campamento modelo iglú de 5x8x3 metros.</t>
  </si>
  <si>
    <t>2025-06-19 17:38:00</t>
  </si>
  <si>
    <t>https://storage.googleapis.com/deytha-prod/paymentBills/jaBMBCjBO2vzTKNuRFbSs20rVnXVCCR0VqR5O3Mh.png</t>
  </si>
  <si>
    <t>https://storage.googleapis.com/deytha-prod/supplierBills/tHQOqpkxXYWGm1E6q9JdOWvfNCYUsC1fRJlyPQYg.pdf</t>
  </si>
  <si>
    <t>PEN BCP    24596711832044</t>
  </si>
  <si>
    <t>2025-06-18 19:03:06</t>
  </si>
  <si>
    <t>2025-06-19 14:05:02</t>
  </si>
  <si>
    <t>2025-06-19 14:02:55</t>
  </si>
  <si>
    <t>CINTA AMARILLO PARA ROTULADOR (12MM X 
8MM) BROTHER TZ2-631 COMPATIBLE</t>
  </si>
  <si>
    <t>2025-06-20 15:11:00</t>
  </si>
  <si>
    <t>https://storage.googleapis.com/deytha-prod/payments/gLETiwO3WTJJ2RO1rNJGqA7O4j9iK2z0rOOloBj2.pdf</t>
  </si>
  <si>
    <t>https://storage.googleapis.com/deytha-prod/paymentBills/eZpsLMt9YP6xANXBabTTfIEMZp4MOsRgP8o2FmCO.png</t>
  </si>
  <si>
    <t>https://storage.googleapis.com/deytha-prod/supplierBills/idPqMPmHaLilo0eSpwIlWP5rsGAc1FHdlRQ1LgNh.pdf</t>
  </si>
  <si>
    <t>2025-06-18 20:52:19</t>
  </si>
  <si>
    <t>2025-06-19 15:52:05</t>
  </si>
  <si>
    <t xml:space="preserve">CHALECO PERSONALIADO PECHO ESPALDA 
 </t>
  </si>
  <si>
    <t>2025-06-20 17:14:00</t>
  </si>
  <si>
    <t>https://storage.googleapis.com/deytha-prod/payments/z9DjSfMbWXD8Ychx1u00vmyblbzU1UoWrsz1hRgI.pdf</t>
  </si>
  <si>
    <t>https://storage.googleapis.com/deytha-prod/paymentBills/yWCsq2MYwLZLSxaLEWpJqmPeKzM1U9dGr0VuHQT5.png</t>
  </si>
  <si>
    <t>https://storage.googleapis.com/deytha-prod/supplierBills/BhFXtPo94xmbypQX6obHKSBeiPwZwa1GFApU5vJZ.pdf</t>
  </si>
  <si>
    <t>2025-06-19 01:40:31</t>
  </si>
  <si>
    <t>2025-06-20 11:40:00</t>
  </si>
  <si>
    <t xml:space="preserve">SIKA CEM 
SIKA AER </t>
  </si>
  <si>
    <t>2025-06-20 19:37:00</t>
  </si>
  <si>
    <t>https://storage.googleapis.com/deytha-prod/payments/8jEpibZpIrgqmr5UqCuAR4xr0baSiYDpjm5iqbQ6.pdf</t>
  </si>
  <si>
    <t>https://storage.googleapis.com/deytha-prod/paymentBills/XnVQUSWL8iPhsqv3UOJa7chBIH859B0CqReJh9Qt.png</t>
  </si>
  <si>
    <t>https://storage.googleapis.com/deytha-prod/supplierBills/Qai7O5IchFbNXlR4MveOSSjkXX1McA57jus9sHqM.pdf</t>
  </si>
  <si>
    <t>2025-06-19 01:43:02</t>
  </si>
  <si>
    <t>2025-06-20 11:42:48</t>
  </si>
  <si>
    <t>VELARDE ORTIZ ANYELA ELENA</t>
  </si>
  <si>
    <t xml:space="preserve">TINTA PARA IMPRESORA 
BROTHER 
EPSON </t>
  </si>
  <si>
    <t>2025-06-23 12:51:00</t>
  </si>
  <si>
    <t>https://storage.googleapis.com/deytha-prod/payments/nAbBTJWkQEQ9dpBRCL7DOesBdG42UAd5hJL5etLn.pdf</t>
  </si>
  <si>
    <t>https://storage.googleapis.com/deytha-prod/paymentBills/bbGje7os2hrhxrGE1SMWhLcULkOO93W2w0iwyn9i.png</t>
  </si>
  <si>
    <t>https://storage.googleapis.com/deytha-prod/supplierBills/hKs787bGk2mCGBSj58XckqcHHcAKh8l8OiVJ2hae.pdf</t>
  </si>
  <si>
    <t>2025-06-19 01:47:13</t>
  </si>
  <si>
    <t>2025-06-20 11:47:08</t>
  </si>
  <si>
    <t>SOLDADURA EXOTERMICA</t>
  </si>
  <si>
    <t>2025-06-20 09:59:00</t>
  </si>
  <si>
    <t>https://storage.googleapis.com/deytha-prod/payments/VF9xIvYYYVZ6QrCS7Jh9GesJECwOpb4aRKM0cnkf.pdf</t>
  </si>
  <si>
    <t>https://storage.googleapis.com/deytha-prod/paymentBills/i2QzUCKf9jXry7pjSvAvNxqFIU1Vb6BImYuDJaqR.png</t>
  </si>
  <si>
    <t>https://storage.googleapis.com/deytha-prod/supplierBills/z9tBPyAOODsjbUXDOxjRx7jSS3HOhPbQmSEGHKyC.pdf</t>
  </si>
  <si>
    <t>2025-06-19 13:06:00</t>
  </si>
  <si>
    <t>2025-06-20 08:05:45</t>
  </si>
  <si>
    <t xml:space="preserve">pioner, papel bond, engrapadora </t>
  </si>
  <si>
    <t>2025-06-20 17:16:00</t>
  </si>
  <si>
    <t>https://storage.googleapis.com/deytha-prod/payments/7JwG1K2LpQ91oRBFSJMsGCXoyP9C9SCDBhlYXHrs.jpg</t>
  </si>
  <si>
    <t>https://storage.googleapis.com/deytha-prod/paymentBills/fH3qn2whPwCeWwbnKBxmNz4xwKDCBzrVWD3n4BpS.png</t>
  </si>
  <si>
    <t>https://storage.googleapis.com/deytha-prod/supplierBills/LM5Rw37fpGdqRF9pyC7ryK1PVpRKJwKesfZJAb52.pdf</t>
  </si>
  <si>
    <t>2025-06-17 16:59:44</t>
  </si>
  <si>
    <t>2025-06-18 14:35:25</t>
  </si>
  <si>
    <t>2025-06-18 11:59:30</t>
  </si>
  <si>
    <t>JAS MULTISERVICIOS E.I.R.L.</t>
  </si>
  <si>
    <t>430-02843857-0-95 TITULAR DE LA CUENTA: CENTENO VIZA JULIO ARTURO</t>
  </si>
  <si>
    <t>Servicio de Reparación de H Retroexcavadora</t>
  </si>
  <si>
    <t>2025-06-19 09:45:00</t>
  </si>
  <si>
    <t>https://storage.googleapis.com/deytha-prod/payments/AgDF7mxbN6s1hLoL5v5GCEitnpJsNR1R2jwqNUj6.pdf</t>
  </si>
  <si>
    <t>https://storage.googleapis.com/deytha-prod/paymentBills/gA43mLYfcc44mAsrIi3oKhPwkANqCsM0av8cNc0k.png</t>
  </si>
  <si>
    <t>https://storage.googleapis.com/deytha-prod/supplierBills/hT3sMNZ1J8cO3XOQRdthHappsRbU7FpQKZAQIWOr.pdf</t>
  </si>
  <si>
    <t>2025-06-18 13:14:40</t>
  </si>
  <si>
    <t>2025-06-18 08:17:24</t>
  </si>
  <si>
    <t>2025-06-18 09:14:36</t>
  </si>
  <si>
    <t>PAGO POR EMO DE CONCHA CHAVEZ RICARDO BRIAN</t>
  </si>
  <si>
    <t>2025-06-18 10:00:00</t>
  </si>
  <si>
    <t>https://storage.googleapis.com/deytha-prod/payments/fYlEr5PClKz3fCC4lH4xZ9c7ypGqudkxKrX86LoK.xlsx</t>
  </si>
  <si>
    <t>https://storage.googleapis.com/deytha-prod/paymentBills/PsHIK4P2V1PdFGcH5Zq9cLAAC9B21HuLcnz0dsPw.png</t>
  </si>
  <si>
    <t>https://storage.googleapis.com/deytha-prod/supplierBills/dxOVIepscMYL3AmzCyqGlKIM30nHGP6f1KDhhIpz.pdf</t>
  </si>
  <si>
    <t>2025-06-16 20:18:57</t>
  </si>
  <si>
    <t>2025-06-17 22:27:55</t>
  </si>
  <si>
    <t>2025-06-17 15:15:00</t>
  </si>
  <si>
    <t>Sika Rep-350 x 30 kg
Sika Cem Curador x 18 L
Sika Antisol S x 20 kg
ChemaLac Extra  galon  metal</t>
  </si>
  <si>
    <t>2025-06-18 10:07:00</t>
  </si>
  <si>
    <t>https://storage.googleapis.com/deytha-prod/payments/UWpv90edZI6Kb2NHmusUj5kfQSMAMjhD8ddcMq1Z.pdf</t>
  </si>
  <si>
    <t>https://storage.googleapis.com/deytha-prod/paymentBills/Re9YYKozFkeHTBh5LJyiMmT9mJsShCbeTbxQcpNs.png</t>
  </si>
  <si>
    <t>https://storage.googleapis.com/deytha-prod/supplierBills/eJIagrRddS3NCnZmUyYJ4SUTQjuASaey8GEFmqvl.pdf</t>
  </si>
  <si>
    <t>2025-06-16 20:28:17</t>
  </si>
  <si>
    <t>2025-06-17 15:28:08</t>
  </si>
  <si>
    <t xml:space="preserve"> ALGODON 100 GR
TIJERA PUNTA ROMA MEDICAL
GUANTES QUIRURGICOS ESTERELIZADOS
 PALETA TRIANGULAR SIGA MADERA</t>
  </si>
  <si>
    <t>2025-06-19 18:29:00</t>
  </si>
  <si>
    <t>https://storage.googleapis.com/deytha-prod/payments/8e02cpqIltanTzqaHEtvkQtvOTv4RcNNr9HK4nNA.pdf</t>
  </si>
  <si>
    <t>https://storage.googleapis.com/deytha-prod/paymentBills/1mVb4STrjUhpwbaJHuwT8A9YEecwocDIFEbt9Y9q.png</t>
  </si>
  <si>
    <t>https://storage.googleapis.com/deytha-prod/supplierBills/kzty4eoNBlS86xEKZ5233XYcqxA7K9uFCulp1PZg.pdf</t>
  </si>
  <si>
    <t>2025-06-16 21:28:06</t>
  </si>
  <si>
    <t>2025-06-17 16:28:00</t>
  </si>
  <si>
    <t xml:space="preserve"> LETRERO DE PELIGRO SUPERFICIE 
CALIENTE 
LETRERO DE SONA SEGURA EN  
CASOS DE SISMO</t>
  </si>
  <si>
    <t>2025-06-20 15:25:00</t>
  </si>
  <si>
    <t>https://storage.googleapis.com/deytha-prod/payments/wZ62sbAl50DYgMq810hYXgNsEz22nJ1utO0bYmb4.pdf</t>
  </si>
  <si>
    <t>https://storage.googleapis.com/deytha-prod/paymentBills/FTwBjhDKRhpwMlDtMPDO1VcSiUWpq3U6bqvJnvFJ.png</t>
  </si>
  <si>
    <t>https://storage.googleapis.com/deytha-prod/supplierBills/cUx3AuEPzTpx4R71yHEhjahvNvsZv4Vn5Wf8xQuy.pdf</t>
  </si>
  <si>
    <t>2025-06-17 20:05:57</t>
  </si>
  <si>
    <t>2025-06-18 15:03:13</t>
  </si>
  <si>
    <t xml:space="preserve">FIERRO CORRUGADO DE 1/2 </t>
  </si>
  <si>
    <t>2025-06-20 19:42:00</t>
  </si>
  <si>
    <t>https://storage.googleapis.com/deytha-prod/payments/cJZw2d8zMMysxuvCN4fKbME4Zx7YU89xcd1dzgeN.pdf</t>
  </si>
  <si>
    <t>https://storage.googleapis.com/deytha-prod/paymentBills/jDSUR5s5miXMMVtsJIv0vRFiC6lGr4Ke9yFfh6sY.png</t>
  </si>
  <si>
    <t>https://storage.googleapis.com/deytha-prod/supplierBills/mz6WPqjRIfsn122QKBeoumxASDplnlaCsODvE1L8.pdf</t>
  </si>
  <si>
    <t>2025-06-17 22:06:54</t>
  </si>
  <si>
    <t>2025-06-18 17:06:20</t>
  </si>
  <si>
    <t xml:space="preserve">MATERIALES DEL AREA CIVIL </t>
  </si>
  <si>
    <t>2025-06-23 15:12:00</t>
  </si>
  <si>
    <t>https://storage.googleapis.com/deytha-prod/payments/pbrmQzBmvtey0pFSMhE1wMGdSmKulEEsfR1NI6fH.pdf</t>
  </si>
  <si>
    <t>https://storage.googleapis.com/deytha-prod/paymentBills/RzAIgyTvH0xOJwFP1prdZLDaN3vv2Oqj7gZz827S.png</t>
  </si>
  <si>
    <t>https://storage.googleapis.com/deytha-prod/supplierBills/8XJkNGqXCmT1EyuKpAq2ym7MkwhTKj3tPUCni5kD.pdf</t>
  </si>
  <si>
    <t>2025-06-16 19:37:09</t>
  </si>
  <si>
    <t>2025-06-16 15:40:02</t>
  </si>
  <si>
    <t>2025-06-17 14:36:37</t>
  </si>
  <si>
    <t>Alimentación Personal PY-028 SEMANA 05</t>
  </si>
  <si>
    <t>2025-06-17 12:49:00</t>
  </si>
  <si>
    <t>https://storage.googleapis.com/deytha-prod/payments/8mue3Rqdci9CNLCWe9wB9yjnvJuteMeVJQwIX5c7.pdf</t>
  </si>
  <si>
    <t>https://storage.googleapis.com/deytha-prod/paymentBills/3rGCp2letBX7KBvSz1hKNPRb8bsEUImyy4XEySd7.png</t>
  </si>
  <si>
    <t>https://storage.googleapis.com/deytha-prod/supplierBills/4c3Ve9kKDJCoJph2eXcjRYHygoRUilCLVxpKGSx0.pdf</t>
  </si>
  <si>
    <t>2025-06-16 19:41:02</t>
  </si>
  <si>
    <t>2025-06-17 14:40:52</t>
  </si>
  <si>
    <t>Alimentación PY-028, SEMANA 06</t>
  </si>
  <si>
    <t>2025-06-17 12:44:00</t>
  </si>
  <si>
    <t>https://storage.googleapis.com/deytha-prod/payments/jwtJ3cDudIbJ0UATs0tUwDjZxHvF18TKtuKPKOyO.pdf</t>
  </si>
  <si>
    <t>https://storage.googleapis.com/deytha-prod/paymentBills/JlHyUbbwxmklZawUfsGAlojiEPc6i1h49nQHLaeU.png</t>
  </si>
  <si>
    <t>https://storage.googleapis.com/deytha-prod/supplierBills/TmXb7XtkpgZwdvurVPfrbxustrctRhCrf65wLoh0.pdf</t>
  </si>
  <si>
    <t>2025-06-16 15:15:56</t>
  </si>
  <si>
    <t>2025-06-16 10:28:08</t>
  </si>
  <si>
    <t>2025-06-16 11:15:45</t>
  </si>
  <si>
    <t>PAGO POR EMO DE ZUÑIGA RETAMOZO YANITZE VANIA</t>
  </si>
  <si>
    <t>2025-06-16 11:34:00</t>
  </si>
  <si>
    <t>https://storage.googleapis.com/deytha-prod/payments/aCbM03FO21mqhfIkKQgHR4lIT9y10f99LlbFe8PO.pdf</t>
  </si>
  <si>
    <t>https://storage.googleapis.com/deytha-prod/paymentBills/zM8jM4oU3hSrrENMr2bORqk4WODyrUVje8GSuWNO.png</t>
  </si>
  <si>
    <t>https://storage.googleapis.com/deytha-prod/supplierBills/bV48Aa3hLLjJKF0v84f7PsPvKuAWvgi1Q2KtlB7X.pdf</t>
  </si>
  <si>
    <t>2025-06-14 03:06:09</t>
  </si>
  <si>
    <t>2025-06-13 22:06:09</t>
  </si>
  <si>
    <t>ZAPATOS STAFF </t>
  </si>
  <si>
    <t>2025-06-26 17:36:30</t>
  </si>
  <si>
    <t>https://storage.googleapis.com/deytha-prod/payments/2E1ERUH4Jab6OGs8mXQ5zup2y5FIPJIJFuW5ogEQ.pdf</t>
  </si>
  <si>
    <t>https://storage.googleapis.com/deytha-prod/payments/jVNYC2FQS1w1w9TwzZxRkktZuFy86nB3uzveawto.pdf</t>
  </si>
  <si>
    <t>2025-06-14 02:25:34</t>
  </si>
  <si>
    <t>2025-06-13 21:25:34</t>
  </si>
  <si>
    <t>2025-05-21 21:25:34</t>
  </si>
  <si>
    <t>ZAPATOS STAFF / JORGE MARIN / MARVIN VILCA / RICARDO CONCHA </t>
  </si>
  <si>
    <t>2025-06-26 17:36:28</t>
  </si>
  <si>
    <t>https://storage.googleapis.com/deytha-prod/payments/02ugyskzE04XdxHQvADgrwk4yOZpcVoSltTBtqoL.pdf</t>
  </si>
  <si>
    <t>https://storage.googleapis.com/deytha-prod/payments/O9r447SukiModQ48g0X2pn8jFDqXWUOZRrjZNPk3.pdf</t>
  </si>
  <si>
    <t>2025-06-14 02:19:48</t>
  </si>
  <si>
    <t>2025-06-13 21:19:48</t>
  </si>
  <si>
    <t>2025-05-16 21:19:48</t>
  </si>
  <si>
    <t>ZAPATOS STAFF / MARIO MILLONES , JHORLAN VELAZCO , JOSE DONGO</t>
  </si>
  <si>
    <t>2025-06-26 17:36:26</t>
  </si>
  <si>
    <t>https://storage.googleapis.com/deytha-prod/payments/q7HN57qYRfFVT6y5Z7JL6gM3mRCWx38RwkUIBuiT.pdf</t>
  </si>
  <si>
    <t>https://storage.googleapis.com/deytha-prod/payments/gSsV3lti3ROj6ZDEAs1j4ThRieXVInmp7Hk7lsbL.pdf</t>
  </si>
  <si>
    <t>2025-06-14 02:19:45</t>
  </si>
  <si>
    <t>2025-06-13 21:19:45</t>
  </si>
  <si>
    <t>2025-05-16 21:19:45</t>
  </si>
  <si>
    <t>ZAPATOS STAFF PARA PERSONAL - MARIA ALEJANDRA Y RAY AGREDA</t>
  </si>
  <si>
    <t>2025-06-26 17:36:22</t>
  </si>
  <si>
    <t>https://storage.googleapis.com/deytha-prod/payments/yW7kfGpeVhM65NanUGTWMBBXX8Cm3ir8RsocGHnm.pdf</t>
  </si>
  <si>
    <t>https://storage.googleapis.com/deytha-prod/payments/7rYTbmM9At4t3LIfahB66Ag23L9UAMhKxCbjWLyS.pdf</t>
  </si>
  <si>
    <t>2025-05-19 21:19:45</t>
  </si>
  <si>
    <t>ZAPATOS STAFF PARA EDWIN QUISPE , VICTOR AVALOS , DAHANA O</t>
  </si>
  <si>
    <t>2025-06-26 17:36:25</t>
  </si>
  <si>
    <t>https://storage.googleapis.com/deytha-prod/payments/UeWbWfyTdt6h0kQKNwnhRI1UItna3sJi5i3Coq1r.pdf</t>
  </si>
  <si>
    <t>https://storage.googleapis.com/deytha-prod/payments/CeC8niegFFcyGAFX66on4KRjB5MBMAwO0snwfRjT.pdf</t>
  </si>
  <si>
    <t>2025-06-13 16:23:19</t>
  </si>
  <si>
    <t>2025-06-13 17:26:42</t>
  </si>
  <si>
    <t>2025-06-14 11:23:14</t>
  </si>
  <si>
    <t>cambio de amoladora inalambrico  dewalt</t>
  </si>
  <si>
    <t>2025-06-13 18:49:00</t>
  </si>
  <si>
    <t>https://storage.googleapis.com/deytha-prod/payments/B5vqhmMC5OLJZAUbB7fv94TFbEXcYS63KtJlqlsL.jpg</t>
  </si>
  <si>
    <t>https://storage.googleapis.com/deytha-prod/paymentBills/40Sz44njNo7ZgyPMXpedSTMmZPc1lA1BTE14QVU1.png</t>
  </si>
  <si>
    <t>https://storage.googleapis.com/deytha-prod/supplierBills/OArN7cnNyUIi4eg8p7UiSs6jJIG6RfgCfi45ptra.pdf</t>
  </si>
  <si>
    <t>2025-06-13 16:34:58</t>
  </si>
  <si>
    <t>2025-06-14 11:34:49</t>
  </si>
  <si>
    <t>FORMATOS  0327</t>
  </si>
  <si>
    <t>2025-06-13 18:56:00</t>
  </si>
  <si>
    <t>https://storage.googleapis.com/deytha-prod/payments/Pqw0tAvfgusZNuF1kDscJFdz9G8kz3qO1pmHeo9c.pdf</t>
  </si>
  <si>
    <t>https://storage.googleapis.com/deytha-prod/paymentBills/iCutxWj6VKFuXPGktmlpdC7acgIJOvQpYaSST0Wr.png</t>
  </si>
  <si>
    <t>https://storage.googleapis.com/deytha-prod/supplierBills/QppCpVsBABzo65TeWriOzlLmygyQV2u7U4GicbKR.pdf</t>
  </si>
  <si>
    <t>2025-06-13 16:42:33</t>
  </si>
  <si>
    <t>2025-06-14 11:42:20</t>
  </si>
  <si>
    <t>2025-06-13 18:37:00</t>
  </si>
  <si>
    <t>https://storage.googleapis.com/deytha-prod/payments/GJuuZzKCUpsWpU6Zl6fLqpSAzsBKpzHiZppkB4Vk.pdf</t>
  </si>
  <si>
    <t>https://storage.googleapis.com/deytha-prod/paymentBills/lLT2AKEcmrfnMGRTFsmvHwDg15SKusrX7rJNREPm.png</t>
  </si>
  <si>
    <t>https://storage.googleapis.com/deytha-prod/supplierBills/JOhkdqtzuGq8JRMSPDWUV2ZJHNwGLIcloiWDbHRD.pdf</t>
  </si>
  <si>
    <t>2025-06-13 17:01:31</t>
  </si>
  <si>
    <t>2025-06-14 12:01:27</t>
  </si>
  <si>
    <t>SIKAFLEX</t>
  </si>
  <si>
    <t>2025-06-13 18:26:00</t>
  </si>
  <si>
    <t>https://storage.googleapis.com/deytha-prod/payments/WXh5nWnHI2gL4Tw4MuIYlj4awWoM0kPf27Z08QhW.pdf</t>
  </si>
  <si>
    <t>https://storage.googleapis.com/deytha-prod/paymentBills/aDjWTeeHn1XX6pFyze5NAz2M36w0LpOseZrjh31S.png</t>
  </si>
  <si>
    <t>https://storage.googleapis.com/deytha-prod/supplierBills/atbVkZn3vkMm3vXET4cXK1haTaohbjjggqER4rn2.pdf</t>
  </si>
  <si>
    <t>2025-06-13 17:25:52</t>
  </si>
  <si>
    <t>2025-06-13 13:06:15</t>
  </si>
  <si>
    <t>2025-06-13 13:25:39</t>
  </si>
  <si>
    <t>PAGO POR EMO DE EZQUERRA DELGADO DANIELA ISABEL</t>
  </si>
  <si>
    <t>2025-06-13 15:13:00</t>
  </si>
  <si>
    <t>https://storage.googleapis.com/deytha-prod/payments/ljifOMU401WZI145KLX4H7Sttq1BnjGnxAwoxr1x.pdf</t>
  </si>
  <si>
    <t>https://storage.googleapis.com/deytha-prod/paymentBills/tgnQCLRUFDZzWyY62bJA4CBm3wv9hf7Rswqsn9C1.pdf</t>
  </si>
  <si>
    <t>https://storage.googleapis.com/deytha-prod/supplierBills/iRAKQ6lfWIRjzZT7TGtl1SakWBuAOb5HaFASI4K2.pdf</t>
  </si>
  <si>
    <t>2025-06-13 17:52:07</t>
  </si>
  <si>
    <t>2025-06-13 12:52:07</t>
  </si>
  <si>
    <t>2025-05-12 12:52:07</t>
  </si>
  <si>
    <t>MOVILIDAD CUAJONE-MOQUEGUA</t>
  </si>
  <si>
    <t>2025-06-27 17:29:57</t>
  </si>
  <si>
    <t>https://storage.googleapis.com/deytha-prod/payments/ZffSPz1osi2l7iYqsL7a5arPIBwZgYOkkofHM32a.pdf</t>
  </si>
  <si>
    <t>https://storage.googleapis.com/deytha-prod/payments/Ba276uy1PqG451h3SLSYGgalORqr9jH1vCsA6NE7.pdf</t>
  </si>
  <si>
    <t>2025-05-10 12:52:07</t>
  </si>
  <si>
    <t>MOQUEGUA-AREQUUIPA MOVILIDAD</t>
  </si>
  <si>
    <t>2025-06-27 17:29:55</t>
  </si>
  <si>
    <t>https://storage.googleapis.com/deytha-prod/payments/zzEutk9Kf2z47NbAk5S3TrbM3YfKaMygJdJt76xS.pdf</t>
  </si>
  <si>
    <t>https://storage.googleapis.com/deytha-prod/payments/YHfUl12ZLMX6HBzC4FTjDCbiq9VsSQhf7hYC9hFJ.pdf</t>
  </si>
  <si>
    <t>2025-05-09 12:52:07</t>
  </si>
  <si>
    <t>TRANSPORTE DE CARGA</t>
  </si>
  <si>
    <t>2025-06-27 17:29:59</t>
  </si>
  <si>
    <t>https://storage.googleapis.com/deytha-prod/payments/qP80W0ewLSzFtkFjHPol73wuY0Njt4wYzBSLehOz.pdf</t>
  </si>
  <si>
    <t>https://storage.googleapis.com/deytha-prod/payments/vtFcb6Zbd9uFo9GVVEqtmghvvnsAJ7lxtvmxCwyR.pdf</t>
  </si>
  <si>
    <t>2025-05-05 12:52:07</t>
  </si>
  <si>
    <t>2025-06-27 17:30:10</t>
  </si>
  <si>
    <t>https://storage.googleapis.com/deytha-prod/payments/PbxjhmI3iM3mbxuFh5MJ0udKbtyJhybGn5mbBI7f.pdf</t>
  </si>
  <si>
    <t>https://storage.googleapis.com/deytha-prod/payments/KFDEXKi4lxNw5ml0d4PzV0tZ1VNqtKzXZ8G0GZEl.pdf</t>
  </si>
  <si>
    <t>2025-05-07 12:52:07</t>
  </si>
  <si>
    <t>CEMENTO PORT PREMIUM MAXX</t>
  </si>
  <si>
    <t>2025-06-27 17:30:08</t>
  </si>
  <si>
    <t>https://storage.googleapis.com/deytha-prod/payments/k28wO3tIODJbCi5frM1rrL1hBMo3HH1P6oAX0eor.pdf</t>
  </si>
  <si>
    <t>https://storage.googleapis.com/deytha-prod/payments/7uV00d4jn7wxlcut8xCjX6OmFi2xEvIAePVRMTtH.pdf</t>
  </si>
  <si>
    <t>2025-06-27 12:52:07</t>
  </si>
  <si>
    <t>2025-06-27 17:30:06</t>
  </si>
  <si>
    <t>https://storage.googleapis.com/deytha-prod/payments/Q905ACMddNbQKronFtk1rKB3KlockorpnYqzjN1x.jpg</t>
  </si>
  <si>
    <t>2025-06-27 17:30:04</t>
  </si>
  <si>
    <t>https://storage.googleapis.com/deytha-prod/payments/XJSxvItZwdiPvvt0inH0cwjoljssfxZgwMDOVilf.jpg</t>
  </si>
  <si>
    <t>2025-06-27 17:30:02</t>
  </si>
  <si>
    <t>https://storage.googleapis.com/deytha-prod/payments/9f0EDAwNMszPq8fFv831BEjXnwOWRctQrsECc0GE.jpg</t>
  </si>
  <si>
    <t>2025-06-27 17:30:13</t>
  </si>
  <si>
    <t>https://storage.googleapis.com/deytha-prod/payments/lpNsT3JfsDaEWi5IISzXvqER5EDtA0T5wvNT1MXy.jpg</t>
  </si>
  <si>
    <t>2025-06-13 17:52:05</t>
  </si>
  <si>
    <t>2025-06-13 12:52:05</t>
  </si>
  <si>
    <t>2025-06-08 12:52:05</t>
  </si>
  <si>
    <t>ENCOMIENDA</t>
  </si>
  <si>
    <t>2025-06-27 17:29:47</t>
  </si>
  <si>
    <t>https://storage.googleapis.com/deytha-prod/payments/PhF6slgItMTNxQLpDwOlzXnxujhecrNHXetLaxPq.pdf</t>
  </si>
  <si>
    <t>https://storage.googleapis.com/deytha-prod/payments/y3xxfV2KwKpDBMHPKpltfK9bvdt8mCGqcJ2HiJ2G.pdf</t>
  </si>
  <si>
    <t>2025-05-31 12:52:05</t>
  </si>
  <si>
    <t>2025-06-27 17:29:49</t>
  </si>
  <si>
    <t>https://storage.googleapis.com/deytha-prod/payments/BFAz1N4l4rM2UTWBNWHY63Lo1z552HpTWm4G98VV.pdf</t>
  </si>
  <si>
    <t>https://storage.googleapis.com/deytha-prod/payments/Dnx8nqJDKLziqVYpIJcrYOMHcJToLdBwJM8HARsf.pdf</t>
  </si>
  <si>
    <t>2025-05-16 12:52:05</t>
  </si>
  <si>
    <t>SIKA PERU S.A.C.</t>
  </si>
  <si>
    <t>SIKA</t>
  </si>
  <si>
    <t>2025-06-27 17:29:50</t>
  </si>
  <si>
    <t>https://storage.googleapis.com/deytha-prod/payments/OQyimvlzR9woOz950UJtkulw17rmzpQV7j46VBUk.pdf</t>
  </si>
  <si>
    <t>https://storage.googleapis.com/deytha-prod/payments/gH4jtLXcI7MZPpI40H8QTOZmnmSycmNaF78N6lxb.pdf</t>
  </si>
  <si>
    <t>2025-05-22 12:52:05</t>
  </si>
  <si>
    <t>2025-06-27 17:29:52</t>
  </si>
  <si>
    <t>https://storage.googleapis.com/deytha-prod/payments/zFdRTjFqwFDnIBkCErdc36sm0hzptBmL9XfP77rn.pdf</t>
  </si>
  <si>
    <t>https://storage.googleapis.com/deytha-prod/payments/sDbTL23xP74a95EGE4wCHQM444uqRYC9b46YeNOD.pdf</t>
  </si>
  <si>
    <t>2025-06-13 17:52:04</t>
  </si>
  <si>
    <t>2025-06-13 12:52:04</t>
  </si>
  <si>
    <t>2025-05-24 12:52:04</t>
  </si>
  <si>
    <t>TUBO PVC</t>
  </si>
  <si>
    <t>2025-06-27 17:29:32</t>
  </si>
  <si>
    <t>https://storage.googleapis.com/deytha-prod/payments/cp9wH6OGmcieWmB9ABVGNsdVdDOWR5d84UdUX8ti.pdf</t>
  </si>
  <si>
    <t>https://storage.googleapis.com/deytha-prod/payments/732Pjzcj49Tf3wuXdUbH0rfx6eO7KyTGEdVGfWM1.pdf</t>
  </si>
  <si>
    <t>2025-05-23 12:52:04</t>
  </si>
  <si>
    <t>2025-06-27 17:29:34</t>
  </si>
  <si>
    <t>https://storage.googleapis.com/deytha-prod/payments/xE3CWAEbnCkjrOacCOkY8wljUZQ0ZFbaqHb6LbTE.pdf</t>
  </si>
  <si>
    <t>https://storage.googleapis.com/deytha-prod/payments/eOtbVwd24eEgDueZM7DNYaVvc9UPCEceYsGnuiK8.pdf</t>
  </si>
  <si>
    <t>2025-06-27 17:29:37</t>
  </si>
  <si>
    <t>https://storage.googleapis.com/deytha-prod/payments/aCje7gdrhbIVPI2dhqIPaQxFb9A0BCUegBcSTqGb.pdf</t>
  </si>
  <si>
    <t>https://storage.googleapis.com/deytha-prod/payments/0fOz6H6wgIK7Q5aL1QjoWdLFHnJRE3Jvtd80RL6d.pdf</t>
  </si>
  <si>
    <t>2025-05-07 12:52:04</t>
  </si>
  <si>
    <t>2025-06-27 17:29:38</t>
  </si>
  <si>
    <t>https://storage.googleapis.com/deytha-prod/payments/07nQ80Rr39aSnubUBL3gxHUT5Wms5CrggQjI8SmB.pdf</t>
  </si>
  <si>
    <t>https://storage.googleapis.com/deytha-prod/payments/Udvdm3c3ct1LjEMcd2Tr6WJuZnpFVL71ElHfFRu2.pdf</t>
  </si>
  <si>
    <t>2025-05-12 12:52:04</t>
  </si>
  <si>
    <t>2025-06-27 17:29:40</t>
  </si>
  <si>
    <t>https://storage.googleapis.com/deytha-prod/payments/8DDA34PM045jKIzH9eo4xW4JBPQOrEEIEyCxGRdZ.pdf</t>
  </si>
  <si>
    <t>https://storage.googleapis.com/deytha-prod/payments/WE1Z3bzEC8h1RW5LPHtj20AB9HTaSIfifyr5v81H.pdf</t>
  </si>
  <si>
    <t>2025-05-14 12:52:04</t>
  </si>
  <si>
    <t>2025-06-27 17:29:42</t>
  </si>
  <si>
    <t>https://storage.googleapis.com/deytha-prod/payments/JfrmTT3BegLbqsfJWnRoaTIgsRmt5GrB8RWocXyn.pdf</t>
  </si>
  <si>
    <t>https://storage.googleapis.com/deytha-prod/payments/hI2fKK4GQjuNhBS61uGpN3sGyYcBhI2c7UCf0YMf.pdf</t>
  </si>
  <si>
    <t>2025-05-22 12:52:04</t>
  </si>
  <si>
    <t>POLLO A LA BRAZA</t>
  </si>
  <si>
    <t>2025-06-27 17:29:45</t>
  </si>
  <si>
    <t>https://storage.googleapis.com/deytha-prod/payments/zpekFPupe5uIwn1UusWgz03bs6m9FldHKqBW6Ob8.pdf</t>
  </si>
  <si>
    <t>https://storage.googleapis.com/deytha-prod/payments/sm71SJTwA9qkACKYCSEgrteYVZXIg1VaRsft47kY.pdf</t>
  </si>
  <si>
    <t>2025-06-13 17:52:03</t>
  </si>
  <si>
    <t>2025-06-13 12:52:03</t>
  </si>
  <si>
    <t>2025-05-24 12:52:03</t>
  </si>
  <si>
    <t>2025-06-27 17:29:31</t>
  </si>
  <si>
    <t>https://storage.googleapis.com/deytha-prod/payments/72lMjAtU1LNUeGssrplwQs6vLNFmOU0c2UTZpv1A.pdf</t>
  </si>
  <si>
    <t>https://storage.googleapis.com/deytha-prod/payments/dI1QC9SAFfvKBA9WXQi5hSj5orZZO3MIKDKM0zC4.pdf</t>
  </si>
  <si>
    <t>2025-06-13 17:52:02</t>
  </si>
  <si>
    <t>2025-06-13 12:52:02</t>
  </si>
  <si>
    <t>2025-05-20 12:52:02</t>
  </si>
  <si>
    <t>FORMATEO DE LAPTOP ADVANCE          </t>
  </si>
  <si>
    <t>2025-06-27 17:29:29</t>
  </si>
  <si>
    <t>https://storage.googleapis.com/deytha-prod/payments/0FEpG1QpMDMybAdlWGDPWNZ9tQezLDujYM7hshM9.pdf</t>
  </si>
  <si>
    <t>https://storage.googleapis.com/deytha-prod/payments/ViGMNnTPpqsnDLVKS9xMhcLphlHtfNDGCwWFkbw4.pdf</t>
  </si>
  <si>
    <t>2025-06-12 21:04:51</t>
  </si>
  <si>
    <t>2025-06-12 17:31:27</t>
  </si>
  <si>
    <t>2025-06-12 17:04:44</t>
  </si>
  <si>
    <t>PAGO POR EMO DE GRANDA PRADO JORGE LUIS Y RAFAEL CENTON ALEXANDER</t>
  </si>
  <si>
    <t>2025-06-13 12:38:00</t>
  </si>
  <si>
    <t>https://storage.googleapis.com/deytha-prod/payments/Xada2ovU6QiBieAdr2zdFoRMTLyl1l5WvIXeT5VC.pdf</t>
  </si>
  <si>
    <t>https://storage.googleapis.com/deytha-prod/paymentBills/d9SSyZVptaxI7FYEXhIAb2eMFt7VXurQKgViDmRN.pdf</t>
  </si>
  <si>
    <t>https://storage.googleapis.com/deytha-prod/supplierBills/JfZzAspHo3jYy82Rcxu8YRnX7MfA85pGE3HSYDMp.pdf</t>
  </si>
  <si>
    <t>2025-06-12 19:52:53</t>
  </si>
  <si>
    <t>2025-06-12 15:51:21</t>
  </si>
  <si>
    <t>2025-06-12 15:52:42</t>
  </si>
  <si>
    <t>PAGO POR EMO DE REYES COLOMA LUIS PIERRE</t>
  </si>
  <si>
    <t>2025-06-12 18:45:00</t>
  </si>
  <si>
    <t>https://storage.googleapis.com/deytha-prod/payments/vepAOnYRKS76Xwviabk7ZEscB3ESlD7ieg5pIrfo.pdf</t>
  </si>
  <si>
    <t>https://storage.googleapis.com/deytha-prod/paymentBills/VUSfVCobxtjrE7DUGyto5POd89CY3cV0tDCMJBPe.png</t>
  </si>
  <si>
    <t>https://storage.googleapis.com/deytha-prod/supplierBills/7loGosblok6gppwgx4fboNwSxQtWJQ17uc3qMxBC.pdf</t>
  </si>
  <si>
    <t>2025-06-12 20:10:04</t>
  </si>
  <si>
    <t>2025-06-12 16:09:54</t>
  </si>
  <si>
    <t>PAGO POR EMO DE GOMEZ TIQUE JUAN ZANDRO Y AGUILAR MORALES DHOODDY BREYSON</t>
  </si>
  <si>
    <t>2025-06-12 18:50:00</t>
  </si>
  <si>
    <t>https://storage.googleapis.com/deytha-prod/payments/5dRZTlzXj4PpEluVdwjLXAsrTsKpR6ZlXLLH2Ju1.xlsx</t>
  </si>
  <si>
    <t>https://storage.googleapis.com/deytha-prod/paymentBills/bso8jjBqM8tU5XsUB9T2LqzxArusnOUJWekvlguT.png</t>
  </si>
  <si>
    <t>https://storage.googleapis.com/deytha-prod/supplierBills/TP0dkGeofpJF6KX8ejtOFI91PnqFZaHMjQyOhhza.pdf</t>
  </si>
  <si>
    <t>2025-06-11 16:32:37</t>
  </si>
  <si>
    <t>2025-06-11 16:23:17</t>
  </si>
  <si>
    <t>2025-06-12 11:32:31</t>
  </si>
  <si>
    <t>COMBUSTIBLE PARA UNIDADES DE OBRA CUAJONE</t>
  </si>
  <si>
    <t>2025-06-12 11:30:00</t>
  </si>
  <si>
    <t>https://storage.googleapis.com/deytha-prod/payments/gLOpoonz9s84vl6A8nX8CnjTQ16MS8TAmpFmXUPf.pdf</t>
  </si>
  <si>
    <t>https://storage.googleapis.com/deytha-prod/paymentBills/zXeG17NqRaLbW7i84zOIaoiEsgmmYJY2siGbq7Dj.png</t>
  </si>
  <si>
    <t>https://storage.googleapis.com/deytha-prod/supplierBills/Kfo8bBhJhRk9yeTDgaEnoSp8tFSiICqflv06v4xy.pdf</t>
  </si>
  <si>
    <t>2025-06-11 16:56:57</t>
  </si>
  <si>
    <t>2025-06-12 11:56:22</t>
  </si>
  <si>
    <t xml:space="preserve">EPPS 
CHOMPAS 
LENTES Y MAS </t>
  </si>
  <si>
    <t>2025-06-12 18:01:00</t>
  </si>
  <si>
    <t>https://storage.googleapis.com/deytha-prod/payments/FF7LwDFNM58rZFmZUKAyOwFp1G2IZGBNo6nmmSOv.pdf</t>
  </si>
  <si>
    <t>https://storage.googleapis.com/deytha-prod/paymentBills/3mTwe9ymrzMLVlRPTkM7YS0laENScr2eduuv4nGH.png</t>
  </si>
  <si>
    <t>https://storage.googleapis.com/deytha-prod/supplierBills/5laRiUq07Kve8hhQ3qqzYvTgx73fdAKKaoTcLjY6.pdf</t>
  </si>
  <si>
    <t>2025-06-11 18:06:51</t>
  </si>
  <si>
    <t>2025-06-12 13:06:24</t>
  </si>
  <si>
    <t>MAT VARIOS 
TOMA TRIPLE 
MENEKES  Y MAS 
LLAVE FRANCESA</t>
  </si>
  <si>
    <t>2025-06-12 11:09:00</t>
  </si>
  <si>
    <t>https://storage.googleapis.com/deytha-prod/payments/NlgFbwvBhLF69et8SqNzNlHzfbrjKikVl9GwwYhh.pdf</t>
  </si>
  <si>
    <t>https://storage.googleapis.com/deytha-prod/paymentBills/bdiht6uoy8NDBY94zOnogoU9ihYFOCYEJKq2JpsY.png</t>
  </si>
  <si>
    <t>https://storage.googleapis.com/deytha-prod/supplierBills/ynVyeLRuBWgfKYHKKHI7RNaSORTfqaRRU3cdiFWT.pdf</t>
  </si>
  <si>
    <t>2025-06-11 19:08:23</t>
  </si>
  <si>
    <t>2025-06-12 14:08:21</t>
  </si>
  <si>
    <t xml:space="preserve">soldadura exotermica </t>
  </si>
  <si>
    <t>2025-06-12 10:23:00</t>
  </si>
  <si>
    <t>https://storage.googleapis.com/deytha-prod/payments/BVzyDACOknlmg8lxCNTJp4lRA0aZtCGk7PNSiTqU.pdf</t>
  </si>
  <si>
    <t>https://storage.googleapis.com/deytha-prod/paymentBills/3iMdE8eMSIxVXGu0CrIiHZILs8Szz1nQTNYhiron.png</t>
  </si>
  <si>
    <t>https://storage.googleapis.com/deytha-prod/supplierBills/A1y35sXfEJF3TWnKN0ajz6mXHo7G7OZNaw2cuyUG.pdf</t>
  </si>
  <si>
    <t>2025-06-11 19:22:13</t>
  </si>
  <si>
    <t>2025-06-12 14:21:44</t>
  </si>
  <si>
    <t xml:space="preserve">Servicio De Alquiler De Rodillo Husqvarna
DEL  11-06-2025 AL 17-06-2025 </t>
  </si>
  <si>
    <t>2025-06-13 18:33:00</t>
  </si>
  <si>
    <t>https://storage.googleapis.com/deytha-prod/payments/l7lpOp1AXbkvpR6dUJoG9oUAWN7VkgRvrPHy5Ghn.pdf</t>
  </si>
  <si>
    <t>https://storage.googleapis.com/deytha-prod/paymentBills/gQMJjpZZMcRd6WDfeYfa4wXMa5BL2AW0LyxDyKEK.png</t>
  </si>
  <si>
    <t>https://storage.googleapis.com/deytha-prod/supplierBills/13qfJGUYvnmyREXJYsWMRpTPuUceIyGquGOJgYrR.pdf</t>
  </si>
  <si>
    <t>2025-06-03 22:07:05</t>
  </si>
  <si>
    <t>2025-06-11 11:46:33</t>
  </si>
  <si>
    <t>2025-06-04 17:06:58</t>
  </si>
  <si>
    <t>Servicio De Alquiler De Rodillo Husqvarna 
DIAS 04-05-06-09-10 DEL MES DE JUNIO 2025</t>
  </si>
  <si>
    <t>2025-06-12 10:31:00</t>
  </si>
  <si>
    <t>https://storage.googleapis.com/deytha-prod/payments/2ob3t5OaqADPMKPD5Sawwmdv8viwGUXIE060lj9H.pdf</t>
  </si>
  <si>
    <t>https://storage.googleapis.com/deytha-prod/paymentBills/FzS1rtCAfjIvVtaVJyJffQp8zKjek7QF7sZKK16a.png</t>
  </si>
  <si>
    <t>https://storage.googleapis.com/deytha-prod/supplierBills/e2NQmb37NI1BH4aVEzbhB5QOOPQac5GXAXkIwK9m.pdf</t>
  </si>
  <si>
    <t>2025-06-11 15:55:04</t>
  </si>
  <si>
    <t>2025-06-11 10:57:54</t>
  </si>
  <si>
    <t>2025-06-12 10:54:44</t>
  </si>
  <si>
    <t>DISTRIBUCIONES ABRIL E.I.R.L.</t>
  </si>
  <si>
    <t>215 73997975 0 23</t>
  </si>
  <si>
    <t>CAPSULAS ISOTERMICAS 90GR</t>
  </si>
  <si>
    <t>2025-06-11 11:46:00</t>
  </si>
  <si>
    <t>https://storage.googleapis.com/deytha-prod/payments/4NHs05yaa0QEqtt1YfHbIZeYbGM0GwPKwGTlVXOq.jpg</t>
  </si>
  <si>
    <t>https://storage.googleapis.com/deytha-prod/paymentBills/xY5t2o7qZ5zG3vpWLzzrfQDRBztFkUp908KJdlua.png</t>
  </si>
  <si>
    <t>https://storage.googleapis.com/deytha-prod/supplierBills/IhATTG2xlKcs6ljvCKEN6AFCuomDXH5eZF9mZ7Vg.pdf</t>
  </si>
  <si>
    <t>2025-06-10 16:39:44</t>
  </si>
  <si>
    <t>2025-06-10 17:46:45</t>
  </si>
  <si>
    <t>2025-06-11 11:39:38</t>
  </si>
  <si>
    <t>materiales de oficina 
plumon acrilico
tableros oficio
folder</t>
  </si>
  <si>
    <t>2025-06-12 10:57:00</t>
  </si>
  <si>
    <t>https://storage.googleapis.com/deytha-prod/payments/jNpQYdfznkEgzGjlBQhwEtzRcMTxW7s7lW4Faqg1.pdf</t>
  </si>
  <si>
    <t>https://storage.googleapis.com/deytha-prod/paymentBills/V4jF2QHiNppox06zMdgxFbcPBcTZP3cNz8mUlsHW.png</t>
  </si>
  <si>
    <t>https://storage.googleapis.com/deytha-prod/supplierBills/NbnJXoKjftTAIi4usmNeIkADcA9YSda8GQXeyAkI.pdf</t>
  </si>
  <si>
    <t>2025-06-10 21:07:13</t>
  </si>
  <si>
    <t>2025-06-11 16:07:05</t>
  </si>
  <si>
    <t xml:space="preserve">letreros ssoma </t>
  </si>
  <si>
    <t>2025-06-11 17:20:00</t>
  </si>
  <si>
    <t>https://storage.googleapis.com/deytha-prod/payments/IrPUiANG1Ig03lKDazQxBNwzou393JvWNVH4sCle.pdf</t>
  </si>
  <si>
    <t>https://storage.googleapis.com/deytha-prod/paymentBills/h3HehFgNWl7WzdlOk5FTolio3ATcwVcxskKCt5nQ.png</t>
  </si>
  <si>
    <t>https://storage.googleapis.com/deytha-prod/supplierBills/Oj9FJdMpxYTRnbIaEGIo2bMtkvx5HrfFy45f3UwF.pdf</t>
  </si>
  <si>
    <t>2025-06-10 22:30:31</t>
  </si>
  <si>
    <t>2025-06-11 17:30:30</t>
  </si>
  <si>
    <t xml:space="preserve">ALQUILER DE ANDAMIOS </t>
  </si>
  <si>
    <t>2025-06-10 18:36:00</t>
  </si>
  <si>
    <t>https://storage.googleapis.com/deytha-prod/payments/gAR6rsDqZoc0XXfmvFEEE3kZEZKv0QYyFz5v2zIn.pdf</t>
  </si>
  <si>
    <t>https://storage.googleapis.com/deytha-prod/paymentBills/G4PgRJnsm48kIbeFpHfU2RSqTKFOBCUGaFqcOtSi.pdf</t>
  </si>
  <si>
    <t>https://storage.googleapis.com/deytha-prod/supplierBills/SKYY5hVWXqyqmRMVMoYTfcBXlI2R1tbO1AF9JUfB.pdf</t>
  </si>
  <si>
    <t>2025-06-10 22:35:52</t>
  </si>
  <si>
    <t>2025-06-11 17:35:47</t>
  </si>
  <si>
    <t>Ensayo de analisis granulometrico por tamizado ASTM D6913
 Ensayo de Proctor Modificado  ASTM D1557
 Ensayo de Peso especifico de Solidos  ASTM D854
 Ensayo de Limites de Consistencia  ASTM D4318</t>
  </si>
  <si>
    <t>2025-06-12 11:04:00</t>
  </si>
  <si>
    <t>https://storage.googleapis.com/deytha-prod/payments/fQv9jpxaPd2RRCBU6l5fHopJ0EzBFZvjN8bMm9TA.pdf</t>
  </si>
  <si>
    <t>https://storage.googleapis.com/deytha-prod/paymentBills/xc3b4BRITrBZzJuOXpC5ejmSSVF49Y3bCd1LqrzY.png</t>
  </si>
  <si>
    <t>https://storage.googleapis.com/deytha-prod/supplierBills/YwxzH200s3DhMzkNJyGqbOpWJtOnJ92kCnIJTahf.pdf</t>
  </si>
  <si>
    <t>2025-06-05 22:21:44</t>
  </si>
  <si>
    <t>2025-06-10 10:11:07</t>
  </si>
  <si>
    <t>2025-06-06 17:20:27</t>
  </si>
  <si>
    <t xml:space="preserve">TRABAJO DE OPERADOR DE GRÚA PARA EL PROYECTO 5940-006  </t>
  </si>
  <si>
    <t>2025-06-16 15:28:00</t>
  </si>
  <si>
    <t>https://storage.googleapis.com/deytha-prod/paymentBills/G3sdQaSRZk2mI8LkJrc3T2tnfQMOQiwZ3Eb2Saaz.png</t>
  </si>
  <si>
    <t>https://storage.googleapis.com/deytha-prod/supplierBills/bQdrM95kkqmWATE2z1q7pGw1bof1oVBSa8fCqvgQ.pdf</t>
  </si>
  <si>
    <t>2025-06-06 20:00:30</t>
  </si>
  <si>
    <t>2025-06-07 15:00:28</t>
  </si>
  <si>
    <t xml:space="preserve">ADMINISTRACION DE PERSONAL PARA EL PROYECTO 5940-006 </t>
  </si>
  <si>
    <t>2025-06-26 10:42:00</t>
  </si>
  <si>
    <t>https://storage.googleapis.com/deytha-prod/paymentBills/Jopu82M7J9UudCKMrCJwVVu6Pu0oU160OXnr72HL.png</t>
  </si>
  <si>
    <t>https://storage.googleapis.com/deytha-prod/supplierBills/wfNdiXlWcVMjXoQbkd1rxv6hby8jrHmLeh4fkH6W.pdf</t>
  </si>
  <si>
    <t>2025-06-04 21:15:56</t>
  </si>
  <si>
    <t>2025-06-09 20:39:27</t>
  </si>
  <si>
    <t>2025-06-05 16:15:53</t>
  </si>
  <si>
    <t>ALQUILER DE CONTENEDOR TIPO ALMACEN COLOR AZUL VACIO EN SU INTERIOR, DESDE EL 17/05/2025 AL 16/06/2025 PARA OBRA EN MINA CUAJONE DE ACUERDO A ORDEN DE SERVICIO FO-LO-21186</t>
  </si>
  <si>
    <t>2025-06-11 12:30:00</t>
  </si>
  <si>
    <t>https://storage.googleapis.com/deytha-prod/payments/qViHS9697kmOnInK30EJ4DRJmeNyakdhKsLNdRW8.pdf</t>
  </si>
  <si>
    <t>https://storage.googleapis.com/deytha-prod/paymentBills/3FDEDDb1EGYwFlm0f2mn6jMoPgfsBF4SJgfBpsrV.pdf</t>
  </si>
  <si>
    <t>https://storage.googleapis.com/deytha-prod/supplierBills/jVLDBOIseDaR4QlUnRLW1uMpXQwIHyLiDgjeJVJA.pdf</t>
  </si>
  <si>
    <t>2025-06-05 22:07:40</t>
  </si>
  <si>
    <t>2025-06-12 17:07:35</t>
  </si>
  <si>
    <t>ALIMENTACION EN MINA CORRESPONDIENTE AL MES DE MAYO</t>
  </si>
  <si>
    <t>2025-06-26 18:51:00</t>
  </si>
  <si>
    <t>https://storage.googleapis.com/deytha-prod/payments/FwCsuEeYDD9MEoD4jyPcR0QAEiCduURuO19rlcuB.pdf</t>
  </si>
  <si>
    <t>https://storage.googleapis.com/deytha-prod/paymentBills/T1n1mFI4q8FOy5zSgzmOqg8eQTK45GpOgiAjwEcv.png</t>
  </si>
  <si>
    <t>https://storage.googleapis.com/deytha-prod/supplierBills/AQ4zM3WCa9oFVdIN2XgVgM8Tpvl0Zm0MtdfTOFW7.pdf</t>
  </si>
  <si>
    <t>2025-06-06 19:13:26</t>
  </si>
  <si>
    <t>2025-06-07 14:13:24</t>
  </si>
  <si>
    <t xml:space="preserve">ALQUILER DE CAMIONETA DEL MES DE MAYO </t>
  </si>
  <si>
    <t>2025-07-02 15:19:00</t>
  </si>
  <si>
    <t>https://storage.googleapis.com/deytha-prod/payments/amzgSfJhwRdq8TwVHeiOgQHwJR0fORlZDrWWfXdv.pdf</t>
  </si>
  <si>
    <t>https://storage.googleapis.com/deytha-prod/paymentBills/6tWFn7MHuAOSYqfEcWrn6zFoHzgtBSTNi6UfnOa9.png</t>
  </si>
  <si>
    <t>https://storage.googleapis.com/deytha-prod/supplierBills/SC4nrlETgpyMU4kyaIb1s4cvWqLAUKidZu8wTLLR.pdf</t>
  </si>
  <si>
    <t>2025-06-06 19:29:46</t>
  </si>
  <si>
    <t>2025-06-16 14:29:41</t>
  </si>
  <si>
    <t xml:space="preserve">ALQUILER DE CAMIONETA PLACA Z7T860 PERIODO MAYO </t>
  </si>
  <si>
    <t>2025-08-29 16:46:00</t>
  </si>
  <si>
    <t>https://storage.googleapis.com/deytha-prod/payments/MEK1B46M3tWJcywTm0S3z8juNBFQnhUpHfwBUpb0.pdf</t>
  </si>
  <si>
    <t>https://storage.googleapis.com/deytha-prod/paymentBills/5dq4UD8Avhucg3ekL4hEVYnuDSNeEQ3k5s134Zdu.png</t>
  </si>
  <si>
    <t>https://storage.googleapis.com/deytha-prod/supplierBills/gQBiTkdmLLySuQ5KI90HLStfUTnIHR1Xz9mGrkYj.pdf</t>
  </si>
  <si>
    <t>2025-06-06 16:47:54</t>
  </si>
  <si>
    <t>2025-06-09 19:50:10</t>
  </si>
  <si>
    <t>2025-06-07 11:47:46</t>
  </si>
  <si>
    <t xml:space="preserve">COMPRA DE ARENA GRUESA POR 15M3 PUESTO EN OBRA </t>
  </si>
  <si>
    <t>2025-05-23 17:17:00</t>
  </si>
  <si>
    <t>https://storage.googleapis.com/deytha-prod/payments/lDCfhwAGgdr0gkzMjDMqLx706qtUu50gaDJpvLk7.pdf</t>
  </si>
  <si>
    <t>https://storage.googleapis.com/deytha-prod/paymentBills/GcyqoGc8GScEQx8PkofMGROSDqYt2WX7Hovk5W9E.png</t>
  </si>
  <si>
    <t>https://storage.googleapis.com/deytha-prod/supplierBills/BsD7Ppl1UbgUJVWV7IVZQxWR6dY7OA0D94hCPY2X.pdf</t>
  </si>
  <si>
    <t>2025-06-04 20:40:44</t>
  </si>
  <si>
    <t>2025-06-09 19:01:03</t>
  </si>
  <si>
    <t>2025-06-05 15:40:29</t>
  </si>
  <si>
    <t xml:space="preserve">ALIMENTACION SEMANA DEL 25 AL 31 DEL MES DE MAYO </t>
  </si>
  <si>
    <t>2025-06-10 11:24:00</t>
  </si>
  <si>
    <t>https://storage.googleapis.com/deytha-prod/payments/WrjSEyKJYGkZJDMnLkF7Xxk3rxvZvMenDfVn3iPg.pdf</t>
  </si>
  <si>
    <t>https://storage.googleapis.com/deytha-prod/paymentBills/SD7OxdfDyCxV1Ol6L8sK7UwvlUZx4JoJJeYoDhxL.png</t>
  </si>
  <si>
    <t>https://storage.googleapis.com/deytha-prod/supplierBills/ULTju7u6HLUiCphV7I2DO7pUAqpmlr4DFodBkp85.pdf</t>
  </si>
  <si>
    <t>2025-06-06 13:31:26</t>
  </si>
  <si>
    <t>2025-06-07 08:31:21</t>
  </si>
  <si>
    <t>HUISACAYNA LERMA JESUS GUSTAVO</t>
  </si>
  <si>
    <t>001108140261764194</t>
  </si>
  <si>
    <t>PRESTACION DE SERVICIO DE ESTACION TOTAL DEL 6 AL 30 DE MAYO PARA EL PROYECTO 5940-006  (RXH)</t>
  </si>
  <si>
    <t>2025-06-17 17:38:00</t>
  </si>
  <si>
    <t>https://storage.googleapis.com/deytha-prod/paymentBills/jJXbpuaqcabhq2jTcs9b4tME5Feq65fO76XqTYtG.jpg</t>
  </si>
  <si>
    <t>https://storage.googleapis.com/deytha-prod/supplierBills/NKzRBlY2jGNFFhWllbhgfI04KqH2kjVHT2BKGMQF.pdf</t>
  </si>
  <si>
    <t>2025-06-09 20:28:46</t>
  </si>
  <si>
    <t>2025-06-10 15:28:41</t>
  </si>
  <si>
    <t>RADIO TALKAOUT TRANSMISOR RECEPTOR  PORTATIL UHF                            
MARCA                            :       MOTOROLA 
MODELO                         :       T470 X2 UNID. 
CANALES                         :       22 CANALES  
POTENCIA                       :       2 WATTS</t>
  </si>
  <si>
    <t>https://storage.googleapis.com/deytha-prod/payments/No7g91sgTuEtfWrstNkznJDBEY86QRbZyq0eWsFr.pdf</t>
  </si>
  <si>
    <t>https://storage.googleapis.com/deytha-prod/paymentBills/lwCFbHOmy5GuC0REB5HMkQSxNWwR5cJ5TVTUUKRJ.pdf</t>
  </si>
  <si>
    <t>https://storage.googleapis.com/deytha-prod/supplierBills/HXYZZAaOpC4U8aNyGU97HiDlZljwbtTRTZifcacS.pdf</t>
  </si>
  <si>
    <t>2025-06-09 20:44:45</t>
  </si>
  <si>
    <t>2025-06-10 15:44:39</t>
  </si>
  <si>
    <t>BLOQUE RETRACTIL DE 3 MTR DE LARGO COLOR NEGRO
 CON CINTA DE NYLON
PROTECTOR METATARSIANO
LÍNEA CONEXIÓN DOBLE, 1.80 M, AMORTIGUADOR, 1
 GANCHO 3/4", 2 GANCHOS 2 1/4" HAUK</t>
  </si>
  <si>
    <t>2025-06-13 12:12:00</t>
  </si>
  <si>
    <t>https://storage.googleapis.com/deytha-prod/payments/JywVpVkxvLzaACDlkbLFJ5MYijZIMIYkNiQY6CTe.pdf</t>
  </si>
  <si>
    <t>https://storage.googleapis.com/deytha-prod/paymentBills/emlCSUSyMRP3YCb97ojPndZKPMoqImLxDhOWdtpa.png</t>
  </si>
  <si>
    <t>https://storage.googleapis.com/deytha-prod/supplierBills/WjAljNRYboquL9Sgs4d7nFkZICEGq6Nke9Wwlh9r.pdf</t>
  </si>
  <si>
    <t>2025-06-09 23:09:54</t>
  </si>
  <si>
    <t>PY-031</t>
  </si>
  <si>
    <t>TERAN GORDON ANAIS YAMELIN</t>
  </si>
  <si>
    <t>2025-06-09 18:08:25</t>
  </si>
  <si>
    <t>245-70486701-0-13</t>
  </si>
  <si>
    <t>Legalización de documentos del contrato y pasaje</t>
  </si>
  <si>
    <t>2025-06-12 10:38:00</t>
  </si>
  <si>
    <t>https://storage.googleapis.com/deytha-prod/payments/uiT4gFkzblTLZAcPQfAQJs9fBCntwQgocyV6xSmk.pdf</t>
  </si>
  <si>
    <t>https://storage.googleapis.com/deytha-prod/paymentBills/ymdL3apZN2nz68odepkTWScMPzuGvO9vJiT3PF8M.png</t>
  </si>
  <si>
    <t>https://storage.googleapis.com/deytha-prod/supplierBills/61Rxq3kZjeANDo9zntPdys0RavlQGjHEp6ukLHC0.pdf</t>
  </si>
  <si>
    <t>2025-06-06 20:07:40</t>
  </si>
  <si>
    <t>2025-06-09 11:47:38</t>
  </si>
  <si>
    <t>2025-06-07 15:07:36</t>
  </si>
  <si>
    <t>PERSONAL PARAMEDICO PARA EL PROYECTO 5940-006 - REEMPLAZO BASE 3 POR INSTALACION DE DOS BASES DE COMUNICACION - MINA CUAJONE</t>
  </si>
  <si>
    <t>2025-06-09 17:43:00</t>
  </si>
  <si>
    <t>https://storage.googleapis.com/deytha-prod/paymentBills/wpGJFS56vyic5v3n7xbTlre36qguSu7gFN8oBFZV.png</t>
  </si>
  <si>
    <t>https://storage.googleapis.com/deytha-prod/supplierBills/xcID87eKI21NeHXKmXhWjPToGqsUIr96A7YfTbmW.pdf</t>
  </si>
  <si>
    <t>2025-06-06 17:13:07</t>
  </si>
  <si>
    <t>2025-06-06 12:13:07</t>
  </si>
  <si>
    <t>2025-05-09 12:13:07</t>
  </si>
  <si>
    <t>copia de llaves</t>
  </si>
  <si>
    <t>2025-07-18 16:41:52</t>
  </si>
  <si>
    <t>https://storage.googleapis.com/deytha-prod/payments/aDccbwvzr27q767pCM8JaTOvGZZy5BKk4ZbilD1M.pdf</t>
  </si>
  <si>
    <t>https://storage.googleapis.com/deytha-prod/payments/cgKf2a5BOkMlfCNYm1ob93JcFSF3dc9IyCf2T3mk.pdf</t>
  </si>
  <si>
    <t>2025-06-06 16:59:32</t>
  </si>
  <si>
    <t>2025-06-06 11:59:32</t>
  </si>
  <si>
    <t>2025-05-07 11:59:32</t>
  </si>
  <si>
    <t>transporte prisma </t>
  </si>
  <si>
    <t>2025-07-18 16:41:45</t>
  </si>
  <si>
    <t>https://storage.googleapis.com/deytha-prod/payments/xtsIIZmhxfSsRbcbxAit3DEOeAY0E60iz0SAw6wr.pdf</t>
  </si>
  <si>
    <t>https://storage.googleapis.com/deytha-prod/payments/Z9d6cBSheni0FjyMvUdd3VkfTqNUwlMN5kvNZHZc.pdf</t>
  </si>
  <si>
    <t>2025-06-05 22:52:24</t>
  </si>
  <si>
    <t>2025-06-06 11:51:20</t>
  </si>
  <si>
    <t>2025-06-07 17:51:21</t>
  </si>
  <si>
    <t xml:space="preserve">MARTILLO Demoledor GSH 27 VC 2000 WATTS </t>
  </si>
  <si>
    <t>2025-06-11 12:04:00</t>
  </si>
  <si>
    <t>https://storage.googleapis.com/deytha-prod/payments/YKCpA92Bi6qMnTTdR4Ey7I9dvEhJZbJI6Um4LFEY.pdf</t>
  </si>
  <si>
    <t>https://storage.googleapis.com/deytha-prod/paymentBills/17wTkWYuSsbU7ayv6RkmEIwa8tjbgv9qB7qGlVz5.png</t>
  </si>
  <si>
    <t>https://storage.googleapis.com/deytha-prod/supplierBills/abXKOZuHWpX6in09TPZ5d8xBcES8lcJx3JtCmNWv.pdf</t>
  </si>
  <si>
    <t>2025-06-06 15:15:43</t>
  </si>
  <si>
    <t>2025-06-07 10:15:31</t>
  </si>
  <si>
    <t xml:space="preserve">MATERIALES VARIOS </t>
  </si>
  <si>
    <t>2025-06-09 17:29:00</t>
  </si>
  <si>
    <t>https://storage.googleapis.com/deytha-prod/payments/lfl5U2xQ7bdnc2z1hV2clsv3GxJyMRM5YpX8D8ix.pdf</t>
  </si>
  <si>
    <t>https://storage.googleapis.com/deytha-prod/paymentBills/EwQV9YXySVN2zdZcfH1Jkxz0TDWDkqv7fDWurs1A.png</t>
  </si>
  <si>
    <t>https://storage.googleapis.com/deytha-prod/supplierBills/3VW7FdLrRp42u4Rrzs5EwUEYHEF3Aka28LHo1w6p.pdf</t>
  </si>
  <si>
    <t>2025-06-06 15:19:47</t>
  </si>
  <si>
    <t>2025-06-07 10:18:35</t>
  </si>
  <si>
    <t xml:space="preserve">GENERADOR 10KV - # 003 </t>
  </si>
  <si>
    <t>2025-06-06 18:17:00</t>
  </si>
  <si>
    <t>https://storage.googleapis.com/deytha-prod/payments/5RqF7zlVAgZNqChRJOCEnWl8yGAe4L7D1G9fIwV1.pdf</t>
  </si>
  <si>
    <t>https://storage.googleapis.com/deytha-prod/paymentBills/oPSEdPwNhNi33NRe5pUt4gYUeOx54YdJHGuUC7ej.png</t>
  </si>
  <si>
    <t>https://storage.googleapis.com/deytha-prod/supplierBills/wKoPImxU5krtwsL0xFQWAfFxZSour5bcsqxFAUWl.pdf</t>
  </si>
  <si>
    <t>2025-06-06 15:45:53</t>
  </si>
  <si>
    <t>2025-06-07 10:45:16</t>
  </si>
  <si>
    <t>MTTO CORRECTIVO DE APISONADOR 
SE ADJUNTA INFORME</t>
  </si>
  <si>
    <t>2025-06-06 12:53:00</t>
  </si>
  <si>
    <t>https://storage.googleapis.com/deytha-prod/payments/kXSewQmzt08NtRRKybE1904wdcIfPx5KyRhbqIqc.pdf</t>
  </si>
  <si>
    <t>https://storage.googleapis.com/deytha-prod/paymentBills/3ENj176qffjIj9QlUVayKhgdtrKM1ua5XzwQxeO6.png</t>
  </si>
  <si>
    <t>https://storage.googleapis.com/deytha-prod/supplierBills/MVmzT3KsRiYY9BWu0KP7FaTXyPI2dKqJ2qop6VmI.pdf</t>
  </si>
  <si>
    <t>2025-06-06 16:50:26</t>
  </si>
  <si>
    <t>2025-06-06 11:50:26</t>
  </si>
  <si>
    <t>2025-04-28 11:50:26</t>
  </si>
  <si>
    <t>2025-07-18 16:41:50</t>
  </si>
  <si>
    <t>https://storage.googleapis.com/deytha-prod/payments/tbjzNRwHUhHQCXEs16lr0s9EhAGtLP7I78m9hvcV.pdf</t>
  </si>
  <si>
    <t>https://storage.googleapis.com/deytha-prod/payments/LPyPi9UpgRFxf0LRLdShSYNYItA007UAQOKIoVIl.pdf</t>
  </si>
  <si>
    <t>2025-06-06 16:33:19</t>
  </si>
  <si>
    <t>2025-06-06 11:33:19</t>
  </si>
  <si>
    <t>2025-05-05 11:33:19</t>
  </si>
  <si>
    <t>transporte jhoncito</t>
  </si>
  <si>
    <t>2025-07-18 16:41:48</t>
  </si>
  <si>
    <t>https://storage.googleapis.com/deytha-prod/payments/rqAoz6UtA7GK7PGHDLgpCO2BAWSTzYjESUcSjl1z.pdf</t>
  </si>
  <si>
    <t>https://storage.googleapis.com/deytha-prod/payments/MEQinJMInGMPKiOBeh0bmYnT23iTSEONZDwQfNqj.pdf</t>
  </si>
  <si>
    <t>2025-06-06 16:30:52</t>
  </si>
  <si>
    <t>2025-06-06 11:30:52</t>
  </si>
  <si>
    <t>2025-05-08 11:30:52</t>
  </si>
  <si>
    <t>transporte de materiales</t>
  </si>
  <si>
    <t>2025-07-18 16:41:40</t>
  </si>
  <si>
    <t>https://storage.googleapis.com/deytha-prod/payments/w1szRAkiQE4XqDIu4QeIjqzlLVEJWcW8y1yq9xA2.pdf</t>
  </si>
  <si>
    <t>https://storage.googleapis.com/deytha-prod/payments/ftkYLUls8qbJmLNPzfYY46FlN3JKW6LfpVE2gtOz.pdf</t>
  </si>
  <si>
    <t>2025-06-06 16:16:24</t>
  </si>
  <si>
    <t>2025-06-06 11:16:24</t>
  </si>
  <si>
    <t>2025-05-12 11:16:24</t>
  </si>
  <si>
    <t>petroleo</t>
  </si>
  <si>
    <t>2025-07-18 16:41:37</t>
  </si>
  <si>
    <t>https://storage.googleapis.com/deytha-prod/payments/xbFbOw23SlUuQRAJaTwTDWJ7p2RRcqrqzTT3hFP7.pdf</t>
  </si>
  <si>
    <t>https://storage.googleapis.com/deytha-prod/payments/uS8K07OXVaeApulYkkM3p1fLED2y6L07JD0xApQS.pdf</t>
  </si>
  <si>
    <t>2025-06-06 16:16:22</t>
  </si>
  <si>
    <t>2025-06-06 11:16:22</t>
  </si>
  <si>
    <t>2025-05-13 11:16:22</t>
  </si>
  <si>
    <t>letrero </t>
  </si>
  <si>
    <t>2025-07-18 16:41:43</t>
  </si>
  <si>
    <t>https://storage.googleapis.com/deytha-prod/payments/4kgmHdScbfsZvzFfLJPXfu80P4rBvq8eI3zHz2sX.pdf</t>
  </si>
  <si>
    <t>https://storage.googleapis.com/deytha-prod/payments/gtR3VhcYNCQrIXtKTaFxvE5EXnO1oo7roSOBpp0F.pdf</t>
  </si>
  <si>
    <t>2025-06-06 16:11:16</t>
  </si>
  <si>
    <t>2025-06-06 11:11:16</t>
  </si>
  <si>
    <t>2025-05-16 11:11:16</t>
  </si>
  <si>
    <t>cemento </t>
  </si>
  <si>
    <t>2025-07-18 16:41:33</t>
  </si>
  <si>
    <t>https://storage.googleapis.com/deytha-prod/payments/VKdY1EjjPTf7ofKtVDPlLn1UwdLBNIW9EZu3PMqf.pdf</t>
  </si>
  <si>
    <t>https://storage.googleapis.com/deytha-prod/payments/TD5TPHAd7Y8rI16C382ewYJxJFJ8yMs3Uso05Nt2.pdf</t>
  </si>
  <si>
    <t>2025-06-06 16:07:27</t>
  </si>
  <si>
    <t>2025-06-06 11:07:27</t>
  </si>
  <si>
    <t>2025-04-29 11:07:27</t>
  </si>
  <si>
    <t>extensiones</t>
  </si>
  <si>
    <t>2025-07-18 16:41:30</t>
  </si>
  <si>
    <t>https://storage.googleapis.com/deytha-prod/payments/gAVaAcGWVdWV7gPzGxgEqY9zl5yfvnzFtTjvxeAD.pdf</t>
  </si>
  <si>
    <t>https://storage.googleapis.com/deytha-prod/payments/kgHHQBvsrDuKdqnyJWwspYFcbiRNlmubzNJ9GcBb.pdf</t>
  </si>
  <si>
    <t>2025-06-06 15:02:11</t>
  </si>
  <si>
    <t>2025-06-06 10:02:11</t>
  </si>
  <si>
    <t>2025-05-05 10:02:11</t>
  </si>
  <si>
    <t>supresor</t>
  </si>
  <si>
    <t>https://storage.googleapis.com/deytha-prod/payments/tBiF0Ur3u2C1qZhHQildMsSWsck5nysnHieLB167.pdf</t>
  </si>
  <si>
    <t>https://storage.googleapis.com/deytha-prod/payments/oIPx6h6IXmmmKDWKIY0NKG6iO8k1ug8v3g3rbTpS.pdf</t>
  </si>
  <si>
    <t>2025-06-06 15:02:08</t>
  </si>
  <si>
    <t>2025-06-06 10:02:08</t>
  </si>
  <si>
    <t>2025-05-02 10:02:08</t>
  </si>
  <si>
    <t>marcador</t>
  </si>
  <si>
    <t>2025-07-18 16:41:28</t>
  </si>
  <si>
    <t>https://storage.googleapis.com/deytha-prod/payments/hNKKWn8CK9KpQHJ6KgT9zH2PPsD4DzissKLdCUcc.pdf</t>
  </si>
  <si>
    <t>https://storage.googleapis.com/deytha-prod/payments/CY8NjdjhIdSQAxnA73H5Fi15s49agOVJ6UFgLNB7.pdf</t>
  </si>
  <si>
    <t>2025-06-06 15:02:05</t>
  </si>
  <si>
    <t>2025-06-06 10:02:05</t>
  </si>
  <si>
    <t>2025-05-09 10:02:05</t>
  </si>
  <si>
    <t>taxi </t>
  </si>
  <si>
    <t>2025-07-18 16:41:24</t>
  </si>
  <si>
    <t>https://storage.googleapis.com/deytha-prod/payments/kj72aV6WDDqI7z03YSq8ObrRFRnEGk2fP726aev4.pdf</t>
  </si>
  <si>
    <t>https://storage.googleapis.com/deytha-prod/payments/ZgXT3pPTE3DaigGfjzpli6r1OVEndCnehCwDuIwJ.pdf</t>
  </si>
  <si>
    <t>2025-06-05 15:22:48</t>
  </si>
  <si>
    <t>2025-06-05 17:14:28</t>
  </si>
  <si>
    <t>2025-06-06 10:22:36</t>
  </si>
  <si>
    <t>2025-06-06 12:26:00</t>
  </si>
  <si>
    <t>https://storage.googleapis.com/deytha-prod/paymentBills/XssGBeYk2iobeJfptvQQdfGljefLec20P6kL8xAG.png</t>
  </si>
  <si>
    <t>2025-06-05 15:47:23</t>
  </si>
  <si>
    <t>2025-06-06 10:47:01</t>
  </si>
  <si>
    <t xml:space="preserve">COMBUSTIBLE </t>
  </si>
  <si>
    <t>2025-06-06 12:21:00</t>
  </si>
  <si>
    <t>https://storage.googleapis.com/deytha-prod/payments/c6lMNxcqzpGmhFj0iAhlUeBN2SkatIlx6oKzSfz1.pdf</t>
  </si>
  <si>
    <t>https://storage.googleapis.com/deytha-prod/paymentBills/VcPSej1Jo6v7ziNAu3zXJBKxUUzOu0E2hrUZKZuT.png</t>
  </si>
  <si>
    <t>https://storage.googleapis.com/deytha-prod/supplierBills/1bGF86i4WgsKJB2mYJEG3onEV7XZXfiYwRo7Tjab.pdf</t>
  </si>
  <si>
    <t>2025-06-05 15:57:20</t>
  </si>
  <si>
    <t>2025-06-06 10:56:59</t>
  </si>
  <si>
    <t xml:space="preserve">ACERO CORRUGADO </t>
  </si>
  <si>
    <t>2025-06-06 12:32:00</t>
  </si>
  <si>
    <t>https://storage.googleapis.com/deytha-prod/payments/JVsDgYQgu1TZk5L2v4K54FpqY1uqFh0UqWCyWyLA.pdf</t>
  </si>
  <si>
    <t>https://storage.googleapis.com/deytha-prod/paymentBills/a2aHBC18rZlM93SGSGWZyHJ2mCqvWI4HGrBRb7X3.png</t>
  </si>
  <si>
    <t>https://storage.googleapis.com/deytha-prod/supplierBills/HwJsfHfJ3e8HnRpL15dJREF8klDYJlfarrXt3ynL.pdf</t>
  </si>
  <si>
    <t>2025-06-05 17:28:51</t>
  </si>
  <si>
    <t>2025-06-06 12:28:37</t>
  </si>
  <si>
    <t xml:space="preserve">alquiler olla washington por 2 dias </t>
  </si>
  <si>
    <t>2025-06-06 12:43:00</t>
  </si>
  <si>
    <t>https://storage.googleapis.com/deytha-prod/payments/8dquzRXGClmqjm98imjvakRlQrDqDojKdACybd73.pdf</t>
  </si>
  <si>
    <t>https://storage.googleapis.com/deytha-prod/paymentBills/7VirlPCuMztPzFYoOtSx1UH9KMunQpXCMAKmAqM4.png</t>
  </si>
  <si>
    <t>https://storage.googleapis.com/deytha-prod/supplierBills/uQJfyb631iiETjJiKd8hMo2gm1QojiTLhjC8lA9h.pdf</t>
  </si>
  <si>
    <t>2025-06-05 19:57:59</t>
  </si>
  <si>
    <t>2025-06-06 14:57:28</t>
  </si>
  <si>
    <t xml:space="preserve">DADO DE IMPACTO 
PISTOLA DE IMPACTO 
PERSONAL LINIEROS </t>
  </si>
  <si>
    <t>2025-06-06 13:10:00</t>
  </si>
  <si>
    <t>https://storage.googleapis.com/deytha-prod/payments/hVhdKga7VkZVL33kbQpUxhon1mhbxg6Z9JBdTLNx.pdf</t>
  </si>
  <si>
    <t>https://storage.googleapis.com/deytha-prod/paymentBills/fYxSGr4ACnKVGAPE0JUDG7ATucsVcBqQExJEmnIw.png</t>
  </si>
  <si>
    <t>https://storage.googleapis.com/deytha-prod/supplierBills/d6s238bnjBORVo3AEZ7MMuSrUxNst2kJmHfK1qjz.pdf</t>
  </si>
  <si>
    <t>2025-06-05 22:00:15</t>
  </si>
  <si>
    <t>2025-06-06 16:58:19</t>
  </si>
  <si>
    <t xml:space="preserve">alquiler de apisonador masalta  motor: honda, modelo GX160 CORRESPONDIENTE DEL DIA 23/05/2025-29/05/2025-sin contar domingo </t>
  </si>
  <si>
    <t>2025-06-06 13:05:00</t>
  </si>
  <si>
    <t>https://storage.googleapis.com/deytha-prod/payments/wMBif8fKftVRRbzlviUuSXesHvOa1ZMAAQ7K4RQm.pdf</t>
  </si>
  <si>
    <t>https://storage.googleapis.com/deytha-prod/paymentBills/isI5jPyU0J84ehC7wwubtS45gJXajWMfQWXARenu.png</t>
  </si>
  <si>
    <t>https://storage.googleapis.com/deytha-prod/supplierBills/5T6tuHSYGmS6CH1ET2ZuRqVHxZJiZ7Cqcr65SPdU.pdf</t>
  </si>
  <si>
    <t>2025-06-05 22:03:03</t>
  </si>
  <si>
    <t>2025-06-06 17:02:56</t>
  </si>
  <si>
    <t>alquiler apisonador marca derek motors motor honda  
correspondiente del dia 29/05/2025-02/06/2025- sin contar dia domingo</t>
  </si>
  <si>
    <t>2025-06-06 12:59:00</t>
  </si>
  <si>
    <t>https://storage.googleapis.com/deytha-prod/payments/l5FEyymCGBKVknG7hyhZpsOEzzaSjWfE8UAuw8aP.pdf</t>
  </si>
  <si>
    <t>https://storage.googleapis.com/deytha-prod/paymentBills/urg2udwi4dvkqME61R8LyzR5Doyn5CKTBcAFG4kL.png</t>
  </si>
  <si>
    <t>https://storage.googleapis.com/deytha-prod/supplierBills/bPsuvNQNvtDBBABuTjUgwpwYLnT7WUzxQbRKQDxq.pdf</t>
  </si>
  <si>
    <t>2025-06-05 16:51:21</t>
  </si>
  <si>
    <t>2025-06-05 12:21:16</t>
  </si>
  <si>
    <t>2025-06-05 12:51:11</t>
  </si>
  <si>
    <t>PAGO POR EMO DE FERNANDEZ MAMANI ALFREDO PERCY</t>
  </si>
  <si>
    <t>2025-06-05 13:03:00</t>
  </si>
  <si>
    <t>https://storage.googleapis.com/deytha-prod/payments/h4mZBXSLGSIadu3npSrgiYFzP1B9d5Ji7CFAAsv2.xlsx</t>
  </si>
  <si>
    <t>https://storage.googleapis.com/deytha-prod/paymentBills/SKHaVRbMtPaCfjvJdEw0JK97lAGRMVSj2RdTQd8m.png</t>
  </si>
  <si>
    <t>https://storage.googleapis.com/deytha-prod/supplierBills/P9bVShB1Gxm5EWzHb6tAlEYuEthinOgJirxD7Ppx.pdf</t>
  </si>
  <si>
    <t>2025-06-05 15:06:19</t>
  </si>
  <si>
    <t>2025-06-05 10:25:52</t>
  </si>
  <si>
    <t>2025-06-06 10:06:08</t>
  </si>
  <si>
    <t>COMPRA DE ARENA FINA POR 15M3</t>
  </si>
  <si>
    <t>2025-06-10 12:07:00</t>
  </si>
  <si>
    <t>https://storage.googleapis.com/deytha-prod/payments/nieTW4R5LXDEvNVLmpKVXtQvKctmHEhKuzyEITWG.pdf</t>
  </si>
  <si>
    <t>https://storage.googleapis.com/deytha-prod/paymentBills/Tm7N0jOzVFAcw0rnYNubZD7qj1mrt7gmIiIBjAzR.png</t>
  </si>
  <si>
    <t>https://storage.googleapis.com/deytha-prod/supplierBills/aoMPEOmh5KcDMsSsuCVQW3A0yMwA1MGMeI3j65cQ.pdf</t>
  </si>
  <si>
    <t>2025-06-05 13:49:06</t>
  </si>
  <si>
    <t>2025-06-05 08:49:06</t>
  </si>
  <si>
    <t>2025-05-01 08:49:06</t>
  </si>
  <si>
    <t>azucar 
melamina </t>
  </si>
  <si>
    <t>https://storage.googleapis.com/deytha-prod/payments/4CuLQPMrRisZk4juSIvTEuGlgSAZdqfiORz9ytxd.pdf</t>
  </si>
  <si>
    <t>https://storage.googleapis.com/deytha-prod/payments/BYYDuFbw3OW1kheH58bKTwkhiuuV5FochIhOPD8d.pdf</t>
  </si>
  <si>
    <t>2025-06-04 21:07:46</t>
  </si>
  <si>
    <t>2025-06-04 16:07:46</t>
  </si>
  <si>
    <t>2025-05-01 16:07:46</t>
  </si>
  <si>
    <t xml:space="preserve">clavo 
armella 
alcayata
</t>
  </si>
  <si>
    <t>2025-07-18 16:41:22</t>
  </si>
  <si>
    <t>https://storage.googleapis.com/deytha-prod/payments/j6wqKXlw11b1q32vf5A3udULbyeYm5d9FGjqkQhS.pdf</t>
  </si>
  <si>
    <t>https://storage.googleapis.com/deytha-prod/payments/OCSCWq4gaznwDtHcKA8Js5Kk7n3CkJROeBAxNOWS.pdf</t>
  </si>
  <si>
    <t>2025-06-04 18:01:47</t>
  </si>
  <si>
    <t>2025-06-04 13:10:48</t>
  </si>
  <si>
    <t>2025-06-04 14:01:38</t>
  </si>
  <si>
    <t>PAGO DE EMO PARA PUMA GUTIERREZ ROLE HERNAN</t>
  </si>
  <si>
    <t>2025-06-04 15:10:00</t>
  </si>
  <si>
    <t>https://storage.googleapis.com/deytha-prod/payments/kqMDzBaYPkKjdQGCFd4tdrZ5xtxlCLUPtofngP4b.xlsx</t>
  </si>
  <si>
    <t>https://storage.googleapis.com/deytha-prod/paymentBills/TEnzEwUdf4jxM7jAFTonRnNBPAM8zgoWYlVSl23r.png</t>
  </si>
  <si>
    <t>2025-06-03 17:30:35</t>
  </si>
  <si>
    <t>2025-06-04 12:35:08</t>
  </si>
  <si>
    <t>2025-06-04 12:30:21</t>
  </si>
  <si>
    <t>RADIO TALKAOUT TRANSMISOR RECEPTOR PORTATIL UHF
MARCA : MOTOROLA
MODELO : T470 X2 UNID.
CANALES : 22 CANALES
POTENCIA : 2 WATTS</t>
  </si>
  <si>
    <t>2025-06-05 17:39:00</t>
  </si>
  <si>
    <t>https://storage.googleapis.com/deytha-prod/payments/XLsg9Lp0F5ltyX5M2QMv2AuAiu2dKNJR9nAsDf7T.pdf</t>
  </si>
  <si>
    <t>https://storage.googleapis.com/deytha-prod/paymentBills/BNdRowgji1tOufS3r2EGNZjHl2HJasEe0bzjNOKG.pdf</t>
  </si>
  <si>
    <t>https://storage.googleapis.com/deytha-prod/supplierBills/jCrXvQDFuS6a2cspWgbwQdrPAJ7ncOhawG03KUQr.pdf</t>
  </si>
  <si>
    <t>2025-06-03 19:35:45</t>
  </si>
  <si>
    <t>2025-06-04 14:34:50</t>
  </si>
  <si>
    <t>Cantidad  UM                              DESCRIPCION                                                                                                                                                                                               PRECIO UNIT.                         IMPORTE
440.00         MT          CABLE DE COBRE DESNUDO 4/0AWG TEMPLE BLANDO [SM0001] - INDECO                                                                                       45.9677                                    20,225.79 
100.00         MT          CABLE DE COBRE DESNUDO 2/0AWG TEMPLE BLANDO - INDECO                                                                                                            28.9090                                      2,890.90
26.00           PZ            VARILLA DE COBRE ELECTROLITICO DE 3/4"X2.40MTS. [M] NACIONAL                                                                                                301.2000                                      7,831.20
200.00         PZ           TERMINAL A COMPRESION BARRIL ESTANDAR CU ESTAÑADO 2/0AWG 150AMP 1H DE 1/2" BT - TALMA                                    5.1804                                      1,036.07 
 COND. PAGO: FACT. 30 DIAS</t>
  </si>
  <si>
    <t>2025-07-24 18:36:00</t>
  </si>
  <si>
    <t>https://storage.googleapis.com/deytha-prod/payments/wa6VbG5qxp9yvyf2bdYbgNe3btYijd7Dr4c38HdB.pdf</t>
  </si>
  <si>
    <t>https://storage.googleapis.com/deytha-prod/paymentBills/iXwBp1qr057Olx3ebcgGTcg3c8lCcwF5VtlMc1tW.png</t>
  </si>
  <si>
    <t>2025-06-03 19:40:55</t>
  </si>
  <si>
    <t>2025-06-04 14:40:50</t>
  </si>
  <si>
    <t>TUBO PVC SAP 4" 114MM - TUBOPLAST
CONECTOR PVC SAP 4" - NICOLL</t>
  </si>
  <si>
    <t>2025-06-05 16:10:00</t>
  </si>
  <si>
    <t>https://storage.googleapis.com/deytha-prod/payments/QGpMeTGZ8tKcgmlgqbCGAZiTgIbKvhpXbJeiKoxS.pdf</t>
  </si>
  <si>
    <t>https://storage.googleapis.com/deytha-prod/paymentBills/K4B4Ce75FdKsmr7y9OpoAgDjpsypQBPJ0EGapf39.png</t>
  </si>
  <si>
    <t>https://storage.googleapis.com/deytha-prod/supplierBills/kJb18WeLiIfYBaEEML1KzRFeHsqMWVDmHsqtIgVI.pdf</t>
  </si>
  <si>
    <t>2025-06-03 20:01:40</t>
  </si>
  <si>
    <t>2025-06-04 15:01:38</t>
  </si>
  <si>
    <t>BORDADOS DE EPP</t>
  </si>
  <si>
    <t>2025-06-04 16:53:00</t>
  </si>
  <si>
    <t>https://storage.googleapis.com/deytha-prod/payments/2Kqj3erMHWtE2epoSBfPId8ctynVVI6CwuCwWt8u.pdf</t>
  </si>
  <si>
    <t>https://storage.googleapis.com/deytha-prod/paymentBills/tAIWZjx7rYPJFsNDYQfocQHq0sDO0edrweVvDl0b.png</t>
  </si>
  <si>
    <t>https://storage.googleapis.com/deytha-prod/supplierBills/SZNfOmNK8vKB0TdycrWd3q3NFyt3bdHTQ7vndiRK.pdf</t>
  </si>
  <si>
    <t>2025-06-03 21:37:56</t>
  </si>
  <si>
    <t>2025-06-04 16:37:42</t>
  </si>
  <si>
    <t xml:space="preserve">HERRAMIENTAS Y DISCOS DE CORTE </t>
  </si>
  <si>
    <t>2025-06-04 16:44:00</t>
  </si>
  <si>
    <t>https://storage.googleapis.com/deytha-prod/payments/u7fdlhzO7uZpjxlGdPxTu1SxPNDl4MYOqBgvCyBa.pdf</t>
  </si>
  <si>
    <t>https://storage.googleapis.com/deytha-prod/paymentBills/kafZ2Ag7mYN2PiSdTU50ijmHrnFifKP8RhpC9Mey.png</t>
  </si>
  <si>
    <t>https://storage.googleapis.com/deytha-prod/supplierBills/DF5Q0cVgOxRZXIk2vdfpcTjrpWcNUYBRIKCOesx4.pdf</t>
  </si>
  <si>
    <t>2025-06-04 13:42:28</t>
  </si>
  <si>
    <t>2025-06-05 08:42:18</t>
  </si>
  <si>
    <t xml:space="preserve">estacion total 
nivel automatico </t>
  </si>
  <si>
    <t>2025-06-05 16:21:00</t>
  </si>
  <si>
    <t>https://storage.googleapis.com/deytha-prod/payments/t0adYXgEq6juMf67DKoP82AcPzQeykTun9rMutcu.pdf</t>
  </si>
  <si>
    <t>https://storage.googleapis.com/deytha-prod/paymentBills/XpO5wE6fAsVUMnTKS1QkIkjZZpmqtbTQsZg65B03.png</t>
  </si>
  <si>
    <t>https://storage.googleapis.com/deytha-prod/supplierBills/m2VIQ7PuEKtkwmSJtAFZ4B6SVfH9SuMoRhmRxzWG.pdf</t>
  </si>
  <si>
    <t>2025-06-04 14:04:28</t>
  </si>
  <si>
    <t>2025-06-05 09:04:26</t>
  </si>
  <si>
    <t>AGUA DE MESA</t>
  </si>
  <si>
    <t>2025-06-04 16:20:00</t>
  </si>
  <si>
    <t>https://storage.googleapis.com/deytha-prod/payments/lAgcqheociMnBowb4gcUmpnxHadO12iBomnDJ6th.pdf</t>
  </si>
  <si>
    <t>https://storage.googleapis.com/deytha-prod/paymentBills/gGfZ5fu4Bjpyo57KYSx10qRfAb0oDzf9L2Svjyax.png</t>
  </si>
  <si>
    <t>https://storage.googleapis.com/deytha-prod/supplierBills/yLe2qfFcI8suSfL1V9VFLXxevttrH0aKHH6YccEt.pdf</t>
  </si>
  <si>
    <t>2025-06-04 14:46:15</t>
  </si>
  <si>
    <t>2025-06-05 09:46:13</t>
  </si>
  <si>
    <t>CONO D/PLASTICO 28" 70 CM CON CINTA REFLECTIVA
 BARRA RETRACTIL DE PVC COLOR NEGRO Y ROJO. LARGO
 DE 1.3 MTR A 2.3 MTR -SEGPRO
DISCO CORTE METAL 7" X1.6MM NORTON</t>
  </si>
  <si>
    <t>2025-06-09 17:51:00</t>
  </si>
  <si>
    <t>https://storage.googleapis.com/deytha-prod/payments/tTYxbXrw7H7HCVMvTpLLwNHb2IwYss9ltpsoNvxy.pdf</t>
  </si>
  <si>
    <t>https://storage.googleapis.com/deytha-prod/paymentBills/CYUFvbdfvUMem2YjeUJ5OVMYcyBYyXdnalevbzyk.png</t>
  </si>
  <si>
    <t>https://storage.googleapis.com/deytha-prod/supplierBills/AsH6P5gBBOi5KlJvSYx1c7kzr3mmQU0dVJfyDzFA.pdf</t>
  </si>
  <si>
    <t>2025-06-03 20:29:40</t>
  </si>
  <si>
    <t>2025-06-03 18:15:23</t>
  </si>
  <si>
    <t>2025-06-04 15:29:24</t>
  </si>
  <si>
    <t xml:space="preserve">Compra de 15m3 de Tierra de Chacra </t>
  </si>
  <si>
    <t>2025-06-10 12:13:00</t>
  </si>
  <si>
    <t>https://storage.googleapis.com/deytha-prod/payments/pWZ73U8HDdOJEEPUrdZXm4YY0W16gkYP7YR6HUPk.pdf</t>
  </si>
  <si>
    <t>https://storage.googleapis.com/deytha-prod/paymentBills/e8UAYEfZgo4Wa1zrKfLR4fxJXXOriLyQDDzzR2jb.png</t>
  </si>
  <si>
    <t>https://storage.googleapis.com/deytha-prod/supplierBills/nmdg6LBArITxacQSTz2iLYGyoYpMyHGCTAyUDuNw.pdf</t>
  </si>
  <si>
    <t>2025-06-03 20:00:57</t>
  </si>
  <si>
    <t>JIREK BONETT  CAMACHO CALDERON</t>
  </si>
  <si>
    <t>2025-06-03 15:26:56</t>
  </si>
  <si>
    <t>2025-06-06 17:58:28</t>
  </si>
  <si>
    <t>DEVOLUCIÓN DE DINERO PARA PAGO DE SERVICIO DE INTERNET EN MOQUEGUA, EL PRIMER PAGO FUE RECHAZADO Y SE HA REALIZADO OTRA SOLICITUD DE PAGO, PERO SE HIZO DESDE CUENTA PERSONAL PORQUE NO CONOCÍAN PROCEDIMIENTO DE PAGO DE SERVICIOS</t>
  </si>
  <si>
    <t>2025-06-04 15:26:00</t>
  </si>
  <si>
    <t>https://storage.googleapis.com/deytha-prod/payments/IugmiBq2H9wBg57hsLl1idytEYTQwCzV2gOKqoxh.jpg</t>
  </si>
  <si>
    <t>https://storage.googleapis.com/deytha-prod/paymentBills/aV3Ca7A677VVV3Ju8daWyd363M0YautDxg2mRDdk.png</t>
  </si>
  <si>
    <t>https://storage.googleapis.com/deytha-prod/supplierBills/D2GPYa8eme5l7G2gMp3G5JV2DaKTFkZgmisVQdIl.pdf</t>
  </si>
  <si>
    <t>2025-06-02 21:49:19</t>
  </si>
  <si>
    <t>2025-06-02 16:51:57</t>
  </si>
  <si>
    <t>2025-06-02 17:49:11</t>
  </si>
  <si>
    <t>PAGO DE EMO PARA QUISPE TALA IVAN ANDRES</t>
  </si>
  <si>
    <t>2025-06-03 10:40:00</t>
  </si>
  <si>
    <t>https://storage.googleapis.com/deytha-prod/payments/q9x1fF2PhA1Wy1ItfF6TT8xDROBkyxwYAVCNXYnC.pdf</t>
  </si>
  <si>
    <t>https://storage.googleapis.com/deytha-prod/paymentBills/zn3ZztFtHvfnqPKCjU1nDO8ft7gdMqnbIrrPjFS2.png</t>
  </si>
  <si>
    <t>https://storage.googleapis.com/deytha-prod/supplierBills/FyKPDjwZoATV4lMahlQ4K8t1OVowUlL0txrOr84m.pdf</t>
  </si>
  <si>
    <t>2025-05-21 21:34:11</t>
  </si>
  <si>
    <t>2025-06-02 16:38:11</t>
  </si>
  <si>
    <t>2025-05-28 16:32:00</t>
  </si>
  <si>
    <t>EUGENIO MAMANI NICOLAS RUBEN</t>
  </si>
  <si>
    <t>430 06529114-0-77</t>
  </si>
  <si>
    <t xml:space="preserve">Pago RQF-D:196(2 / 2) | BLOQUETA HUECO DE 0.20*0.20*0.40 </t>
  </si>
  <si>
    <t>2025-06-04 17:29:00</t>
  </si>
  <si>
    <t>https://storage.googleapis.com/deytha-prod/payments/714hxVNj1LdZT8plvd6nTeZp53mIe3q3q9QrTwl0.pdf</t>
  </si>
  <si>
    <t>https://storage.googleapis.com/deytha-prod/paymentBills/g3OuDDwpgI3nfrBhSluIA6HccBF32mNJ39dLVqvI.png</t>
  </si>
  <si>
    <t>https://storage.googleapis.com/deytha-prod/supplierBills/qfiGjB58WBV4cTgYcZdNzTAARTu25vNpV9SZ4UWa.pdf</t>
  </si>
  <si>
    <t>2025-06-02 16:20:11</t>
  </si>
  <si>
    <t>2025-06-03 11:20:09</t>
  </si>
  <si>
    <t>BENTONITA SODICA X 30 KG
 MASILLA PARA MOLDE EXOTERMICO</t>
  </si>
  <si>
    <t>2025-06-05 16:29:00</t>
  </si>
  <si>
    <t>https://storage.googleapis.com/deytha-prod/payments/JAt8EODslvl7UZUxfPRkavdmbokfOGZtm1D82SxA.pdf</t>
  </si>
  <si>
    <t>https://storage.googleapis.com/deytha-prod/paymentBills/oFTk999HwLIxleWP1oJpPdfFEgNxpKO6k9sxc1FD.png</t>
  </si>
  <si>
    <t>https://storage.googleapis.com/deytha-prod/supplierBills/wkf5PIphwH0aJ6uS1dvPu3hEzhhsN3ehOhSRkNKQ.pdf</t>
  </si>
  <si>
    <t>2025-05-30 16:00:14</t>
  </si>
  <si>
    <t>2025-06-02 11:59:07</t>
  </si>
  <si>
    <t>2025-06-01 10:59:14</t>
  </si>
  <si>
    <t>245-94570607-0-91</t>
  </si>
  <si>
    <t>SOLICITO PAGO POR COMPRA DE HERRAMIENTAS Y EQUIPAMIENTO DE UNIDADES A INGRESAR A PY-28</t>
  </si>
  <si>
    <t>2025-06-03 12:54:00</t>
  </si>
  <si>
    <t>https://storage.googleapis.com/deytha-prod/payments/QBehFlRVKOvtxqjbcq5HceiHDYJsyRQO3NZsNiww.pdf</t>
  </si>
  <si>
    <t>https://storage.googleapis.com/deytha-prod/paymentBills/tbPqDeTxTP9Nu1qwTZ3El4cNzkM6QuFN8ghVxCu5.png</t>
  </si>
  <si>
    <t>2025-05-30 22:15:17</t>
  </si>
  <si>
    <t>2025-05-30 17:15:17</t>
  </si>
  <si>
    <t>2025-05-07 17:15:17</t>
  </si>
  <si>
    <t>petroleo07-05-2025</t>
  </si>
  <si>
    <t>2025-07-18 16:41:17</t>
  </si>
  <si>
    <t>https://storage.googleapis.com/deytha-prod/payments/y70M2qkxbW8is9LaSPsyWiXcOYLTDiqm2WnrXfDM.pdf</t>
  </si>
  <si>
    <t>https://storage.googleapis.com/deytha-prod/payments/GCiltcmjjMbcoGD6bqD11uOVYtKqtT1pPU5FAfyR.pdf</t>
  </si>
  <si>
    <t>petroleo 07-05-2025</t>
  </si>
  <si>
    <t>2025-07-18 16:41:19</t>
  </si>
  <si>
    <t>https://storage.googleapis.com/deytha-prod/payments/t4l9vzF6ob3nr9GYwXirTso6APWGo2tuGdgQw4K3.pdf</t>
  </si>
  <si>
    <t>https://storage.googleapis.com/deytha-prod/payments/7qNdHyROT1yqMrutIqkPmmganfOw3TseHxFnHM2b.pdf</t>
  </si>
  <si>
    <t>2025-05-30 22:15:16</t>
  </si>
  <si>
    <t>2025-05-30 17:15:16</t>
  </si>
  <si>
    <t>2025-05-16 17:15:16</t>
  </si>
  <si>
    <t>archivador plastificado of lomo angosto negro</t>
  </si>
  <si>
    <t>2025-07-18 16:41:11</t>
  </si>
  <si>
    <t>https://storage.googleapis.com/deytha-prod/payments/GMx4u2L8KDcTd5mwOkOWfxR0kUoLpPCYLmnzRnxm.pdf</t>
  </si>
  <si>
    <t>https://storage.googleapis.com/deytha-prod/payments/1qHgeGWbxzugl1Xw8uCoWKx0m1EKY6T32i3PSnCq.pdf</t>
  </si>
  <si>
    <t>2025-05-07 17:15:16</t>
  </si>
  <si>
    <t>pretoleo  07-05-2025</t>
  </si>
  <si>
    <t>2025-07-18 16:41:14</t>
  </si>
  <si>
    <t>https://storage.googleapis.com/deytha-prod/payments/3tuT4bTHYFBwxGHQMe1r3gkmSOekzFWnNW1VaPJH.pdf</t>
  </si>
  <si>
    <t>https://storage.googleapis.com/deytha-prod/payments/iDtf3ASd2YVkRZNZwVeaxUCVLK4twdNwV55NkvoS.pdf</t>
  </si>
  <si>
    <t>2025-05-08 17:15:16</t>
  </si>
  <si>
    <t>petroleo 08-05-2025</t>
  </si>
  <si>
    <t>https://storage.googleapis.com/deytha-prod/payments/vc55C4PTcpa2ZzkQqVRRdKzVkWqv90OqEk3VAG9W.pdf</t>
  </si>
  <si>
    <t>https://storage.googleapis.com/deytha-prod/payments/doLKpcCPk6OYRn0c3RlJA1vnrz1oyKUJt8ntITz2.pdf</t>
  </si>
  <si>
    <t>2025-05-30 22:15:15</t>
  </si>
  <si>
    <t>2025-05-30 17:15:15</t>
  </si>
  <si>
    <t>2025-05-09 17:15:15</t>
  </si>
  <si>
    <t>PETROLEO PARA BUS DIA 09-0-05-25 </t>
  </si>
  <si>
    <t>2025-07-18 16:41:09</t>
  </si>
  <si>
    <t>https://storage.googleapis.com/deytha-prod/payments/I1RJb08RAkmk23rGsILNJ7lpDrjb1byzUSJLqejF.pdf</t>
  </si>
  <si>
    <t>https://storage.googleapis.com/deytha-prod/payments/y55YXWy3DOkvzR5494bLa5HhQJy2RQL1uYXspP1H.pdf</t>
  </si>
  <si>
    <t>2025-05-30 17:29:37</t>
  </si>
  <si>
    <t>2025-05-30 17:09:33</t>
  </si>
  <si>
    <t>2025-05-31 12:28:49</t>
  </si>
  <si>
    <t>GUTIERREZ COLQUE JOSE LUIS</t>
  </si>
  <si>
    <t>ENMICADORA A3</t>
  </si>
  <si>
    <t>2025-06-02 17:26:00</t>
  </si>
  <si>
    <t>https://storage.googleapis.com/deytha-prod/payments/8dRa91bUyGcb1yPMSwdKYMFDc2Y6BiDYFftnlCsc.pdf</t>
  </si>
  <si>
    <t>https://storage.googleapis.com/deytha-prod/paymentBills/ZSUgoVO5Iaw0C5qENZiwJVYuOXrppIoANd0bozeS.png</t>
  </si>
  <si>
    <t>https://storage.googleapis.com/deytha-prod/supplierBills/dfVmvaOHbf9wh9uQyEQcwBJw1rye7UMzOJRqwZsP.pdf</t>
  </si>
  <si>
    <t>2025-05-30 18:08:05</t>
  </si>
  <si>
    <t>2025-05-30 13:21:45</t>
  </si>
  <si>
    <t>2025-05-31 13:06:32</t>
  </si>
  <si>
    <t xml:space="preserve">CONCRETO 210 POR 29 M3 MAS SERVICIO DE BOMB TELESCOPICA </t>
  </si>
  <si>
    <t>2025-05-30 15:17:00</t>
  </si>
  <si>
    <t>https://storage.googleapis.com/deytha-prod/payments/npL2oSVa0n4jFjzMVleHJyGtbXFEdj2xIn218pBL.pdf</t>
  </si>
  <si>
    <t>https://storage.googleapis.com/deytha-prod/paymentBills/zkjS0u8RZzf8vOFXUz6xTY1JBScb5QKFt2e32Zz7.png</t>
  </si>
  <si>
    <t>https://storage.googleapis.com/deytha-prod/supplierBills/4ora1H9oOyt6k7mjBTZOBetaRQOiCYnKIdUOn4Ku.pdf</t>
  </si>
  <si>
    <t>2025-05-30 16:06:07</t>
  </si>
  <si>
    <t>2025-05-30 11:51:05</t>
  </si>
  <si>
    <t>2025-05-30 12:05:43</t>
  </si>
  <si>
    <t>UMSO PERU S.A.C.</t>
  </si>
  <si>
    <t>285 2179022 0 09</t>
  </si>
  <si>
    <t>PAGO DE EMO PARA HUAMAN FERNANDEZ CESAR ALFREDO</t>
  </si>
  <si>
    <t>2025-05-30 15:33:00</t>
  </si>
  <si>
    <t>https://storage.googleapis.com/deytha-prod/payments/FEdgoWidNmwjIeL4ptjFgrngjFXlEsI06eslR4II.pdf</t>
  </si>
  <si>
    <t>https://storage.googleapis.com/deytha-prod/paymentBills/BXVGqvpFKBU9fx4xJ9HHs55KMUyydBnYBi9H45fb.png</t>
  </si>
  <si>
    <t>https://storage.googleapis.com/deytha-prod/supplierBills/ukbVEJnx4gVLCGYnmtfniAI8KSL9uThnF0GAyQHJ.pdf</t>
  </si>
  <si>
    <t>2025-05-30 16:18:40</t>
  </si>
  <si>
    <t>2025-05-30 12:18:29</t>
  </si>
  <si>
    <t>SERVICIOS MÉDICOS ISA E.I.R.L</t>
  </si>
  <si>
    <t>380-03295546-0-96</t>
  </si>
  <si>
    <t>PAGO DE EMO PARA QUINTANA TOMAYRO CRISTHIAN JESUS</t>
  </si>
  <si>
    <t>2025-05-30 14:14:00</t>
  </si>
  <si>
    <t>https://storage.googleapis.com/deytha-prod/payments/X58aIXSvYDJrtoxzylz8aCYEE2KPnApcOsVN1xC8.xls</t>
  </si>
  <si>
    <t>https://storage.googleapis.com/deytha-prod/paymentBills/IDgAkqXTMQwh8KS1fKfslKK7Xq8Kuad5Ylkb94ub.jpg</t>
  </si>
  <si>
    <t>https://storage.googleapis.com/deytha-prod/supplierBills/qxHV2ZFPS3a4eBC8UT30067wqeo2BUN8wQMkFGUR.pdf</t>
  </si>
  <si>
    <t>2025-05-29 20:32:40</t>
  </si>
  <si>
    <t>2025-05-29 18:35:59</t>
  </si>
  <si>
    <t>2025-05-29 16:32:33</t>
  </si>
  <si>
    <t>PAGO POR EMOS DE COPA GOMEZ AMADEO JULIO, SARDON TICONA RODRIGO LUIS Y HACHO CHOQUE JHON MICHAEL</t>
  </si>
  <si>
    <t>2025-05-30 11:08:00</t>
  </si>
  <si>
    <t>https://storage.googleapis.com/deytha-prod/payments/L2enHwarfyao8WStbMiyOM0oVqxfcOVOaR8GowrW.pdf</t>
  </si>
  <si>
    <t>https://storage.googleapis.com/deytha-prod/paymentBills/8SyIM0onQche4vOU30OYF7i2VonEZE8zD1Ux7zn8.pdf</t>
  </si>
  <si>
    <t>https://storage.googleapis.com/deytha-prod/supplierBills/pTgelGM9C8wHfYYP4D9PCGnF4PUFQSB8xizIXpTy.pdf</t>
  </si>
  <si>
    <t>2025-05-29 21:44:12</t>
  </si>
  <si>
    <t>2025-05-29 16:57:30</t>
  </si>
  <si>
    <t>2025-05-30 16:43:09</t>
  </si>
  <si>
    <t xml:space="preserve">alquiler de rodillo chupetero 03 dias </t>
  </si>
  <si>
    <t>2025-05-30 18:42:00</t>
  </si>
  <si>
    <t>https://storage.googleapis.com/deytha-prod/payments/QbZG9dWkmdb7CUTw7BpZSOFDzg7NZtaDHYubTeLt.pdf</t>
  </si>
  <si>
    <t>https://storage.googleapis.com/deytha-prod/paymentBills/wBdxhpTW3J1pjvMkpjXbGyvYUKpC9xpdTyJgp94s.png</t>
  </si>
  <si>
    <t>https://storage.googleapis.com/deytha-prod/supplierBills/4WvrXt4lxO8nnH9S3vPU6ZqRruWV6kzD80zgTAJh.pdf</t>
  </si>
  <si>
    <t>2025-05-29 21:55:09</t>
  </si>
  <si>
    <t>2025-05-30 16:54:42</t>
  </si>
  <si>
    <t xml:space="preserve"> TUBO SCH 80 DE 1" CON UL651 POR ETL 
3MTR</t>
  </si>
  <si>
    <t>2025-05-30 18:51:00</t>
  </si>
  <si>
    <t>https://storage.googleapis.com/deytha-prod/payments/1b10yK91P31kHK5LwCKHutJpsiaurdf0tjOAZMpV.pdf</t>
  </si>
  <si>
    <t>https://storage.googleapis.com/deytha-prod/paymentBills/TePFeKPsjBDCO9d0vDEmpyjIGV0oWtqLWB75655g.png</t>
  </si>
  <si>
    <t>https://storage.googleapis.com/deytha-prod/supplierBills/BmFf6FroOhak3smc1fhyKFtfCdh2Y5hm7imk4P4g.pdf</t>
  </si>
  <si>
    <t>2025-05-29 14:10:31</t>
  </si>
  <si>
    <t>2025-05-29 16:21:18</t>
  </si>
  <si>
    <t>2025-05-30 09:10:26</t>
  </si>
  <si>
    <t>LOGISTICOS E INVERSIONES  ANDALUSA</t>
  </si>
  <si>
    <t>Varillas roscada galvanizada diametro 5/8 - 
Longitud 3 Metros</t>
  </si>
  <si>
    <t>2025-05-30 18:34:00</t>
  </si>
  <si>
    <t>https://storage.googleapis.com/deytha-prod/payments/OQAUC4Hsa4li2PAEVxJ6lGkGKV9diLSfRWaYOg40.pdf</t>
  </si>
  <si>
    <t>https://storage.googleapis.com/deytha-prod/paymentBills/9IyIZVSlsOswLVR16aaBFjS9T0lQUIgaLSH4PbeY.png</t>
  </si>
  <si>
    <t>https://storage.googleapis.com/deytha-prod/supplierBills/viQs6AMs60NsDPkB8FONDHvkitLmJ20rkWizvNds.pdf</t>
  </si>
  <si>
    <t>2025-05-29 15:58:16</t>
  </si>
  <si>
    <t>2025-05-30 10:57:57</t>
  </si>
  <si>
    <t>POLO 
PANTALO 
EPPS PERSONAL DE PISO</t>
  </si>
  <si>
    <t>2025-05-30 19:13:00</t>
  </si>
  <si>
    <t>https://storage.googleapis.com/deytha-prod/payments/UUytdCRnsu1S0X3XvvRlCOTCpTPAEU7txowMFiKS.pdf</t>
  </si>
  <si>
    <t>https://storage.googleapis.com/deytha-prod/paymentBills/JYlUZPPbVdcUta008IXF1lv10Ecz2AwLpFMOWK9M.png</t>
  </si>
  <si>
    <t>https://storage.googleapis.com/deytha-prod/supplierBills/0Km5LAYQ7f9Z9Zs78WMXnAH8laBUmNcFhcrwhVR3.pdf</t>
  </si>
  <si>
    <t>2025-05-29 16:02:44</t>
  </si>
  <si>
    <t>2025-05-30 11:02:28</t>
  </si>
  <si>
    <t>MATERIALES CIVILES Y ELECTRICOS</t>
  </si>
  <si>
    <t>2025-06-04 15:16:00</t>
  </si>
  <si>
    <t>https://storage.googleapis.com/deytha-prod/payments/9rFnqIxSsjlNHSfWOjHa7LWi98Am1ZvdqBXkvDHj.pdf</t>
  </si>
  <si>
    <t>https://storage.googleapis.com/deytha-prod/paymentBills/h4jgAe0mSld7RwbTAZwgPiZEfMRa5BTpq8tBoTcB.png</t>
  </si>
  <si>
    <t>https://storage.googleapis.com/deytha-prod/supplierBills/U7T5tjEIPnkq1TqX03MZxyp6N8Zz2xtOjJHqvpoq.pdf</t>
  </si>
  <si>
    <t>2025-05-29 20:11:16</t>
  </si>
  <si>
    <t>2025-05-30 15:11:03</t>
  </si>
  <si>
    <t xml:space="preserve">servicio de alquiler de olla washington </t>
  </si>
  <si>
    <t>2025-05-29 16:50:00</t>
  </si>
  <si>
    <t>https://storage.googleapis.com/deytha-prod/payments/bLHpcBGMC52f9534SVgoDki2gkt6AFozDtsl6L1Y.pdf</t>
  </si>
  <si>
    <t>https://storage.googleapis.com/deytha-prod/paymentBills/YcEOELLWzKbt7pZqT3kg1jvgpDFjF75uKOj6yZDp.png</t>
  </si>
  <si>
    <t>https://storage.googleapis.com/deytha-prod/supplierBills/kZmV3eiC6hUTdDb5p77r0bTzcoMUVWL6VMMEuFs6.pdf</t>
  </si>
  <si>
    <t>2025-05-29 20:50:33</t>
  </si>
  <si>
    <t>2025-05-30 15:50:28</t>
  </si>
  <si>
    <t xml:space="preserve">MADERA PARA ENCOFRADO </t>
  </si>
  <si>
    <t>2025-05-30 17:58:00</t>
  </si>
  <si>
    <t>https://storage.googleapis.com/deytha-prod/payments/iMVK9B0R6ay0zkmtQ3W6wmGEQZxeRYzhAQcXu7zT.pdf</t>
  </si>
  <si>
    <t>https://storage.googleapis.com/deytha-prod/paymentBills/FH2q7dSjDmjzliPVPw50PTKeCTX52qRvIszcdRro.png</t>
  </si>
  <si>
    <t>https://storage.googleapis.com/deytha-prod/supplierBills/yhTkZQ6Vw5WMSA35HfPnIUtgY9mcxzFDsVjsPk4i.pdf</t>
  </si>
  <si>
    <t>2025-05-27 19:34:56</t>
  </si>
  <si>
    <t>2025-05-29 13:16:26</t>
  </si>
  <si>
    <t>2025-05-28 14:34:48</t>
  </si>
  <si>
    <t>TRASLADO DE CONTENEDOR METALICO FECHA 17-05-2025</t>
  </si>
  <si>
    <t>2025-05-30 19:29:00</t>
  </si>
  <si>
    <t>https://storage.googleapis.com/deytha-prod/payments/xMxSh6lFnRIDb9PjVkuIyAKdVaZY4k9FcC1cl8NP.pdf</t>
  </si>
  <si>
    <t>https://storage.googleapis.com/deytha-prod/paymentBills/afUO1p2ME4x4ioB4IaBqOXvr8WLzFhfoToZmADa9.pdf</t>
  </si>
  <si>
    <t>https://storage.googleapis.com/deytha-prod/supplierBills/Oto2snTEqLdA97I2edrsp8wSdooHHNlYN1TP4BRM.pdf</t>
  </si>
  <si>
    <t>2025-05-27 19:40:06</t>
  </si>
  <si>
    <t>2025-05-28 14:40:00</t>
  </si>
  <si>
    <t>TRASLADO DE CONTENEDOR PARA EL D2 FECHA 17/05/2025</t>
  </si>
  <si>
    <t>https://storage.googleapis.com/deytha-prod/payments/8UXv2aaLwuwPb4UzTvAVhmyjmnIi9ShmpPhIWGYx.pdf</t>
  </si>
  <si>
    <t>https://storage.googleapis.com/deytha-prod/paymentBills/TxGkExTCg5HKqwv86P8hi92jH2V9lRfE8qR4gslb.pdf</t>
  </si>
  <si>
    <t>https://storage.googleapis.com/deytha-prod/supplierBills/Y5hbHpLDh2kkS8CL7arC1U3W4M1kzuzO0LTIvEBw.pdf</t>
  </si>
  <si>
    <t>2025-05-29 17:25:52</t>
  </si>
  <si>
    <t>2025-05-30 12:25:39</t>
  </si>
  <si>
    <t xml:space="preserve">ALIMENTACION EN MOQUEGUA PARA PERSONAL </t>
  </si>
  <si>
    <t>2025-05-30 19:01:00</t>
  </si>
  <si>
    <t>https://storage.googleapis.com/deytha-prod/payments/B6R1J0OpVArNt7QzeZSn0sT1f0tIqWcWWO5zQf52.pdf</t>
  </si>
  <si>
    <t>https://storage.googleapis.com/deytha-prod/paymentBills/8XZMS7QruqPdCtdXjeoQrPjfTkphXRXouKQFdG4m.png</t>
  </si>
  <si>
    <t>https://storage.googleapis.com/deytha-prod/supplierBills/rmioWwAkZZpsdXDHtaI8k5y6bMuR2FqRLNM6aMTo.pdf</t>
  </si>
  <si>
    <t>2025-05-29 17:57:51</t>
  </si>
  <si>
    <t>2025-05-29 13:06:44</t>
  </si>
  <si>
    <t>2025-05-29 13:57:38</t>
  </si>
  <si>
    <t>PAGO POR EMO DE VILCA MAMANI RENE</t>
  </si>
  <si>
    <t>2025-05-29 15:40:00</t>
  </si>
  <si>
    <t>https://storage.googleapis.com/deytha-prod/payments/iyG5RUwAGwMqpw8aWrP4JmGWsGmhcdkDl8vUMwr2.pdf</t>
  </si>
  <si>
    <t>https://storage.googleapis.com/deytha-prod/paymentBills/ke2LK6ou8V13GtveiRdcVvttmk2HtQRaeQprKhkQ.png</t>
  </si>
  <si>
    <t>https://storage.googleapis.com/deytha-prod/supplierBills/iFZOFik30a3yw6TvRjm2Nk2IcUixjwMsxZm2VCQn.pdf</t>
  </si>
  <si>
    <t>2025-05-27 23:29:08</t>
  </si>
  <si>
    <t>2025-05-27 23:02:07</t>
  </si>
  <si>
    <t>2025-05-28 10:28:54</t>
  </si>
  <si>
    <t>PAGO EMO DE BOCANEGRA SANCHEZ JONATHAN EDSON</t>
  </si>
  <si>
    <t>2025-05-28 16:07:00</t>
  </si>
  <si>
    <t>https://storage.googleapis.com/deytha-prod/payments/NWDtqsXHcNA9ccdFWassEnjAi1w16Wlw2qwUsp5g.xlsx</t>
  </si>
  <si>
    <t>https://storage.googleapis.com/deytha-prod/paymentBills/7YG3A12XowYUJsZARHfDvVO78TPEOP2QwtBTqtcf.png</t>
  </si>
  <si>
    <t>https://storage.googleapis.com/deytha-prod/supplierBills/4Owbq4Z1ClOqXwxItB4KgVgemzGNTl6Kr7lTS1WW.pdf</t>
  </si>
  <si>
    <t>2025-05-27 21:47:05</t>
  </si>
  <si>
    <t>2025-05-27 18:50:30</t>
  </si>
  <si>
    <t>2025-05-28 16:46:25</t>
  </si>
  <si>
    <t>LUMINARIAS Y TUBOS</t>
  </si>
  <si>
    <t>2025-05-28 17:19:00</t>
  </si>
  <si>
    <t>https://storage.googleapis.com/deytha-prod/payments/YbTWpOElCBJQX4iyYDgdZe9z2S2QYxS9lHC5Uepi.pdf</t>
  </si>
  <si>
    <t>https://storage.googleapis.com/deytha-prod/paymentBills/dIqwzrh3H7Uk5nK0DxhcotBzSQ1Vl7XyKYsQ1LRu.png</t>
  </si>
  <si>
    <t>https://storage.googleapis.com/deytha-prod/supplierBills/XEWCvUOHnwt7L9kM7iVgJQbAPhInjuxks7GyzXHX.pdf</t>
  </si>
  <si>
    <t>2025-05-27 22:15:26</t>
  </si>
  <si>
    <t>2025-05-28 17:15:05</t>
  </si>
  <si>
    <t xml:space="preserve">COMBUSTIBLE SAMEGUA </t>
  </si>
  <si>
    <t>2025-05-28 18:20:00</t>
  </si>
  <si>
    <t>https://storage.googleapis.com/deytha-prod/payments/Isz5fEdcg4K9toJKWBNdEcDR40mrTs39euGHlNcG.pdf</t>
  </si>
  <si>
    <t>https://storage.googleapis.com/deytha-prod/paymentBills/VpnZkr8c5IRESgYPMHReW6Q4XOfJDGCd6JkrOBkS.png</t>
  </si>
  <si>
    <t>https://storage.googleapis.com/deytha-prod/supplierBills/dmI4ZdhkFVIYYvB8cGxU8FzE9MYwYSPYngZAIJvf.pdf</t>
  </si>
  <si>
    <t>2025-05-27 22:30:51</t>
  </si>
  <si>
    <t>2025-05-28 17:30:48</t>
  </si>
  <si>
    <t>2025-05-28 18:11:00</t>
  </si>
  <si>
    <t>https://storage.googleapis.com/deytha-prod/payments/CcWHC8TXPHdwT1rg9OWQnzFpAWuL4hktJYzxIsqk.jpg</t>
  </si>
  <si>
    <t>https://storage.googleapis.com/deytha-prod/paymentBills/1LM09KUHp1bDQ2GpOSFtNSHFyh62hUd64Kn0LQd8.png</t>
  </si>
  <si>
    <t>https://storage.googleapis.com/deytha-prod/supplierBills/M3nE6TURlC6hX0zUJxuJzvG0JLAPN1iyldAcR9s3.pdf</t>
  </si>
  <si>
    <t>2025-05-27 21:33:39</t>
  </si>
  <si>
    <t>2025-05-27 16:57:51</t>
  </si>
  <si>
    <t>2025-05-28 16:33:27</t>
  </si>
  <si>
    <t xml:space="preserve">COMPRA DE PASAJE PARA EL NUEVO ING. SSOMA </t>
  </si>
  <si>
    <t>2025-05-27 16:27:00</t>
  </si>
  <si>
    <t>https://storage.googleapis.com/deytha-prod/payments/FAkEXOAPF3VwgU6fe0bmTwnJtd9SFwsW9RZCsi7x.png</t>
  </si>
  <si>
    <t>https://storage.googleapis.com/deytha-prod/paymentBills/iIqXT7x5JbHs3JkVOxtiNW3gEoComUe1CcfuVMa5.pdf</t>
  </si>
  <si>
    <t>https://storage.googleapis.com/deytha-prod/supplierBills/rOuRPyiVZViT2P06cgE3BnMVaAMbDiWRAvuprP5k.pdf</t>
  </si>
  <si>
    <t>2025-05-23 22:10:11</t>
  </si>
  <si>
    <t>2025-05-27 12:23:21</t>
  </si>
  <si>
    <t>2025-05-24 17:09:31</t>
  </si>
  <si>
    <t>Alquiler De Rodillo Husqvarna</t>
  </si>
  <si>
    <t>2025-05-28 18:26:00</t>
  </si>
  <si>
    <t>https://storage.googleapis.com/deytha-prod/payments/RydMAjn7nRZGJCwiEtqL6JRW6Nvmel2lCLEKhqPm.pdf</t>
  </si>
  <si>
    <t>https://storage.googleapis.com/deytha-prod/paymentBills/Q2NfHIpaVAKuFhFE0P9MFLp5B8E9wcLFCve6aYjr.png</t>
  </si>
  <si>
    <t>https://storage.googleapis.com/deytha-prod/supplierBills/dYeAdxYReDSrHU2PkGe30E7VCKhnwvHvxR8FQv23.pdf</t>
  </si>
  <si>
    <t>2025-05-27 13:30:50</t>
  </si>
  <si>
    <t>2025-05-27 10:54:07</t>
  </si>
  <si>
    <t>2025-05-28 08:30:19</t>
  </si>
  <si>
    <t>Alquiler de Excavadora 336 con martillo por 4 días.</t>
  </si>
  <si>
    <t>2025-06-05 18:09:00</t>
  </si>
  <si>
    <t>https://storage.googleapis.com/deytha-prod/payments/lgmUVJOl0N4RixSAzTTgZ4HoGhDKjLEGSWnGkjOe.pdf</t>
  </si>
  <si>
    <t>https://storage.googleapis.com/deytha-prod/paymentBills/lc6QkkC6dgjbINVDBYRUQWQOCPx6aPKun7vXt60H.png</t>
  </si>
  <si>
    <t>https://storage.googleapis.com/deytha-prod/supplierBills/m71SystWh69oXTzCDjRnGV4QPKbXlkHtU4vRboca.pdf</t>
  </si>
  <si>
    <t>2025-05-27 14:24:25</t>
  </si>
  <si>
    <t>2025-05-28 09:23:54</t>
  </si>
  <si>
    <t>Traslado de Excavadora de Arequipa a Cuajone.</t>
  </si>
  <si>
    <t>2025-06-05 18:18:00</t>
  </si>
  <si>
    <t>https://storage.googleapis.com/deytha-prod/payments/FE4rMB4UqEtYYWx6xKoUFWJ1ZmBAohO4k6Mka0fv.pdf</t>
  </si>
  <si>
    <t>https://storage.googleapis.com/deytha-prod/paymentBills/1lqMMJpjvwXZSY0oNOgZJCORWBQ0ZplBhpyG09fP.png</t>
  </si>
  <si>
    <t>https://storage.googleapis.com/deytha-prod/supplierBills/jBa9CPHY1GfbdLLU2fWIObSll9ZFpcYpb4lacp1O.pdf</t>
  </si>
  <si>
    <t>2025-05-26 23:16:53</t>
  </si>
  <si>
    <t>2025-05-26 18:51:23</t>
  </si>
  <si>
    <t>2025-05-26 19:16:33</t>
  </si>
  <si>
    <t>PAGO POR EMO DE TAPIA LAMCHOG JESÚS ALONSO</t>
  </si>
  <si>
    <t>2025-05-27 09:29:00</t>
  </si>
  <si>
    <t>https://storage.googleapis.com/deytha-prod/payments/SXl9usCJPrTmE0w1DKNGq5WUe7VzMQHl5GegSRSP.pdf</t>
  </si>
  <si>
    <t>https://storage.googleapis.com/deytha-prod/paymentBills/vMcqX2qnMDE80lu39hC6leuiPr5YzjonLAlYNyEn.png</t>
  </si>
  <si>
    <t>https://storage.googleapis.com/deytha-prod/supplierBills/4rzeJ8qesJF5RknpcwyoAcXN6vn6UQs0Ox4wv6fs.pdf</t>
  </si>
  <si>
    <t>2025-05-26 16:57:54</t>
  </si>
  <si>
    <t>2025-05-26 17:31:15</t>
  </si>
  <si>
    <t>2025-05-26 12:57:45</t>
  </si>
  <si>
    <t>PAGO POR EMO DE CONDORI CUTIPA DANIEL RICHARD</t>
  </si>
  <si>
    <t>2025-05-27 09:35:00</t>
  </si>
  <si>
    <t>https://storage.googleapis.com/deytha-prod/payments/k1QueThUU2VipHBKtyYylhmK282wMB2L6CawGtQk.png</t>
  </si>
  <si>
    <t>https://storage.googleapis.com/deytha-prod/paymentBills/NyijhOFkoGnCeORW1eZsmrq2hwTDu7cliMflVat0.png</t>
  </si>
  <si>
    <t>https://storage.googleapis.com/deytha-prod/supplierBills/5CAPdfETltLN1xXaHFNyGgqdyRD2SXq8wVljb4JT.pdf</t>
  </si>
  <si>
    <t>2025-05-26 03:28:17</t>
  </si>
  <si>
    <t>2025-05-26 13:30:36</t>
  </si>
  <si>
    <t>2025-05-27 13:28:05</t>
  </si>
  <si>
    <t xml:space="preserve">LETREROS DE RESIDUOS SOLIDOS </t>
  </si>
  <si>
    <t>2025-05-26 18:14:00</t>
  </si>
  <si>
    <t>https://storage.googleapis.com/deytha-prod/payments/Z7jTUm67ebnGb3pBXI8rkEZCCwfkKbDftmfTUg89.pdf</t>
  </si>
  <si>
    <t>https://storage.googleapis.com/deytha-prod/paymentBills/VPoxdW7qQqhhwvbF5hbcz8b0c9VfwjSuNXIxTmSY.png</t>
  </si>
  <si>
    <t>https://storage.googleapis.com/deytha-prod/supplierBills/lVbDzYqS4toIFVlHO6aYAWvXszTDBqZU6ojDi59Q.pdf</t>
  </si>
  <si>
    <t>2025-05-26 15:27:13</t>
  </si>
  <si>
    <t>2025-05-27 10:27:09</t>
  </si>
  <si>
    <t xml:space="preserve">SIKA Y CHEMALAC </t>
  </si>
  <si>
    <t>2025-05-26 17:15:00</t>
  </si>
  <si>
    <t>https://storage.googleapis.com/deytha-prod/payments/yuW76tMuoOcFeKR5qEJpZC3KiKVbO6cQH0nITt9b.pdf</t>
  </si>
  <si>
    <t>https://storage.googleapis.com/deytha-prod/paymentBills/oAWkGg0SbdDpZrySpov0aY3qSMzOCVU9Rq8zoXCJ.png</t>
  </si>
  <si>
    <t>https://storage.googleapis.com/deytha-prod/supplierBills/s3pwKkUlngPTND3vLjT0CKm1UNDLcC2QWJX1cwlJ.pdf</t>
  </si>
  <si>
    <t>2025-05-26 15:46:05</t>
  </si>
  <si>
    <t>2025-05-27 10:45:59</t>
  </si>
  <si>
    <t xml:space="preserve">FIERRO CEMENTO </t>
  </si>
  <si>
    <t>2025-05-27 15:42:00</t>
  </si>
  <si>
    <t>https://storage.googleapis.com/deytha-prod/payments/tX3vYbDy9l0a2tnBk2Uvzh70M2QC41iDjQqnMESA.pdf</t>
  </si>
  <si>
    <t>https://storage.googleapis.com/deytha-prod/paymentBills/1OU7qQOatifrNxik3ELLUcvtNswYjeHrneuih3yI.png</t>
  </si>
  <si>
    <t>https://storage.googleapis.com/deytha-prod/supplierBills/TDGu0VkZGJ3V4MMczl6t1mqrLOQK6avWYHn78udz.pdf</t>
  </si>
  <si>
    <t>2025-05-26 15:50:30</t>
  </si>
  <si>
    <t>2025-05-27 10:50:28</t>
  </si>
  <si>
    <t xml:space="preserve">TUBERIA ELECTRICA </t>
  </si>
  <si>
    <t>2025-05-26 18:03:00</t>
  </si>
  <si>
    <t>https://storage.googleapis.com/deytha-prod/payments/0InS7pYsL1oQxOJO3JRWO0wvyJsbccIDR8aBinp4.pdf</t>
  </si>
  <si>
    <t>https://storage.googleapis.com/deytha-prod/paymentBills/lzicYjpgcRIaTNIGIpx0thnO5j17NThWhu80KLTm.png</t>
  </si>
  <si>
    <t>https://storage.googleapis.com/deytha-prod/supplierBills/WwB0ZH926d6SMGVt3T9BBLSmY7qJKovFEQeqDy1z.pdf</t>
  </si>
  <si>
    <t>2025-05-26 13:42:34</t>
  </si>
  <si>
    <t>2025-05-26 09:44:58</t>
  </si>
  <si>
    <t>2025-05-26 09:42:27</t>
  </si>
  <si>
    <t>PAGO POR EMO DE JIMENEZ MAMANI DAVID JORGE</t>
  </si>
  <si>
    <t>2025-05-26 10:31:00</t>
  </si>
  <si>
    <t>https://storage.googleapis.com/deytha-prod/payments/8Ouf5dbjCLn0Q3whwFAaCvPLk2Dj9fbScS660xyD.xlsx</t>
  </si>
  <si>
    <t>https://storage.googleapis.com/deytha-prod/paymentBills/cTyOpumx0FrJ6qS9Yij2X7QhXD2XebzZm6ZAmvE5.png</t>
  </si>
  <si>
    <t>https://storage.googleapis.com/deytha-prod/supplierBills/CnpyHZwrdaS4EPEfm84YpJBT2cqDDkSqOhp2ILBD.pdf</t>
  </si>
  <si>
    <t>2025-05-26 13:54:27</t>
  </si>
  <si>
    <t>2025-05-26 09:54:22</t>
  </si>
  <si>
    <t>PAGO POR EMO DE TELLEZ VARGAS HIGINIO ALEJANDRO</t>
  </si>
  <si>
    <t>2025-05-26 10:52:00</t>
  </si>
  <si>
    <t>https://storage.googleapis.com/deytha-prod/payments/mS7ELFyl06Cz2YzenYBNx6TVYRS71SPAtu2WDnyg.pdf</t>
  </si>
  <si>
    <t>https://storage.googleapis.com/deytha-prod/paymentBills/nQf9e8fq9mj3tL4wkk7AmDL7UMtPO072YUwZraUG.pdf</t>
  </si>
  <si>
    <t>https://storage.googleapis.com/deytha-prod/supplierBills/F4o4R9dYU6pvKxbQIILjbSOCl0Ih6eU1X4hLiU9I.pdf</t>
  </si>
  <si>
    <t>2025-05-23 20:46:22</t>
  </si>
  <si>
    <t>2025-05-23 18:04:03</t>
  </si>
  <si>
    <t>2025-05-23 16:46:14</t>
  </si>
  <si>
    <t>PAGO POR EMO DE CAPA MAQUE MARCO</t>
  </si>
  <si>
    <t>2025-05-23 18:50:00</t>
  </si>
  <si>
    <t>https://storage.googleapis.com/deytha-prod/payments/daUuKyFSpeO9iTToEoHAcyRmvh3ktQgLCadhvIBn.pdf</t>
  </si>
  <si>
    <t>https://storage.googleapis.com/deytha-prod/paymentBills/DPYBJmLpoE2J3D2dUvaFHcAfXyYAjmsKeBe8lyFn.png</t>
  </si>
  <si>
    <t>https://storage.googleapis.com/deytha-prod/supplierBills/9dxTU1jt0ybM9mGWiOu0L9RkkTJtZ0rdtnwmeJSM.pdf</t>
  </si>
  <si>
    <t>2025-05-23 19:25:18</t>
  </si>
  <si>
    <t>2025-05-23 14:37:05</t>
  </si>
  <si>
    <t>2025-05-24 14:24:18</t>
  </si>
  <si>
    <t>COMPRA DE 15M3 DE MATERIAL DE RELLENO INCLUYE VOLQUETE PARA TRASLADO</t>
  </si>
  <si>
    <t>2025-05-23 19:03:00</t>
  </si>
  <si>
    <t>https://storage.googleapis.com/deytha-prod/payments/fJmdW59bQ9BSeIWjgHLPsCRzMcQ7X4lxLuD1DNM2.pdf</t>
  </si>
  <si>
    <t>https://storage.googleapis.com/deytha-prod/paymentBills/vgchmUWhyLemDfRklpEYKILUOboLv2glqawlmoLL.png</t>
  </si>
  <si>
    <t>https://storage.googleapis.com/deytha-prod/supplierBills/wekMcsrVcM2oWnc2UUyQIhRNr76WOmUYsBqCgyhj.pdf</t>
  </si>
  <si>
    <t>2025-05-23 19:29:35</t>
  </si>
  <si>
    <t>2025-05-24 14:29:33</t>
  </si>
  <si>
    <t xml:space="preserve">COMPRA DE 15M3 DE PIEDRA CHANCADA MAS VOLQUETE DE TRASLADO </t>
  </si>
  <si>
    <t>2025-05-23 16:54:00</t>
  </si>
  <si>
    <t>https://storage.googleapis.com/deytha-prod/payments/OKVL2wKoXMIIqehUoc2FFM5TkrEMSfQQWcBT5ZRi.pdf</t>
  </si>
  <si>
    <t>https://storage.googleapis.com/deytha-prod/paymentBills/THEuRv1KBKhaTOig5dqcYKSmH8p1S2jIRhbFv57M.png</t>
  </si>
  <si>
    <t>https://storage.googleapis.com/deytha-prod/supplierBills/93Ldf7mI1G5CA5WPb2wMtfb8vJEFUN0v0Hs8Fgb5.pdf</t>
  </si>
  <si>
    <t>2025-05-22 21:24:04</t>
  </si>
  <si>
    <t>2025-05-23 10:46:16</t>
  </si>
  <si>
    <t>2025-05-23 16:23:48</t>
  </si>
  <si>
    <t>COMBTIBLE PARA UNIDADES Y GENERADORE</t>
  </si>
  <si>
    <t>2025-05-23 11:33:00</t>
  </si>
  <si>
    <t>https://storage.googleapis.com/deytha-prod/payments/GJKHop4vPe1i8WU6wH1f5Ow2q7AcZdLkKZk76thA.pdf</t>
  </si>
  <si>
    <t>https://storage.googleapis.com/deytha-prod/paymentBills/TqSQWsi0PLz2zO8els8LF1h0c3vnilyISl8QHdBr.png</t>
  </si>
  <si>
    <t>https://storage.googleapis.com/deytha-prod/supplierBills/GHlxfVUucs0DopLAQWOG0VgXyqh0G2VgHbIRtvvp.pdf</t>
  </si>
  <si>
    <t>2025-05-22 21:31:47</t>
  </si>
  <si>
    <t>2025-05-23 16:31:46</t>
  </si>
  <si>
    <t>Bordado de chalecos pecho y 
espalda
Pantalon drill 1 solo bordado</t>
  </si>
  <si>
    <t>2025-05-23 18:35:00</t>
  </si>
  <si>
    <t>https://storage.googleapis.com/deytha-prod/payments/kj2T15lU6t0wiy0U2oQpuUplV9UPcpLgSb2DeMGP.pdf</t>
  </si>
  <si>
    <t>https://storage.googleapis.com/deytha-prod/paymentBills/i214Cy0oAW3LsrVCQCGCHd8GPfK1QYW6ykHlyzhi.png</t>
  </si>
  <si>
    <t>https://storage.googleapis.com/deytha-prod/supplierBills/OUzDjFBTirTLTTmcF430IAkOtzTNVXTQrSIUC6BE.pdf</t>
  </si>
  <si>
    <t>2025-05-22 22:13:57</t>
  </si>
  <si>
    <t>2025-05-23 17:13:53</t>
  </si>
  <si>
    <t xml:space="preserve">MATERIALES DE ESCRITORIO </t>
  </si>
  <si>
    <t>2025-05-23 18:24:00</t>
  </si>
  <si>
    <t>https://storage.googleapis.com/deytha-prod/payments/cId5VS4a64sRYRH8I1pPPUrpo9rBitphe3oOLsfm.pdf</t>
  </si>
  <si>
    <t>https://storage.googleapis.com/deytha-prod/paymentBills/KeTeJS2OA6Rucn1oUgjZR2WXWHMiwp2ZIpxUVdTe.png</t>
  </si>
  <si>
    <t>https://storage.googleapis.com/deytha-prod/supplierBills/N1rPnCXSZ0piJP1A3ZdTJXDfKXl89iLYtqJl6wl9.pdf</t>
  </si>
  <si>
    <t>2025-05-23 15:24:11</t>
  </si>
  <si>
    <t>2025-05-24 10:23:24</t>
  </si>
  <si>
    <t xml:space="preserve"> MARTILLO DEMOLEDOR 1700 WATTS</t>
  </si>
  <si>
    <t>2025-05-23 18:40:00</t>
  </si>
  <si>
    <t>https://storage.googleapis.com/deytha-prod/payments/NHGW3WIzWW8jhdxZbWfWjDUCIpDJVtZmuEGoerR8.pdf</t>
  </si>
  <si>
    <t>https://storage.googleapis.com/deytha-prod/paymentBills/c3VuZYjk5gGWzgkt8wJspxPmrF1UrlA4H671Yks3.png</t>
  </si>
  <si>
    <t>https://storage.googleapis.com/deytha-prod/supplierBills/L7pNgXTP13GLyo6OzmdXnptLDvlzeQYCvsqbma2g.pdf</t>
  </si>
  <si>
    <t>2025-05-21 19:52:13</t>
  </si>
  <si>
    <t>2025-05-22 16:11:19</t>
  </si>
  <si>
    <t>2025-05-21 15:52:05</t>
  </si>
  <si>
    <t>PAGO POR EMO DE CRUZ CHAPI RONY ELSON</t>
  </si>
  <si>
    <t>2025-05-22 17:07:00</t>
  </si>
  <si>
    <t>https://storage.googleapis.com/deytha-prod/payments/BHQP7SJN4zzSb67oSm1beZsAJDy2JKaxy2UctVQL.pdf</t>
  </si>
  <si>
    <t>https://storage.googleapis.com/deytha-prod/paymentBills/kf1K2ywjfMicdyA4fm6g5lU3o5zpUuvgJg0nQCmP.png</t>
  </si>
  <si>
    <t>https://storage.googleapis.com/deytha-prod/supplierBills/BZheuMB7NWmsox7O1MUNWsQ8Zz0OY2J1vAX0c9Sx.pdf</t>
  </si>
  <si>
    <t>2025-05-21 16:54:33</t>
  </si>
  <si>
    <t>2025-05-21 16:32:00</t>
  </si>
  <si>
    <t xml:space="preserve">Pago RQF-D:196(1 / 2) | BLOQUETA HUECO DE 0.20*0.20*0.40 </t>
  </si>
  <si>
    <t>2025-05-23 10:40:00</t>
  </si>
  <si>
    <t>https://storage.googleapis.com/deytha-prod/paymentBills/0DlgWi3ATAYP2jYqfYgDlWWJVnd5xaxMm9nBI5Bp.png</t>
  </si>
  <si>
    <t>https://storage.googleapis.com/deytha-prod/supplierBills/lfMAZOpWdH10zXsZQinSaVcvKqPGmlJXzBLz5hTx.pdf</t>
  </si>
  <si>
    <t>2025-05-21 19:40:24</t>
  </si>
  <si>
    <t>2025-05-21 16:17:34</t>
  </si>
  <si>
    <t>2025-05-22 14:40:06</t>
  </si>
  <si>
    <t>ALQUILER APISONADOR TIPO CANGURO-MARCA DEREK MOTORS, MOTOR HONDA SERIE SHK GCAWH-1681819</t>
  </si>
  <si>
    <t>2025-05-23 17:46:00</t>
  </si>
  <si>
    <t>https://storage.googleapis.com/deytha-prod/payments/OKCsuTkE03MEwgriiZ2EYCpxdmEQBC609xfP8ZWf.pdf</t>
  </si>
  <si>
    <t>https://storage.googleapis.com/deytha-prod/paymentBills/Q5tv7erP15xIYiVqfOMgdVHiJB08zjQsJZcoSBoY.png</t>
  </si>
  <si>
    <t>https://storage.googleapis.com/deytha-prod/supplierBills/1KhmTktDUlSOQ0a4ZD5VHbkozO43A7JcnKThjREu.pdf</t>
  </si>
  <si>
    <t>2025-05-21 21:00:15</t>
  </si>
  <si>
    <t>2025-05-22 15:59:28</t>
  </si>
  <si>
    <t xml:space="preserve">Pago de alquiler de Van por 11 días del mes de Mayo </t>
  </si>
  <si>
    <t>2025-05-21 17:38:00</t>
  </si>
  <si>
    <t>https://storage.googleapis.com/deytha-prod/payments/Ex17qrRH5bwqRGEYcpnjFB25GNU6B7wfzQliHNhS.pdf</t>
  </si>
  <si>
    <t>https://storage.googleapis.com/deytha-prod/paymentBills/Q61njMqM53Uq7WY9m8LAKa9JKAR0VpB0xowqoCzr.png</t>
  </si>
  <si>
    <t>https://storage.googleapis.com/deytha-prod/supplierBills/8h8560rg8Lm8dDFppHknFnp9326IUOqGokj5eoRj.pdf</t>
  </si>
  <si>
    <t>2025-05-21 15:24:44</t>
  </si>
  <si>
    <t>2025-05-21 13:18:29</t>
  </si>
  <si>
    <t>2025-05-22 10:24:10</t>
  </si>
  <si>
    <t>materiales varios
herramientas</t>
  </si>
  <si>
    <t>2025-05-21 16:09:00</t>
  </si>
  <si>
    <t>https://storage.googleapis.com/deytha-prod/payments/6GlEoJvdxWjosyeO41TbtdEQSRh6RMsCXd0oxTGK.pdf</t>
  </si>
  <si>
    <t>https://storage.googleapis.com/deytha-prod/paymentBills/JGkLaGIxa8HhvI59SOaC98GOzsrcrtfMFKEoHvWi.png</t>
  </si>
  <si>
    <t>https://storage.googleapis.com/deytha-prod/supplierBills/dSmY5YsbA9zesFIxqhVOYXtBawBwmgvAdgNxbyc9.pdf</t>
  </si>
  <si>
    <t>2025-05-21 15:28:01</t>
  </si>
  <si>
    <t>2025-05-22 10:27:30</t>
  </si>
  <si>
    <t>implementos para ssoma
tachos,lavaojos,pedestal</t>
  </si>
  <si>
    <t>2025-05-21 17:59:00</t>
  </si>
  <si>
    <t>https://storage.googleapis.com/deytha-prod/payments/24O627zAAVtsigWTVNBGkIjVB5twwPFkLS4atEe0.pdf</t>
  </si>
  <si>
    <t>https://storage.googleapis.com/deytha-prod/paymentBills/TDVJSxAXiPSfc5pKd7o77zx1NbO92HEgEDrZCYCQ.png</t>
  </si>
  <si>
    <t>https://storage.googleapis.com/deytha-prod/supplierBills/Kh95BWpK7xswgfX8Ofe6n5NtgPC7nEwDVdqm5D5P.pdf</t>
  </si>
  <si>
    <t>2025-05-21 15:31:57</t>
  </si>
  <si>
    <t>2025-05-22 10:31:38</t>
  </si>
  <si>
    <t>materiales para el área eléctrica 
cable,bentonita,molde para soldadura,etc.</t>
  </si>
  <si>
    <t>2025-05-22 12:26:00</t>
  </si>
  <si>
    <t>https://storage.googleapis.com/deytha-prod/payments/HuEyEjjhAGFap4Laj4vH3k4xQ0aas3ZXehDN0wM9.pdf</t>
  </si>
  <si>
    <t>https://storage.googleapis.com/deytha-prod/paymentBills/8zKitFx0C5O55ZcEF13UxvvJwrrFoiDS0oUf8k9U.png</t>
  </si>
  <si>
    <t>https://storage.googleapis.com/deytha-prod/supplierBills/0bar6JYBQnx1FF3Dfc2y4ZucosHGltSQ2mX35DeU.pdf</t>
  </si>
  <si>
    <t>2025-05-21 17:17:23</t>
  </si>
  <si>
    <t>2025-05-21 12:34:34</t>
  </si>
  <si>
    <t>2025-05-22 12:17:01</t>
  </si>
  <si>
    <t>Baño ejecutivo con lavamanos/Lavamanos para zona A3</t>
  </si>
  <si>
    <t>2025-05-22 15:48:00</t>
  </si>
  <si>
    <t>https://storage.googleapis.com/deytha-prod/payments/y1CtJlfTRx9kg4UsqFLbkYxGh2sFICE6FRWwZTBn.pdf</t>
  </si>
  <si>
    <t>https://storage.googleapis.com/deytha-prod/paymentBills/6UzBSUuTxMDTX5LgjGeBg5NxBBovbPwgzq9CAmlq.png</t>
  </si>
  <si>
    <t>https://storage.googleapis.com/deytha-prod/supplierBills/JwdafvunBaKrm2emZDUSwaaDdUfhlbhsmRfSiBSH.pdf</t>
  </si>
  <si>
    <t>2025-05-21 17:19:01</t>
  </si>
  <si>
    <t>2025-05-22 12:18:42</t>
  </si>
  <si>
    <t xml:space="preserve">Alquiler de Baño ejecutivo con lavamanos para Dama zona Dispatch 2 </t>
  </si>
  <si>
    <t>2025-05-22 15:38:00</t>
  </si>
  <si>
    <t>https://storage.googleapis.com/deytha-prod/payments/r04bZz5chGaWV59XaSZaVlOKwVmBpWRXaTA4qROZ.pdf</t>
  </si>
  <si>
    <t>https://storage.googleapis.com/deytha-prod/paymentBills/u4iBDXzlV3a8YBvm4H8gnCPQ7sZmz5DuFrLHlKZx.png</t>
  </si>
  <si>
    <t>https://storage.googleapis.com/deytha-prod/supplierBills/F2UyxiKEwcK07q6pKs9sWPocptfzjZOQ2IZWQuuP.pdf</t>
  </si>
  <si>
    <t>2025-05-20 22:44:26</t>
  </si>
  <si>
    <t>2025-05-20 17:46:50</t>
  </si>
  <si>
    <t>2025-05-20 18:44:11</t>
  </si>
  <si>
    <t>PAGO DE EMO PARA FLORES VASQUEZ SOLEDAD ROSARIO</t>
  </si>
  <si>
    <t>2025-05-21 11:34:00</t>
  </si>
  <si>
    <t>https://storage.googleapis.com/deytha-prod/payments/SduFA4Zxy7x21r30O3EGjX6AvuujunKcBRUpcyMH.pdf</t>
  </si>
  <si>
    <t>https://storage.googleapis.com/deytha-prod/paymentBills/6TMnRaXDDLTtZaqGgFxkaL1ePUJdLBQIjiuTNbEQ.pdf</t>
  </si>
  <si>
    <t>https://storage.googleapis.com/deytha-prod/supplierBills/C2IEdHBxCppOocmLT6xJ7w2LxoXQaEodbvFOQPo4.pdf</t>
  </si>
  <si>
    <t>2025-05-19 17:35:02</t>
  </si>
  <si>
    <t>2025-05-20 10:17:25</t>
  </si>
  <si>
    <t>2025-05-20 12:34:55</t>
  </si>
  <si>
    <t>G &amp; L EQUILAB E.I.R.L.</t>
  </si>
  <si>
    <t>191-71027191-0-35</t>
  </si>
  <si>
    <t xml:space="preserve">EQUIPO SPEDDY 
AREA CALIDAD 
BALANZA </t>
  </si>
  <si>
    <t>2025-05-20 12:51:00</t>
  </si>
  <si>
    <t>https://storage.googleapis.com/deytha-prod/payments/azb4jbE7jcHfDsDiDQg5JV8KDI2ag2YBdLE6r1J5.pdf</t>
  </si>
  <si>
    <t>https://storage.googleapis.com/deytha-prod/paymentBills/gxOmESBym8pu7hp56zpiOXkkuuZBIaVSgsqtGVqL.png</t>
  </si>
  <si>
    <t>https://storage.googleapis.com/deytha-prod/supplierBills/PM6ckS9xx9Z6GoPyHvXmWClDGmuQiI3Do3prDm2U.pdf</t>
  </si>
  <si>
    <t>2025-05-19 19:09:18</t>
  </si>
  <si>
    <t>2025-05-20 14:09:06</t>
  </si>
  <si>
    <t xml:space="preserve">ALIMENTACION EN MOQUEGUA SEMANA 02 </t>
  </si>
  <si>
    <t>2025-05-20 15:01:00</t>
  </si>
  <si>
    <t>https://storage.googleapis.com/deytha-prod/payments/8fQpXYSlZWHJbPVeKXqRBYpMSeAms9MoywU8H3Dj.pdf</t>
  </si>
  <si>
    <t>https://storage.googleapis.com/deytha-prod/paymentBills/IuEao04YnZmLID6tIwHeE5CqEJ9Oq4mWLhKQbogJ.png</t>
  </si>
  <si>
    <t>https://storage.googleapis.com/deytha-prod/supplierBills/dpZAWzRiB8EEOO37UQltvcsE6jdVhS6Ta3Ncy72Q.pdf</t>
  </si>
  <si>
    <t>2025-05-19 19:41:05</t>
  </si>
  <si>
    <t>2025-05-20 14:40:45</t>
  </si>
  <si>
    <t>UTILES DE ESCRITORIO 
AREA RESIDENCIA</t>
  </si>
  <si>
    <t>2025-05-20 14:53:00</t>
  </si>
  <si>
    <t>https://storage.googleapis.com/deytha-prod/payments/mZOsQiolCyoN8If6xZeAwiITcws56av5WbgDaJSb.pdf</t>
  </si>
  <si>
    <t>https://storage.googleapis.com/deytha-prod/paymentBills/JWRFpy5LmP05SKpaCbD0kryXwrfD8VAWQiKeDWxZ.png</t>
  </si>
  <si>
    <t>https://storage.googleapis.com/deytha-prod/supplierBills/JdpqYcF57lLlVTDwfyixN1FEOn2NCUjpJBCDZwIL.bin</t>
  </si>
  <si>
    <t>2025-05-19 21:42:50</t>
  </si>
  <si>
    <t>2025-05-21 16:42:39</t>
  </si>
  <si>
    <t xml:space="preserve">MATERIALES DE AREA CIVIL 
BATEA Y MAS </t>
  </si>
  <si>
    <t>2025-05-21 16:25:00</t>
  </si>
  <si>
    <t>https://storage.googleapis.com/deytha-prod/payments/kk1oTFylNLqCMiRCQxkUv3nrDt5xrXcaK7kHlILR.pdf</t>
  </si>
  <si>
    <t>https://storage.googleapis.com/deytha-prod/paymentBills/nOOTNXIDJZkyIrZzewhsG07j2iMnKagD7ynWg5GW.png</t>
  </si>
  <si>
    <t>https://storage.googleapis.com/deytha-prod/supplierBills/MBA8jWpjgzVFIWXZoORYg7VDU0gU1O5kjAxEafga.pdf</t>
  </si>
  <si>
    <t>2025-05-19 23:56:46</t>
  </si>
  <si>
    <t>2025-05-21 09:56:10</t>
  </si>
  <si>
    <t>PAGO TOTAL DE LA PÓLIZA CAR 330014690</t>
  </si>
  <si>
    <t>2025-05-22 16:49:00</t>
  </si>
  <si>
    <t>https://storage.googleapis.com/deytha-prod/payments/QaExZvZixinSyxIDJILQGkjFt6wqUvD1nYR47EZv.pdf</t>
  </si>
  <si>
    <t>https://storage.googleapis.com/deytha-prod/paymentBills/Qh1RpNDjFfKQkxkJe1Yh5pRvyjzJZv3BmRBfA4Sq.png</t>
  </si>
  <si>
    <t>https://storage.googleapis.com/deytha-prod/supplierBills/PM1ODCs1DEL3BOJNVpKP3kidqlRapAAa9qC0MNoC.pdf</t>
  </si>
  <si>
    <t>2025-05-19 15:28:50</t>
  </si>
  <si>
    <t>2025-05-19 12:09:26</t>
  </si>
  <si>
    <t>2025-05-20 10:28:40</t>
  </si>
  <si>
    <t xml:space="preserve">MALLA RACHET 
DRIZA  Y MAS </t>
  </si>
  <si>
    <t>2025-05-21 16:14:00</t>
  </si>
  <si>
    <t>https://storage.googleapis.com/deytha-prod/payments/1sXAUMraYrzacOoGsR43lWqiVvLonbw76X81qUPR.pdf</t>
  </si>
  <si>
    <t>https://storage.googleapis.com/deytha-prod/paymentBills/9WVoiloNncF17x4k7hviqsJWYMMusHJCyzgivYVw.png</t>
  </si>
  <si>
    <t>https://storage.googleapis.com/deytha-prod/supplierBills/TU8LP1BxNQwbVoV5jjZhlnzlgk2vjGADdoomlEpk.pdf</t>
  </si>
  <si>
    <t>2025-05-19 15:52:50</t>
  </si>
  <si>
    <t>2025-05-20 10:52:34</t>
  </si>
  <si>
    <t xml:space="preserve">STICKER PARA  ROTULACION DE UNIDADES </t>
  </si>
  <si>
    <t>2025-05-20 11:03:00</t>
  </si>
  <si>
    <t>https://storage.googleapis.com/deytha-prod/payments/f6bfBKer8Pafnrjh1LxqkoMD91hZXMBciDFcILL1.pdf</t>
  </si>
  <si>
    <t>https://storage.googleapis.com/deytha-prod/paymentBills/xLC4gBoBvabLeoxxPaZvFGpnzZYD2J9EMInA8yLN.png</t>
  </si>
  <si>
    <t>https://storage.googleapis.com/deytha-prod/supplierBills/zzLwWjDSEyjoPTSTAxayjV41KO7AzKXTy2xrjtwL.pdf</t>
  </si>
  <si>
    <t>2025-05-19 16:23:32</t>
  </si>
  <si>
    <t>2025-05-20 11:23:23</t>
  </si>
  <si>
    <t>SERGEO E.I.R.L.</t>
  </si>
  <si>
    <t>430-1805669-0-13</t>
  </si>
  <si>
    <t xml:space="preserve">PRUEBAS DE LABORAORIO DE AGUA </t>
  </si>
  <si>
    <t>2025-05-19 16:50:00</t>
  </si>
  <si>
    <t>https://storage.googleapis.com/deytha-prod/payments/BgR1yNbfkI8z0L6VGGA1d4MQRCU4XXNXR0tDU5UW.pdf</t>
  </si>
  <si>
    <t>https://storage.googleapis.com/deytha-prod/paymentBills/GO7RasRk51ERf9ue9F1sTm0m8NfkEogkYhpOw74x.png</t>
  </si>
  <si>
    <t>https://storage.googleapis.com/deytha-prod/supplierBills/SpG6RoJrqyF10BeToEhzi7TFZukwiugfhMioRaCO.pdf</t>
  </si>
  <si>
    <t>2025-05-19 12:15:45</t>
  </si>
  <si>
    <t>2025-05-19 10:06:18</t>
  </si>
  <si>
    <t>2025-05-20 07:15:33</t>
  </si>
  <si>
    <t xml:space="preserve">Pago de contenedores 01 oficina 01 de almacén. </t>
  </si>
  <si>
    <t>2025-05-21 17:32:00</t>
  </si>
  <si>
    <t>https://storage.googleapis.com/deytha-prod/paymentBills/QumW5d2PycNIEOEZbJYnuCLsJVuIAgQeQVZhXWXJ.pdf</t>
  </si>
  <si>
    <t>https://storage.googleapis.com/deytha-prod/supplierBills/kq0yyQxVT8vwdTirVCAcwRfVI1RgjwYJgnh5xmFY.pdf</t>
  </si>
  <si>
    <t>2025-05-19 12:51:40</t>
  </si>
  <si>
    <t>2025-05-20 07:51:08</t>
  </si>
  <si>
    <t xml:space="preserve">PASAJE DE AVION PARA ASISTENTE DE SSOMA </t>
  </si>
  <si>
    <t>2025-05-23 19:08:00</t>
  </si>
  <si>
    <t>https://storage.googleapis.com/deytha-prod/paymentBills/IAEo77Snq04Rl3XBEkfJ7CbqOnMJpn5ZqUrxnkFs.png</t>
  </si>
  <si>
    <t>https://storage.googleapis.com/deytha-prod/supplierBills/o2ltaPpHPkNuv3v0KFPSkWW82dc5sMQQ4niuF4wv.pdf</t>
  </si>
  <si>
    <t>2025-05-19 14:29:31</t>
  </si>
  <si>
    <t>2025-05-20 09:29:25</t>
  </si>
  <si>
    <t xml:space="preserve">TRASLADO DE MATERIAL MOQUEGUA - CUAJONE </t>
  </si>
  <si>
    <t>2025-05-22 15:23:00</t>
  </si>
  <si>
    <t>https://storage.googleapis.com/deytha-prod/paymentBills/K3Mv75M1RUBGfm8NHCtQWT37eqIzvZZWjFTdsLQ3.pdf</t>
  </si>
  <si>
    <t>https://storage.googleapis.com/deytha-prod/supplierBills/jLwMDEPvbsEXrMvZq4oNXKa9AJCX3QVEgvT1RYmH.pdf</t>
  </si>
  <si>
    <t>2025-05-19 14:30:23</t>
  </si>
  <si>
    <t>2025-05-20 09:30:17</t>
  </si>
  <si>
    <t xml:space="preserve">TRASLADO DE MATERIALES MOQUEGUA - CUAJONE </t>
  </si>
  <si>
    <t>https://storage.googleapis.com/deytha-prod/paymentBills/btlNhbGGRTK6hvsWuBMVC8PMTWjosZ9ar7XgPPA3.pdf</t>
  </si>
  <si>
    <t>https://storage.googleapis.com/deytha-prod/supplierBills/y5aL6tXFZWtZ5ZVmhiiiwnhGDygyhJfFcQU9hKTR.pdf</t>
  </si>
  <si>
    <t>2025-05-19 15:04:35</t>
  </si>
  <si>
    <t>2025-05-20 10:04:22</t>
  </si>
  <si>
    <t>PRUEBAS DE Y ENSAYOS DE LABORATORIO</t>
  </si>
  <si>
    <t>2025-05-19 19:23:00</t>
  </si>
  <si>
    <t>https://storage.googleapis.com/deytha-prod/payments/XJ76GLXljS9iSERiUETeqoZvnygOhvUVz2ph33H0.pdf</t>
  </si>
  <si>
    <t>https://storage.googleapis.com/deytha-prod/paymentBills/U5UcqMzTgOxgW78MwATmV0Bbm21To9Uh00oJeqDz.png</t>
  </si>
  <si>
    <t>https://storage.googleapis.com/deytha-prod/supplierBills/9id9SbrX7CjFgxJWoUqKHpTtXa82O9EHC7TuGLNJ.pdf</t>
  </si>
  <si>
    <t>2025-05-16 19:12:35</t>
  </si>
  <si>
    <t>2025-05-16 19:34:33</t>
  </si>
  <si>
    <t>2025-05-17 14:12:03</t>
  </si>
  <si>
    <t>EPP SSOMA 
SEGUNDO TRAMO</t>
  </si>
  <si>
    <t>2025-05-17 11:21:02</t>
  </si>
  <si>
    <t>https://storage.googleapis.com/deytha-prod/payments/LuORgI7opRj0wSAq9Sr2d6RQV2uDfgHLeXy6DWBR.pdf</t>
  </si>
  <si>
    <t>https://storage.googleapis.com/deytha-prod/paymentBills/4tK25DhH7dBoipjo3dNXKLYuchOtNU9NnfbqkSH3.jpg</t>
  </si>
  <si>
    <t>https://storage.googleapis.com/deytha-prod/supplierBills/n3uHny1PJ3hKQMuvTQTo0VltACFj6HZl56Z1FYAG.pdf</t>
  </si>
  <si>
    <t>Soles BCP 002-245-002243726044-95</t>
  </si>
  <si>
    <t>2025-05-16 17:53:44</t>
  </si>
  <si>
    <t>2025-05-16 13:55:25</t>
  </si>
  <si>
    <t>2025-05-16 13:53:41</t>
  </si>
  <si>
    <t>PAGO POR EMO DE TAPIA LAMCHOG MIGUEL HUMBERTO</t>
  </si>
  <si>
    <t>2025-05-16 16:56:52</t>
  </si>
  <si>
    <t>https://storage.googleapis.com/deytha-prod/payments/uBcT3u26bmT2KUMIBBXX6AeNiiJpydCATnI66Yrb.pdf</t>
  </si>
  <si>
    <t>https://storage.googleapis.com/deytha-prod/paymentBills/AMXu6AWUaNzcUVIOKtscGCFQUEBvy1mVoAaHXp7X.png</t>
  </si>
  <si>
    <t>https://storage.googleapis.com/deytha-prod/supplierBills/UDCcQthgHu7wb3TS2sFyuNIFnTqu3CidFZ9BI0aX.pdf</t>
  </si>
  <si>
    <t>2025-05-16 16:21:29</t>
  </si>
  <si>
    <t>2025-05-16 12:11:11</t>
  </si>
  <si>
    <t>2025-05-17 11:20:36</t>
  </si>
  <si>
    <t xml:space="preserve">ACERO 3/4 
CEMENTO </t>
  </si>
  <si>
    <t>2025-05-16 19:26:49</t>
  </si>
  <si>
    <t>https://storage.googleapis.com/deytha-prod/payments/ukm52AVxj7Z5NVmGAgfTOhPAvtXKo4OJ5LWKSWK5.pdf</t>
  </si>
  <si>
    <t>https://storage.googleapis.com/deytha-prod/paymentBills/3vx03RTWNi5bzbli5yUJichEZgeZ3TzBrhj4T4bZ.png</t>
  </si>
  <si>
    <t>https://storage.googleapis.com/deytha-prod/supplierBills/bd2K5XjfKgXFoR80c3l3VbkoMR34wzgVBbi5tqw1.pdf</t>
  </si>
  <si>
    <t>2025-05-16 15:20:03</t>
  </si>
  <si>
    <t>2025-05-16 11:17:40</t>
  </si>
  <si>
    <t>2025-05-17 10:19:33</t>
  </si>
  <si>
    <t xml:space="preserve">MATERIALES SSOMA </t>
  </si>
  <si>
    <t>2025-05-19 17:42:52</t>
  </si>
  <si>
    <t>https://storage.googleapis.com/deytha-prod/payments/VzJyLQ23Ojb6jNpMiKJ5Lo5uqz5fpTRRDrgQxNtz.pdf</t>
  </si>
  <si>
    <t>https://storage.googleapis.com/deytha-prod/paymentBills/n8v5dxXWaQik2U1H5LsUBJnDjOnJMvpVfSEJtwGh.png</t>
  </si>
  <si>
    <t>https://storage.googleapis.com/deytha-prod/supplierBills/Kfmg2t1jLrZ2rphqohBgeBvVhHlYM1LMbeule7DG.pdf</t>
  </si>
  <si>
    <t>2025-05-16 15:29:21</t>
  </si>
  <si>
    <t>2025-05-17 10:28:44</t>
  </si>
  <si>
    <t>2025-05-16 19:14:41</t>
  </si>
  <si>
    <t>https://storage.googleapis.com/deytha-prod/paymentBills/45iXPQ6ZcC3CXRG2P4LAUUQfKyJQKTWnfwgcY5L2.png</t>
  </si>
  <si>
    <t>2025-05-16 15:34:03</t>
  </si>
  <si>
    <t>2025-05-17 10:33:52</t>
  </si>
  <si>
    <t xml:space="preserve">FENOLICO 
MADERAS </t>
  </si>
  <si>
    <t>2025-05-16 19:10:33</t>
  </si>
  <si>
    <t>https://storage.googleapis.com/deytha-prod/payments/AjvVua9eDvfbC0LJxUWdrPZXcVEQYvteRfqkLNTO.pdf</t>
  </si>
  <si>
    <t>https://storage.googleapis.com/deytha-prod/paymentBills/IYIvMjNGJBQKlqBazrTFUGkDZZhs3wBv4Sw75O12.png</t>
  </si>
  <si>
    <t>https://storage.googleapis.com/deytha-prod/supplierBills/v9lhWZOtLLOlttwOtAaR9UWJiabR2vxaZdYHLOAE.pdf</t>
  </si>
  <si>
    <t>2025-05-16 15:54:53</t>
  </si>
  <si>
    <t>2025-05-17 10:54:39</t>
  </si>
  <si>
    <t>ACERO 
ALAMBRE 
CLAVOS</t>
  </si>
  <si>
    <t>2025-05-22 12:32:00</t>
  </si>
  <si>
    <t>https://storage.googleapis.com/deytha-prod/payments/8zY0NiAntCfxlN7nRKBYY4JiVcIFj9SIm5fh4Zca.pdf</t>
  </si>
  <si>
    <t>https://storage.googleapis.com/deytha-prod/paymentBills/y62ovBA5Vrb0rznVKH6m0BWVimJPRkYu155ubPkj.png</t>
  </si>
  <si>
    <t>https://storage.googleapis.com/deytha-prod/supplierBills/HpiQz5303QZRqJTB4h5XN9MkIcbQFeFntaGKdl0h.pdf</t>
  </si>
  <si>
    <t>2025-05-16 16:00:18</t>
  </si>
  <si>
    <t>2025-05-17 11:00:14</t>
  </si>
  <si>
    <t>UTILES DE ESCRITORIOS - SSOMA</t>
  </si>
  <si>
    <t>2025-05-16 18:25:34</t>
  </si>
  <si>
    <t>https://storage.googleapis.com/deytha-prod/payments/4e571LNaK7aArkTWnav8zg5QiVyzv5IflH9aId9h.jpg</t>
  </si>
  <si>
    <t>https://storage.googleapis.com/deytha-prod/paymentBills/Z8ZMfPaQafj54WNdarUDUAUurqG7CRcWcNnofuNo.png</t>
  </si>
  <si>
    <t>https://storage.googleapis.com/deytha-prod/supplierBills/ReJNcQ1gtSK5Wdw7NQchGrEdgpdt7LdDQTrhVEfQ.pdf</t>
  </si>
  <si>
    <t>2025-05-16 16:03:48</t>
  </si>
  <si>
    <t>2025-05-17 11:03:27</t>
  </si>
  <si>
    <t xml:space="preserve">RIEGOS Y CONEXIONES S.A.C. </t>
  </si>
  <si>
    <t>215-2607760-0-26</t>
  </si>
  <si>
    <t>BANDEJA ANTIDERRAME 
MATERIAL GEOMEMBRANA</t>
  </si>
  <si>
    <t>2025-05-17 11:49:36</t>
  </si>
  <si>
    <t>https://storage.googleapis.com/deytha-prod/payments/V3CsGQgjJT7UtkHR2E4dpLZMIYge0BaE4tsVxo8y.pdf</t>
  </si>
  <si>
    <t>https://storage.googleapis.com/deytha-prod/paymentBills/8YNJyqnl8RLOyNKn4fUaRBfyZDaRPA5GrEfsWVde.jpg</t>
  </si>
  <si>
    <t>https://storage.googleapis.com/deytha-prod/supplierBills/nf0jeZLkbpa7MX2rnaQ7760oIegtA1XZKkMhBqXf.pdf</t>
  </si>
  <si>
    <t>2025-05-16 16:06:25</t>
  </si>
  <si>
    <t>2025-05-17 11:06:08</t>
  </si>
  <si>
    <t xml:space="preserve">MATERIALES DE AREA CIVIL </t>
  </si>
  <si>
    <t>2025-05-19 17:12:14</t>
  </si>
  <si>
    <t>https://storage.googleapis.com/deytha-prod/payments/Brhn70bI6sALdBNX1QcrMGJ6mlUl4hLfrsNs5Fkv.pdf</t>
  </si>
  <si>
    <t>https://storage.googleapis.com/deytha-prod/paymentBills/3lgcFUdRVL5WZFytHpDQEvJFp4CiVfaXExWCok5F.png</t>
  </si>
  <si>
    <t>https://storage.googleapis.com/deytha-prod/supplierBills/wNe8Sb0hqvkduPIee1W908mHMs8inpB53NZwQq1M.pdf</t>
  </si>
  <si>
    <t>2025-05-15 15:17:57</t>
  </si>
  <si>
    <t>2025-05-15 20:45:40</t>
  </si>
  <si>
    <t>2025-05-15 11:17:49</t>
  </si>
  <si>
    <t>PAGO DE EMO PARA ARIAS YABAR ALEX EFRAIN</t>
  </si>
  <si>
    <t>2025-05-16 18:21:21</t>
  </si>
  <si>
    <t>https://storage.googleapis.com/deytha-prod/payments/sR1QskiQAjAKPykcpNRPvHY0XxnJ1InFvamS0rxS.pdf</t>
  </si>
  <si>
    <t>https://storage.googleapis.com/deytha-prod/paymentBills/FvWm6axvl3XQAyBWFaBNEuHnzKjTK3STnSc1qY0v.pdf</t>
  </si>
  <si>
    <t>https://storage.googleapis.com/deytha-prod/supplierBills/M7gCJgJWxelUdYtIF1JmJbwPWmCmupED9MXMhXlg.pdf</t>
  </si>
  <si>
    <t>2025-05-15 15:05:18</t>
  </si>
  <si>
    <t>2025-05-15 14:59:58</t>
  </si>
  <si>
    <t>2025-05-16 10:02:27</t>
  </si>
  <si>
    <t>Almuerzos en la ciudad de Moquegua semana 1</t>
  </si>
  <si>
    <t>2025-05-15 15:56:58</t>
  </si>
  <si>
    <t>https://storage.googleapis.com/deytha-prod/payments/dP7NK8H3t0BDG0IUYpYU76PWo89jTLSR8GwXN12B.pdf</t>
  </si>
  <si>
    <t>https://storage.googleapis.com/deytha-prod/paymentBills/WRMyB3DoWfel2l93SowFAEcUMcvmdJxak5a2TTmz.png</t>
  </si>
  <si>
    <t>https://storage.googleapis.com/deytha-prod/supplierBills/lZWuWXfBQZttA81hjzYP0L4Mfcwjy9JnL6JUZ0og.pdf</t>
  </si>
  <si>
    <t>2025-05-14 21:33:30</t>
  </si>
  <si>
    <t>2025-05-15 09:23:12</t>
  </si>
  <si>
    <t>2025-05-15 16:33:18</t>
  </si>
  <si>
    <t>CAMISAS 
BOTAS 
CHOMPAS JORGE CHAVEZ</t>
  </si>
  <si>
    <t>2025-05-15 13:23:32</t>
  </si>
  <si>
    <t>https://storage.googleapis.com/deytha-prod/payments/olDn38nwbVqphONmfMNLIRFTKjNgi7xECFz3wa9O.pdf</t>
  </si>
  <si>
    <t>https://storage.googleapis.com/deytha-prod/paymentBills/5reC04gA03nBeAZ32vEV0zlBP61L5DPYi8e39JuD.png</t>
  </si>
  <si>
    <t>https://storage.googleapis.com/deytha-prod/supplierBills/ChgN3DNUiRH9yAMCOv17M6LqFxPf8rn57j808Usf.pdf</t>
  </si>
  <si>
    <t>2025-05-14 21:38:27</t>
  </si>
  <si>
    <t>2025-05-15 16:38:20</t>
  </si>
  <si>
    <t>GENERADOR 002
BANDEJA ANTIDERRAME</t>
  </si>
  <si>
    <t>2025-05-15 13:18:49</t>
  </si>
  <si>
    <t>https://storage.googleapis.com/deytha-prod/payments/iaIM7I0PhA736et9xm8E7ecQ8nVInM7Thkitex3L.pdf</t>
  </si>
  <si>
    <t>https://storage.googleapis.com/deytha-prod/paymentBills/jzX28WosRDfOyCG5Isnzp9GPLc1y4qpldDCsW23G.png</t>
  </si>
  <si>
    <t>https://storage.googleapis.com/deytha-prod/supplierBills/alv6VMmJGUtHVu4E1yLWSsgVXJcSej3FFdWaT0bf.pdf</t>
  </si>
  <si>
    <t>2025-05-14 16:13:50</t>
  </si>
  <si>
    <t>2025-05-14 15:09:32</t>
  </si>
  <si>
    <t>2025-05-14 12:13:37</t>
  </si>
  <si>
    <t>PAGO DE EMO PARA DAHANA ANTHUANET OBREGON LEÓN</t>
  </si>
  <si>
    <t>2025-05-14 18:18:34</t>
  </si>
  <si>
    <t>https://storage.googleapis.com/deytha-prod/payments/6KWe52VvJS9XxNmdFvePijhBVcPZ4i3edDvwtMdD.png</t>
  </si>
  <si>
    <t>https://storage.googleapis.com/deytha-prod/paymentBills/gLeDrHHw7GXU1djEYzlFS7PPQ5obSyiAP1FmWSn4.png</t>
  </si>
  <si>
    <t>https://storage.googleapis.com/deytha-prod/supplierBills/A4lyn9Y9RovAlEznJMdR2a92qKLUHYuNmjnOHCBe.pdf</t>
  </si>
  <si>
    <t>2025-05-14 15:58:28</t>
  </si>
  <si>
    <t>2025-05-14 11:05:22</t>
  </si>
  <si>
    <t>2025-05-14 11:58:27</t>
  </si>
  <si>
    <t>PAGO DE EMO PARA CHOQUE CUSIHUAMAN ELVIS MARTURI</t>
  </si>
  <si>
    <t>2025-05-14 17:50:22</t>
  </si>
  <si>
    <t>https://storage.googleapis.com/deytha-prod/payments/haOX5FsXtp3SxacyULTikiU4AqzXduB9aW5Xhey4.pdf</t>
  </si>
  <si>
    <t>https://storage.googleapis.com/deytha-prod/paymentBills/Ta2xMBqRSpae6Rjyc7ILbxTnnSSVC4Xlmw4CkSuL.png</t>
  </si>
  <si>
    <t>https://storage.googleapis.com/deytha-prod/supplierBills/xepxqLg0oDtMivPU5WKzmaQm1f99fd5u8wZ9TWCO.pdf</t>
  </si>
  <si>
    <t>2025-05-12 22:42:51</t>
  </si>
  <si>
    <t>2025-05-13 17:06:01</t>
  </si>
  <si>
    <t>2025-05-12 18:42:47</t>
  </si>
  <si>
    <t>PAGO POR EMOS DE AYMA TISNADO JHON DIONICIO Y MAQUERA COHAILA FERNANDO ROJO</t>
  </si>
  <si>
    <t>2025-05-15 10:02:12</t>
  </si>
  <si>
    <t>https://storage.googleapis.com/deytha-prod/payments/py8NL8rpIIKp4QRX15yh1crWQtS7Kvsv1CYGrOBI.pdf</t>
  </si>
  <si>
    <t>https://storage.googleapis.com/deytha-prod/paymentBills/n4Jb1Cdx5rq8v1LMUhWE7k6QrdrhVa3xmCljNadq.pdf</t>
  </si>
  <si>
    <t>https://storage.googleapis.com/deytha-prod/supplierBills/AXFNBzSKRtI0JiAK2QoF8RiZXiqqngWbY2qqrrBo.pdf</t>
  </si>
  <si>
    <t>2025-05-13 00:36:51</t>
  </si>
  <si>
    <t>2025-05-13 11:36:42</t>
  </si>
  <si>
    <t>PAGO POR EMO DE BECERRA QUISPE SERGIO ROGER Y HANCCO TAPIA GONZALO ALEXANDER</t>
  </si>
  <si>
    <t>2025-05-15 12:39:39</t>
  </si>
  <si>
    <t>https://storage.googleapis.com/deytha-prod/payments/Z045mz6WQCvccRW7V2m2vY5fOC5f1zHzEC7tDacy.jpg</t>
  </si>
  <si>
    <t>https://storage.googleapis.com/deytha-prod/paymentBills/Cva51kUxBkLCL098P9jOv9ZnRWdQtKaprv5F98s5.png</t>
  </si>
  <si>
    <t>https://storage.googleapis.com/deytha-prod/supplierBills/cNoDtRth2JLDIYwFdKjtTQ85E8aefFAsiWVqAXfV.pdf</t>
  </si>
  <si>
    <t>2025-05-13 15:31:35</t>
  </si>
  <si>
    <t>2025-05-13 11:31:29</t>
  </si>
  <si>
    <t>PAGO POR EMO DE CANDIA HUANCA JUAN DE DIOS Y HOLGUIN ORDOÑEZ JHON EDGAR</t>
  </si>
  <si>
    <t>2025-05-15 12:31:26</t>
  </si>
  <si>
    <t>https://storage.googleapis.com/deytha-prod/payments/Uz3lyfaJFujcVCwhuXG2q9Mz6D0k4gh0HEJ3q4Cg.xlsx</t>
  </si>
  <si>
    <t>https://storage.googleapis.com/deytha-prod/paymentBills/8o6r4oySSud2wm064r0Zw3J8CY94PbmQGIT3O2hc.png</t>
  </si>
  <si>
    <t>https://storage.googleapis.com/deytha-prod/supplierBills/0PMLQo3KjoTzavn6Zv9lhlHUQ7jeZ2EPUlTjsuNE.pdf</t>
  </si>
  <si>
    <t>2025-05-09 13:19:11</t>
  </si>
  <si>
    <t>2025-05-13 13:32:18</t>
  </si>
  <si>
    <t>2025-05-10 08:18:52</t>
  </si>
  <si>
    <t>ZAPATOS DE SEGURIDAD PERSONAL STAFF 
13 COLABORADORES</t>
  </si>
  <si>
    <t>2025-05-15 14:41:57</t>
  </si>
  <si>
    <t>https://storage.googleapis.com/deytha-prod/payments/6DK2PrzJG2J1cKBtKOIGvC9ge2wU5cnNp9qpzhTR.jpg</t>
  </si>
  <si>
    <t>https://storage.googleapis.com/deytha-prod/paymentBills/x08r2ipYcDsNfsg4Mb2osOqOVsEPSLl5I70Da0I2.png</t>
  </si>
  <si>
    <t>2025-05-13 17:12:51</t>
  </si>
  <si>
    <t>2025-05-14 12:12:47</t>
  </si>
  <si>
    <t xml:space="preserve">ELABORACION DE DISEÑO DE MEZCLA DE CONCRETO </t>
  </si>
  <si>
    <t>2025-05-14 17:38:39</t>
  </si>
  <si>
    <t>https://storage.googleapis.com/deytha-prod/payments/FPOvBOUl091SsZhanOZzRfjjr4kKi1qB0xx2aNDY.pdf</t>
  </si>
  <si>
    <t>https://storage.googleapis.com/deytha-prod/paymentBills/Dyf7TMbDJwef5ujLWJf2vxLHRjyijErtc9cpfwnW.png</t>
  </si>
  <si>
    <t>https://storage.googleapis.com/deytha-prod/supplierBills/PdhsL9eB6dfAda06Rx8vGrv4zLxhzpgGj7C1izUJ.pdf</t>
  </si>
  <si>
    <t>2025-05-13 17:19:50</t>
  </si>
  <si>
    <t>2025-05-14 12:19:42</t>
  </si>
  <si>
    <t xml:space="preserve">MATERIALES CIVILES </t>
  </si>
  <si>
    <t>2025-05-15 12:24:58</t>
  </si>
  <si>
    <t>https://storage.googleapis.com/deytha-prod/payments/2dTnc5VaImynnKn4lEH4UXND16PouxS5iaNWH7tb.pdf</t>
  </si>
  <si>
    <t>https://storage.googleapis.com/deytha-prod/paymentBills/gKZ6W732jxVcchuQYElyD3SlKGM8IEhgmdc5xhAB.png</t>
  </si>
  <si>
    <t>https://storage.googleapis.com/deytha-prod/supplierBills/xFFKa9SlG57RsdUqzHlqF0coogrLdSBrhSli02af.pdf</t>
  </si>
  <si>
    <t>2025-05-13 17:24:14</t>
  </si>
  <si>
    <t>2025-05-14 12:23:57</t>
  </si>
  <si>
    <t>CELULARES NOKIA BASICO</t>
  </si>
  <si>
    <t>2025-05-14 17:00:10</t>
  </si>
  <si>
    <t>https://storage.googleapis.com/deytha-prod/payments/CaTGlZ1SPs2Ru6SQAlMlkiouT4hepoSRSSEasLTP.jpg</t>
  </si>
  <si>
    <t>https://storage.googleapis.com/deytha-prod/paymentBills/7LZF3oUOkhXfoO8MDHYBEmRydR9IVAUKhzNwardU.png</t>
  </si>
  <si>
    <t>https://storage.googleapis.com/deytha-prod/supplierBills/62jFrsdCxrEmzt0l3cdOwXN2CgFY2e3htfyUhGUG.pdf</t>
  </si>
  <si>
    <t>2025-05-13 17:29:06</t>
  </si>
  <si>
    <t>2025-05-14 12:28:52</t>
  </si>
  <si>
    <t xml:space="preserve">MATERIALES PARA EL AREA DE CALIDAD </t>
  </si>
  <si>
    <t>2025-05-14 17:31:43</t>
  </si>
  <si>
    <t>https://storage.googleapis.com/deytha-prod/payments/Uwzxt7WZ1L30kxOtPpTM8DHJq5uCTE9Q2EV3VeSp.pdf</t>
  </si>
  <si>
    <t>https://storage.googleapis.com/deytha-prod/paymentBills/pgU0zQvNR0X8aB1gNgYlDBcsEyTFnuj3pdbW4AEt.png</t>
  </si>
  <si>
    <t>https://storage.googleapis.com/deytha-prod/supplierBills/YlAZinPCWZJ4H5cauQGAAuSJkKoZi4IBvdMDkmkc.pdf</t>
  </si>
  <si>
    <t>2025-05-13 17:34:27</t>
  </si>
  <si>
    <t>2025-05-14 12:33:48</t>
  </si>
  <si>
    <t xml:space="preserve">DRIZAS 
CANCAMOS </t>
  </si>
  <si>
    <t>2025-05-15 11:43:42</t>
  </si>
  <si>
    <t>https://storage.googleapis.com/deytha-prod/payments/reu9S9IOEO5QOg4sD8h2YJRfX0nIDYgNh14dy0sb.pdf</t>
  </si>
  <si>
    <t>https://storage.googleapis.com/deytha-prod/paymentBills/bh1U8scHIDaqgo8i740a19YLdiYDC2koDxFnkQAF.png</t>
  </si>
  <si>
    <t>https://storage.googleapis.com/deytha-prod/supplierBills/6s34E4EDtF3azw5vnNGpCry8CMRhvz0wZ9gz3J91.pdf</t>
  </si>
  <si>
    <t>2025-05-13 17:45:49</t>
  </si>
  <si>
    <t>2025-05-14 12:45:42</t>
  </si>
  <si>
    <t xml:space="preserve">RADIOS DE COMUNICACION </t>
  </si>
  <si>
    <t>2025-05-13 15:37:32</t>
  </si>
  <si>
    <t>https://storage.googleapis.com/deytha-prod/payments/ANhQTHNLKeQ4dEZpEL2FbcvHNMWNbLPVSUGnqL6c.pdf</t>
  </si>
  <si>
    <t>https://storage.googleapis.com/deytha-prod/paymentBills/uu5BEhakt1ruJAqeHjI3ERdyMrs0puHh9XfNyhOr.pdf</t>
  </si>
  <si>
    <t>https://storage.googleapis.com/deytha-prod/supplierBills/GTkjYAY6DdQ8L25NSpom7aeBFEimDbgHs8SxEQpA.pdf</t>
  </si>
  <si>
    <t>2025-05-13 18:16:29</t>
  </si>
  <si>
    <t>2025-05-14 13:16:18</t>
  </si>
  <si>
    <t xml:space="preserve">COMBUSTIBLE PARA MAQUIMAS UNIDADES Y GENERADOR </t>
  </si>
  <si>
    <t>2025-05-13 18:18:47</t>
  </si>
  <si>
    <t>https://storage.googleapis.com/deytha-prod/payments/9iobJfzzRWAgpfIjWRiUAM0vmkznMeg1mGegqMBY.pdf</t>
  </si>
  <si>
    <t>https://storage.googleapis.com/deytha-prod/paymentBills/K2T6f1caS8YYblKYYHe7kvrnSRiNOMWE7dF3uVZl.png</t>
  </si>
  <si>
    <t>https://storage.googleapis.com/deytha-prod/supplierBills/utMvFUcVSiVDOBgE6xS5Y4HgldQCh2V0H92zAEFr.pdf</t>
  </si>
  <si>
    <t>2025-05-12 16:36:04</t>
  </si>
  <si>
    <t>2025-05-09 16:02:19</t>
  </si>
  <si>
    <t>EFREN ANDREI SILVA BAZAN</t>
  </si>
  <si>
    <t>2025-05-09 12:02:16</t>
  </si>
  <si>
    <t>PAGO POR EL EMO PREOCUPACIONAL PARA HANAMPA HUAMANI ROBER</t>
  </si>
  <si>
    <t>2025-05-13 09:22:41</t>
  </si>
  <si>
    <t>https://storage.googleapis.com/deytha-prod/payments/E17sFliXOTK2vHaO8xPZAyqhkYjKlFku2LfOGoqR.pdf</t>
  </si>
  <si>
    <t>https://storage.googleapis.com/deytha-prod/paymentBills/M1lExdRIT9hQgWcSoaO71McWnoxEHs0fNOhdHygv.png</t>
  </si>
  <si>
    <t>https://storage.googleapis.com/deytha-prod/supplierBills/Z4sdAAaytQaZURZAcmHXSgOxKV8og5DE2IuWvWnI.pdf</t>
  </si>
  <si>
    <t>2025-05-12 15:21:26</t>
  </si>
  <si>
    <t>2025-05-12 11:21:19</t>
  </si>
  <si>
    <t>PAGO POR EMOS DE JIMENEZ CCALLATA PASCUAL Y HUARAYA CATACORA RODY DEIVYS</t>
  </si>
  <si>
    <t>2025-05-13 13:04:16</t>
  </si>
  <si>
    <t>https://storage.googleapis.com/deytha-prod/payments/W2NeoJclfMyQMZTZfS3J7ZAqo5Dg5v5I4Iwet59T.xlsx</t>
  </si>
  <si>
    <t>https://storage.googleapis.com/deytha-prod/paymentBills/bAmLP6zLoU1x9yFvPVlouzyAY5CDCe4mrJQN8l8D.png</t>
  </si>
  <si>
    <t>https://storage.googleapis.com/deytha-prod/supplierBills/5a91EL7JaEfeqYCmrVEZx67re6yb7AByQJdkaqej.pdf</t>
  </si>
  <si>
    <t>2025-05-12 15:43:24</t>
  </si>
  <si>
    <t>2025-05-12 11:43:14</t>
  </si>
  <si>
    <t>PAGO POR EMO DE JIMENEZ CCALLATA ALEJANDRO</t>
  </si>
  <si>
    <t>2025-05-13 12:20:31</t>
  </si>
  <si>
    <t>https://storage.googleapis.com/deytha-prod/payments/Xctni22BtwoNCUOE5p9eWJLks4RtTGZ71IgKbuP5.pdf</t>
  </si>
  <si>
    <t>https://storage.googleapis.com/deytha-prod/paymentBills/BZEENDF7bytGy8q2ojFqQ6UZ9I01OSdnNYMYzUj4.png</t>
  </si>
  <si>
    <t>https://storage.googleapis.com/deytha-prod/supplierBills/NCOctAmxb0Syb7yeuz0Edy13RDRmJImHRRIEvtws.pdf</t>
  </si>
  <si>
    <t>2025-05-10 00:18:01</t>
  </si>
  <si>
    <t>2025-05-12 11:53:04</t>
  </si>
  <si>
    <t>2025-05-10 19:17:43</t>
  </si>
  <si>
    <t xml:space="preserve">CABLE DE COBRE 
TERMINAL DE COMPRESION 
LUMINARIA 
PASTORAL PARABOLICO </t>
  </si>
  <si>
    <t>2025-05-12 16:07:32</t>
  </si>
  <si>
    <t>https://storage.googleapis.com/deytha-prod/payments/brRyEBchbZuCMaY2f7oOcMIrcWtd81GFtQObf7TD.pdf</t>
  </si>
  <si>
    <t>https://storage.googleapis.com/deytha-prod/paymentBills/LlMsSbAspBW3PhZlWIoJk3heuM7Ji1AvAbS5WENE.png</t>
  </si>
  <si>
    <t>https://storage.googleapis.com/deytha-prod/supplierBills/WfpaxtVeuuh8mh43tuOE8syTDEEe7M6BWhumx8yt.pdf</t>
  </si>
  <si>
    <t>2025-05-12 16:03:59</t>
  </si>
  <si>
    <t>2025-05-13 11:03:56</t>
  </si>
  <si>
    <t>MADERAS CORRIENTE 3
FENOLICO</t>
  </si>
  <si>
    <t>2025-05-12 16:17:50</t>
  </si>
  <si>
    <t>https://storage.googleapis.com/deytha-prod/payments/gOGbFQUVl8ZRUX70bnk4mcyU4lACHNC3oxkfoGBT.pdf</t>
  </si>
  <si>
    <t>https://storage.googleapis.com/deytha-prod/paymentBills/SZEhKFvgoVwvBFLFET4g5V1aBCuIHP0JQDiobHT2.png</t>
  </si>
  <si>
    <t>https://storage.googleapis.com/deytha-prod/supplierBills/EfRZrE2Gj6Y3VJKGTBD0aOQ3NomXpTV36LVEGUQ9.pdf</t>
  </si>
  <si>
    <t>2025-05-09 19:25:37</t>
  </si>
  <si>
    <t>2025-05-09 14:30:37</t>
  </si>
  <si>
    <t>2025-05-10 14:25:11</t>
  </si>
  <si>
    <t xml:space="preserve">SSOMA - EPP </t>
  </si>
  <si>
    <t>2025-05-09 15:08:00</t>
  </si>
  <si>
    <t>https://storage.googleapis.com/deytha-prod/payments/bTKas2p6jbGDpMPQAiZTeynP5fkYa6TD1YsGTn4m.pdf</t>
  </si>
  <si>
    <t>https://storage.googleapis.com/deytha-prod/paymentBills/0P2W4dR6V8bFFmVcDXXDgsbfwp0gVVZaxKPJ5z3K.png</t>
  </si>
  <si>
    <t>https://storage.googleapis.com/deytha-prod/supplierBills/vDeA2SfUDVVrTQmbdm0LJWlFR91ClcqjxIP2jkLJ.pdf</t>
  </si>
  <si>
    <t>2025-05-09 17:12:20</t>
  </si>
  <si>
    <t>2025-05-09 13:03:10</t>
  </si>
  <si>
    <t>2025-05-10 12:12:14</t>
  </si>
  <si>
    <t>ALQUILER DE CAMA BAJA + OEPRADOR PARA EL TRASLADO DE 1 EXCAVADORA</t>
  </si>
  <si>
    <t>2025-05-09 15:15:00</t>
  </si>
  <si>
    <t>https://storage.googleapis.com/deytha-prod/payments/5LBGWI2X73RF9c6moGjWH8IBxFUgSXD1I5iMIl0a.pdf</t>
  </si>
  <si>
    <t>https://storage.googleapis.com/deytha-prod/paymentBills/7JJ5ELve4afY2t1A0rMPdZY6rqRUWbwjSbzqngv1.jpg</t>
  </si>
  <si>
    <t>https://storage.googleapis.com/deytha-prod/supplierBills/xRfNvMWDnn9UYnbyeBu48PO16Llzhm8DyKiXe4N1.pdf</t>
  </si>
  <si>
    <t>2025-05-09 17:15:24</t>
  </si>
  <si>
    <t>2025-05-10 12:14:57</t>
  </si>
  <si>
    <t xml:space="preserve">ALQUILER DE EXCAVADORA, ADELANTO POR 25 HORAS (50%) </t>
  </si>
  <si>
    <t>2025-05-09 15:12:00</t>
  </si>
  <si>
    <t>https://storage.googleapis.com/deytha-prod/payments/zxW8R9Ld774ftekrF9X03br4kL6GWf69s3rrK3bX.pdf</t>
  </si>
  <si>
    <t>https://storage.googleapis.com/deytha-prod/paymentBills/yCAgiY8aDjgBrC2dAKTZuXrbwDAA7DL2mLTXE5JN.jpg</t>
  </si>
  <si>
    <t>https://storage.googleapis.com/deytha-prod/supplierBills/qc7ryKhYzcX7SiXur0LWGg8qTRFbDsiFmEUkivwa.pdf</t>
  </si>
  <si>
    <t>2025-05-09 17:19:06</t>
  </si>
  <si>
    <t>2025-05-10 12:18:57</t>
  </si>
  <si>
    <t>SERVICIO DE CAMION GRUA DE 7 Y 12 TONELADAS, PARA EL TRASLADO DE 4 CONTENEDORES (COSTO DE 1500 SE BAJO A 1400 POR TRASLADO)</t>
  </si>
  <si>
    <t>2025-05-14 11:15:59</t>
  </si>
  <si>
    <t>https://storage.googleapis.com/deytha-prod/payments/urHQP8WHxiZU6oy90gsMBDxrxmuX6Ck1nBpnRudU.pdf</t>
  </si>
  <si>
    <t>https://storage.googleapis.com/deytha-prod/paymentBills/Dez60PNExc0oupPe14yim7BELeHJ9DUvjPBdlzRz.pdf</t>
  </si>
  <si>
    <t>https://storage.googleapis.com/deytha-prod/supplierBills/H4FIMlYTJAWOB7yNs3m1cYZHK6IXbWLcL1wgBNZu.pdf</t>
  </si>
  <si>
    <t>2025-05-09 15:03:15</t>
  </si>
  <si>
    <t>2025-05-09 11:52:00</t>
  </si>
  <si>
    <t>2025-05-10 10:03:05</t>
  </si>
  <si>
    <t>CACHACOS 
MESA 
SILLAS</t>
  </si>
  <si>
    <t>2025-05-09 14:53:46</t>
  </si>
  <si>
    <t>https://storage.googleapis.com/deytha-prod/payments/eSxIDRAo6SS75muA8jjqYqulPuyQlt7irO4AdKL7.pdf</t>
  </si>
  <si>
    <t>https://storage.googleapis.com/deytha-prod/paymentBills/TcDo5iDvRU4KGAj2xERtflH2zRIb1LWiqnyprcBl.png</t>
  </si>
  <si>
    <t>https://storage.googleapis.com/deytha-prod/supplierBills/E7hfZejWZDOgLJqwhnJ8a3FK1EJSPVS9JBDEztAc.pdf</t>
  </si>
  <si>
    <t>PABLO ENRIQUE MAZUELOS  SOLDEVILLA</t>
  </si>
  <si>
    <t>MAZUELOS  SOLDEVILLA PABLO ENRIQUE</t>
  </si>
  <si>
    <t>2025-05-09 16:27:59</t>
  </si>
  <si>
    <t>2025-05-10 11:27:25</t>
  </si>
  <si>
    <t>Compra de requerimiento de SSOMA</t>
  </si>
  <si>
    <t>2025-05-15 13:09:43</t>
  </si>
  <si>
    <t>https://storage.googleapis.com/deytha-prod/payments/H9h3pw8fnp3i8hUqNGp6eToZnUP2RbYvUE3zimt3.pdf</t>
  </si>
  <si>
    <t>https://storage.googleapis.com/deytha-prod/paymentBills/hytaE3j3bMlGHRJgqAQr04MhA1AVhxlEQrfeelnD.png</t>
  </si>
  <si>
    <t>2025-05-09 01:18:33</t>
  </si>
  <si>
    <t>2025-05-09 09:33:52</t>
  </si>
  <si>
    <t>2025-05-10 11:18:17</t>
  </si>
  <si>
    <t xml:space="preserve">ACERO 
ALAMBRES </t>
  </si>
  <si>
    <t>2025-05-09 12:09:54</t>
  </si>
  <si>
    <t>https://storage.googleapis.com/deytha-prod/payments/iomLLXvx1eyjpYhDO2CGhwtPac3wzf5eCBdrGlMj.pdf</t>
  </si>
  <si>
    <t>https://storage.googleapis.com/deytha-prod/paymentBills/btFpRMurh66IeJZEgY5tDnoMZidr43NnnO91lgDa.png</t>
  </si>
  <si>
    <t>https://storage.googleapis.com/deytha-prod/supplierBills/eBbaBmmSbvyXUHw2Fk853RGotuyRpr4kRT5hWSID.pdf</t>
  </si>
  <si>
    <t>2025-05-09 01:20:50</t>
  </si>
  <si>
    <t>2025-05-10 11:20:36</t>
  </si>
  <si>
    <t>2025-05-09 13:09:46</t>
  </si>
  <si>
    <t>https://storage.googleapis.com/deytha-prod/paymentBills/m5NcuX72OGdxDvG50sWCUWw93lC8iQfS5rcecMkW.png</t>
  </si>
  <si>
    <t>2025-05-09 13:33:44</t>
  </si>
  <si>
    <t>2025-05-10 08:33:28</t>
  </si>
  <si>
    <t xml:space="preserve">MAT SSOMA 
CAMILLA 
FERULAS 
</t>
  </si>
  <si>
    <t>2025-05-09 15:02:00</t>
  </si>
  <si>
    <t>https://storage.googleapis.com/deytha-prod/payments/YPKTfV25IyP6KDeY49Kttiy9003swobCCoPEtZXn.pdf</t>
  </si>
  <si>
    <t>https://storage.googleapis.com/deytha-prod/paymentBills/oyH0UQARSHg5eVlxqHKIXtlL9MesiS1c1jFdTSuz.png</t>
  </si>
  <si>
    <t>https://storage.googleapis.com/deytha-prod/supplierBills/WoMT2D5XSWfO8Hw2KsiCBxDnVHYgNtyzZaxsgPpU.pdf</t>
  </si>
  <si>
    <t>2025-05-08 22:30:52</t>
  </si>
  <si>
    <t>2025-05-09 09:23:15</t>
  </si>
  <si>
    <t>2025-05-08 18:30:46</t>
  </si>
  <si>
    <t>CENTRO MEDICO DE SALUD OCUPACIONAL SALUD Y BIENESTAR S.A.C</t>
  </si>
  <si>
    <t>305-2465663-0-93</t>
  </si>
  <si>
    <t xml:space="preserve">PAGO POR EMO DE MERA PALOMINO FLAVIO ALEXIS
</t>
  </si>
  <si>
    <t>2025-05-12 15:36:55</t>
  </si>
  <si>
    <t>https://storage.googleapis.com/deytha-prod/payments/qbsYmhpVZgIJoEn5z9KUoN8DMDBF1ljjJBFximfa.xlsx</t>
  </si>
  <si>
    <t>https://storage.googleapis.com/deytha-prod/paymentBills/4TTWhZdD1z4BC0zaDPX9tLYDc8lEFhKFfMwvDVNs.png</t>
  </si>
  <si>
    <t>https://storage.googleapis.com/deytha-prod/supplierBills/tMsx6GDquqr1ik31jDoQe7kPhFnWmhzfo9vWnk6x.pdf</t>
  </si>
  <si>
    <t>2025-05-08 20:06:06</t>
  </si>
  <si>
    <t>2025-05-08 16:23:10</t>
  </si>
  <si>
    <t>2025-05-09 15:05:48</t>
  </si>
  <si>
    <t>Tachos de metal para SSOMA</t>
  </si>
  <si>
    <t>2025-05-09 15:14:00</t>
  </si>
  <si>
    <t>https://storage.googleapis.com/deytha-prod/payments/bt7sOzoNF5kKisa9VNzs4UP83HLXjADB0KGjhUaI.pdf</t>
  </si>
  <si>
    <t>https://storage.googleapis.com/deytha-prod/paymentBills/w7y6uN3Qga8gaakjmLVgvdyUh6htlHceCIFVv5Ke.png</t>
  </si>
  <si>
    <t>https://storage.googleapis.com/deytha-prod/supplierBills/EJSaf0ulV3H1CPPuKB2HR6b3f9LHlFYgHeiQSiiv.pdf</t>
  </si>
  <si>
    <t>2025-05-07 21:00:31</t>
  </si>
  <si>
    <t>2025-05-08 15:31:14</t>
  </si>
  <si>
    <t>2025-05-07 17:00:01</t>
  </si>
  <si>
    <t>PAGO EMO DE LIMACHE ATENCIO ANTONY Y MAMANI CARTAGENA MARIO CESAR</t>
  </si>
  <si>
    <t>2025-05-09 15:42:00</t>
  </si>
  <si>
    <t>https://storage.googleapis.com/deytha-prod/payments/GyEZrUPhWnWkINfZvFF3Z3rOaiLJNrj7WpB3IXy7.pdf</t>
  </si>
  <si>
    <t>https://storage.googleapis.com/deytha-prod/paymentBills/kVPl6AfjfjU0tfX0XFHnfaPTuumXLhlYn93ypKjV.pdf</t>
  </si>
  <si>
    <t>https://storage.googleapis.com/deytha-prod/supplierBills/QtGnK1XJ4oYE9dZGJkYKdbi9KHla0rfV14kYPejN.pdf</t>
  </si>
  <si>
    <t>2025-05-07 22:20:13</t>
  </si>
  <si>
    <t>2025-05-07 18:19:36</t>
  </si>
  <si>
    <t>PAGO PARA EMO DE TERRONES LUÑO EDILBERTO</t>
  </si>
  <si>
    <t>2025-05-08 18:52:36</t>
  </si>
  <si>
    <t>https://storage.googleapis.com/deytha-prod/payments/Z6LyDt4wjU0fY4BbocymZoGDNH4LgNPWV5kx7s8y.png</t>
  </si>
  <si>
    <t>https://storage.googleapis.com/deytha-prod/paymentBills/m8rchW6w3ABFFfxwaSevK0vQ32bRJzyrriyxxyvO.png</t>
  </si>
  <si>
    <t>https://storage.googleapis.com/deytha-prod/supplierBills/zFaFxzfAUsLTHhHS5tIky5e7ht0yjxasoJ9PeLjl.pdf</t>
  </si>
  <si>
    <t>2025-05-07 22:58:28</t>
  </si>
  <si>
    <t>2025-05-07 18:57:57</t>
  </si>
  <si>
    <t xml:space="preserve">PAGO DE EMO PARA FELIPE TORRES FREDDY ESTANISLAO, VIZCARRA VELLANO HERRY JORGE Y ESTELLE LAURA BRAYAN STEVENS
</t>
  </si>
  <si>
    <t>2025-05-08 18:46:20</t>
  </si>
  <si>
    <t>https://storage.googleapis.com/deytha-prod/payments/Rlhe5kWaPcZJ9MHHpHCwG8MoEJDjPR6wzQHWEtOY.xlsx</t>
  </si>
  <si>
    <t>https://storage.googleapis.com/deytha-prod/paymentBills/K6uvKX4QweHT9MehL4CX2SPstQrMukSqIuMHJwBL.png</t>
  </si>
  <si>
    <t>https://storage.googleapis.com/deytha-prod/supplierBills/yMXC1Uhu4HjRWHaOnCchZ1abODLWmdHB3fFhqzK4.pdf</t>
  </si>
  <si>
    <t>2025-05-07 16:28:13</t>
  </si>
  <si>
    <t>2025-05-07 16:14:15</t>
  </si>
  <si>
    <t>2025-05-08 11:28:04</t>
  </si>
  <si>
    <t xml:space="preserve">SOLICITUD DE CAJA CHICA SEMANA 01 </t>
  </si>
  <si>
    <t>2025-05-08 18:41:53</t>
  </si>
  <si>
    <t>https://storage.googleapis.com/deytha-prod/paymentBills/t1dMZD0F5vUwymRwfLfJ7vSA1Lrht3NMvckdAzBb.png</t>
  </si>
  <si>
    <t>2025-05-07 21:02:25</t>
  </si>
  <si>
    <t>2025-05-08 16:02:14</t>
  </si>
  <si>
    <t xml:space="preserve">SUPERVISIÓN,  INSTALACIÓN  Y  PUESTA  EN  MARCHA  DE SISTEMAS ✓  Redes inalámbricas ✓  Microondas de respaldo ✓  Sistema troncalizado Kenwood ✓  Estación GPS de referencia ✓  Sistema de radio cultural 
BANCOS EN ESTADOS UNIDOS DE AMERICA:  BANK OF AMERICA  3025 NW 87th ave  Galloway Road, Miami, FL 33172 
Phone: 1-305-591-0302  
Swift: BOFAUS3N  ABA: 026009593  
ACH Routing  
Number: 063100277   
Nombre: Regi Eugenio Delgadillo  
Numero de cuenta: 8980 8518 0380  
Direccion: 6320 SW, 26th ST, Miami, FL 33155-3013  
Telefono: 1-305-647-5490 
</t>
  </si>
  <si>
    <t>2025-05-08 10:47:00</t>
  </si>
  <si>
    <t>https://storage.googleapis.com/deytha-prod/payments/SIvOFNZ5To7p7ngH5C3fsek7N6mnUEhIAm5IhHTu.pdf</t>
  </si>
  <si>
    <t>https://storage.googleapis.com/deytha-prod/paymentBills/fEuek76OrBrnLNs7gmQs6P0g9sxlVhGup9Hcd9MY.png</t>
  </si>
  <si>
    <t>2025-05-07 16:30:30</t>
  </si>
  <si>
    <t>2025-05-07 15:27:53</t>
  </si>
  <si>
    <t>2025-05-08 11:29:53</t>
  </si>
  <si>
    <t>Cotización de madera para encofrado</t>
  </si>
  <si>
    <t>2025-05-07 17:02:00</t>
  </si>
  <si>
    <t>https://storage.googleapis.com/deytha-prod/payments/4VZxTlqEnRzhqYM8IQCx1MCXmtu22jpzQFVvjyz6.pdf</t>
  </si>
  <si>
    <t>https://storage.googleapis.com/deytha-prod/paymentBills/JHwGm9YbpT2eMlfTQxgf93nmAyHz1Q8ob7FPnFQc.png</t>
  </si>
  <si>
    <t>https://storage.googleapis.com/deytha-prod/supplierBills/I8kxgCgBqeQ23KTZvfeZm8nZDBnGag79K9nXiWrT.pdf</t>
  </si>
  <si>
    <t>2025-05-07 19:55:14</t>
  </si>
  <si>
    <t>2025-05-08 14:54:16</t>
  </si>
  <si>
    <t>Maderas para construir banco</t>
  </si>
  <si>
    <t>2025-05-07 16:34:43</t>
  </si>
  <si>
    <t>https://storage.googleapis.com/deytha-prod/payments/K0SpWuE7y7CjjOT3QaKwb2yHkuZdXhSo89fYbq8q.pdf</t>
  </si>
  <si>
    <t>https://storage.googleapis.com/deytha-prod/paymentBills/iFNngWGPBlzUC3YZDDcputGD4JHnIFc1V56f48gT.png</t>
  </si>
  <si>
    <t>https://storage.googleapis.com/deytha-prod/supplierBills/zlWpNiSqInBo4fEuegV0WmtYCBcTtlMDuGr8HUUr.pdf</t>
  </si>
  <si>
    <t>2025-05-07 14:20:21</t>
  </si>
  <si>
    <t>2025-05-07 13:14:28</t>
  </si>
  <si>
    <t>2025-05-07 10:20:12</t>
  </si>
  <si>
    <t>PAGOS POR LOS EMOS DE QUISPE FLORES EDWIN ALBERTO Y EGUILUZ HUANCA DEYANIRA JHOSELYN</t>
  </si>
  <si>
    <t>2025-05-07 16:47:38</t>
  </si>
  <si>
    <t>https://storage.googleapis.com/deytha-prod/payments/kee1utGj1v8RScOkEdu4mTZ2bqnK4txsSFZWcrSv.pdf</t>
  </si>
  <si>
    <t>https://storage.googleapis.com/deytha-prod/paymentBills/59E7LSnJfYnI2UHsh4uTKkmvQ3sEXiwjfZzPAcun.png</t>
  </si>
  <si>
    <t>https://storage.googleapis.com/deytha-prod/supplierBills/1IME5DhBJRMyN4swyn81QXmzFurTuE08KAGjHKMy.pdf</t>
  </si>
  <si>
    <t>2025-05-07 15:03:42</t>
  </si>
  <si>
    <t>2025-05-07 11:03:12</t>
  </si>
  <si>
    <t>PAGO DE EMO PARA AVALOS ORTEGA YEISON VICTOR</t>
  </si>
  <si>
    <t>2025-05-07 16:55:37</t>
  </si>
  <si>
    <t>https://storage.googleapis.com/deytha-prod/payments/Y3NKqHXnj8HXTdFM6IdnsBi0pb1nWclvDBKe5F39.pdf</t>
  </si>
  <si>
    <t>https://storage.googleapis.com/deytha-prod/paymentBills/Pr0bwuItAMtsHXXNllQlWhPsvMwrgWq98c31cubm.png</t>
  </si>
  <si>
    <t>https://storage.googleapis.com/deytha-prod/supplierBills/i9ET9e9XD9FkHO7wGJOJY9PFW4ROuNDQxqr7PZJE.pdf</t>
  </si>
  <si>
    <t>2025-05-07 15:12:41</t>
  </si>
  <si>
    <t>2025-05-07 11:11:38</t>
  </si>
  <si>
    <t>CENTRO MEDICO VIRGEN DEL CARMEN E.I.R.L</t>
  </si>
  <si>
    <t>290-1565151-0-97</t>
  </si>
  <si>
    <t>PAGO POR EMOS PARA CHIZA TIRADO VICTOR JOEL, VILELA CABADA MICHAEL Y DURANGO GOLAC ROBERT</t>
  </si>
  <si>
    <t>2025-05-07 17:55:22</t>
  </si>
  <si>
    <t>https://storage.googleapis.com/deytha-prod/payments/3mTf1AgAQeJy0FkhA6boWGzr8vyvR682DxhOf1PV.pdf</t>
  </si>
  <si>
    <t>https://storage.googleapis.com/deytha-prod/paymentBills/lCki7HZDe7o9mYAxKJmsW9NLMVpANi5Kp105s4ze.png</t>
  </si>
  <si>
    <t>https://storage.googleapis.com/deytha-prod/supplierBills/AjfHyoo4ZyRwz5nfS8LDGYDBh90Rphw0C5q2hZ9r.pdf</t>
  </si>
  <si>
    <t>2025-05-07 15:59:56</t>
  </si>
  <si>
    <t>2025-05-07 11:59:50</t>
  </si>
  <si>
    <t>PAGO POR  EL EMO PARA DE AGUIRRE RIVERA ALEX</t>
  </si>
  <si>
    <t>2025-05-07 16:21:51</t>
  </si>
  <si>
    <t>https://storage.googleapis.com/deytha-prod/payments/SwUzPgniYb81cFzvrxaFmc14AD5aayJl4brJQY6N.pdf</t>
  </si>
  <si>
    <t>https://storage.googleapis.com/deytha-prod/paymentBills/4FIKyCzYW3XPc5HfFkefr9haZfl8cWFIW1XsnYvA.png</t>
  </si>
  <si>
    <t>https://storage.googleapis.com/deytha-prod/supplierBills/S8P5NI4NYNCeYEQAqisz41JgJbFvWAxww73Braq9.pdf</t>
  </si>
  <si>
    <t>2025-05-07 16:01:58</t>
  </si>
  <si>
    <t>2025-05-07 12:01:50</t>
  </si>
  <si>
    <t>PAGO POR EL EMO DE SABINA HUANCA JOSE LUIS</t>
  </si>
  <si>
    <t>2025-05-07 16:27:48</t>
  </si>
  <si>
    <t>https://storage.googleapis.com/deytha-prod/payments/m3DNS76P8Av3mExCygH9C9UtW9u3Epc7GRFsOyGK.pdf</t>
  </si>
  <si>
    <t>https://storage.googleapis.com/deytha-prod/paymentBills/cpKD0kPDqG95ScfElPbzgJx8OG2YV5zFGcm8M0jO.png</t>
  </si>
  <si>
    <t>https://storage.googleapis.com/deytha-prod/supplierBills/t3ezZAqByezo9QYEiJLnL9p32zoRlgSsLpJhbh6y.pdf</t>
  </si>
  <si>
    <t>2025-05-06 22:11:21</t>
  </si>
  <si>
    <t>2025-05-06 17:13:37</t>
  </si>
  <si>
    <t>2025-05-07 17:09:49</t>
  </si>
  <si>
    <t>ALQUILER DE 02 BAÑOS QUIMICOS Y DE 1 LAVA MANOS PARA ZONA D2</t>
  </si>
  <si>
    <t>2025-05-07 12:03:00</t>
  </si>
  <si>
    <t>https://storage.googleapis.com/deytha-prod/payments/O2wy7f84WokUh9rUiM2zyhFYBGkZ06AVCw0V14NG.pdf</t>
  </si>
  <si>
    <t>https://storage.googleapis.com/deytha-prod/paymentBills/mipZO48p5eGDnWXPimGhDuIEbcj70Q7Dkf1NUZom.png</t>
  </si>
  <si>
    <t>https://storage.googleapis.com/deytha-prod/supplierBills/qnEQ9POCdAFYPF9YaYUoAZr7N5DO61Xevm59pZZA.pdf</t>
  </si>
  <si>
    <t>2025-05-04 22:17:04</t>
  </si>
  <si>
    <t>2025-05-06 16:35:44</t>
  </si>
  <si>
    <t>2025-05-05 17:16:42</t>
  </si>
  <si>
    <t xml:space="preserve">CHAVOS PARA OBRA </t>
  </si>
  <si>
    <t>2025-05-07 12:10:00</t>
  </si>
  <si>
    <t>https://storage.googleapis.com/deytha-prod/payments/sAUZPBINiIyGBjY6R9DkJ2j0HcbwZyWvsaUaJ2Gd.pdf</t>
  </si>
  <si>
    <t>https://storage.googleapis.com/deytha-prod/paymentBills/JTwdEQT5m8dnAOgkd0y43m3XxrFyaeffMV474Mev.png</t>
  </si>
  <si>
    <t>https://storage.googleapis.com/deytha-prod/supplierBills/9xfF7Int4wtJShMMsdLeT5kg0R9MXVgFjilBWdcY.pdf</t>
  </si>
  <si>
    <t>2025-05-06 14:16:48</t>
  </si>
  <si>
    <t>2025-05-06 13:16:24</t>
  </si>
  <si>
    <t>2025-05-07 09:15:53</t>
  </si>
  <si>
    <t xml:space="preserve">ALQUILER DE 2 OFICINAS 3 ALMACENES DEL MES DE MAYO </t>
  </si>
  <si>
    <t>2025-05-07 10:36:00</t>
  </si>
  <si>
    <t>https://storage.googleapis.com/deytha-prod/payments/CaGNsLX6dAOgH7TS1PZP2ci5Hm5m0TNZRRp4CHDu.pdf</t>
  </si>
  <si>
    <t>https://storage.googleapis.com/deytha-prod/paymentBills/4mA22vi2hWVp1zaf9YNCWJclBRdTJU8YRcdJQ87w.pdf</t>
  </si>
  <si>
    <t>https://storage.googleapis.com/deytha-prod/supplierBills/kyZLmGP629ZIiBgAovKCLLFNaVGkT58NZi4CKVuA.pdf</t>
  </si>
  <si>
    <t>2025-05-06 17:07:00</t>
  </si>
  <si>
    <t>2025-05-06 12:58:14</t>
  </si>
  <si>
    <t>2025-05-07 12:06:27</t>
  </si>
  <si>
    <t>LUQUE CHINO ERNESTO AURELIO</t>
  </si>
  <si>
    <t xml:space="preserve">TRASLADO DE MATERIALES Y HERRAMIENTAS DE AREQUIPA HACIA MQOUEGUA </t>
  </si>
  <si>
    <t>2025-05-06 18:46:00</t>
  </si>
  <si>
    <t>https://storage.googleapis.com/deytha-prod/payments/8VTPLsFBkWI1r8hbFGPMGyEKACI26IdkUbEtxiu6.pdf</t>
  </si>
  <si>
    <t>https://storage.googleapis.com/deytha-prod/paymentBills/2xcb95K6VO8PxbELGQ3jNaKMliGJVhFftBjqTk0z.png</t>
  </si>
  <si>
    <t>https://storage.googleapis.com/deytha-prod/supplierBills/ROnj3hAbzhum6IEqjRgdrV2QnVwUQgpoUGCeBFbh.pdf</t>
  </si>
  <si>
    <t>2025-05-06 17:15:02</t>
  </si>
  <si>
    <t>2025-05-07 12:14:48</t>
  </si>
  <si>
    <t xml:space="preserve">GENERADOR 6500W MOTOR HONDA
WERKEN </t>
  </si>
  <si>
    <t>2025-05-06 16:42:11</t>
  </si>
  <si>
    <t>https://storage.googleapis.com/deytha-prod/payments/i8vvOdvS1aRIuTFpIy9pXOSh61qKUVchWZ4k86Qk.pdf</t>
  </si>
  <si>
    <t>https://storage.googleapis.com/deytha-prod/paymentBills/4Q814V7g28pzbj5GCOQb5DVxpRBx7JgkHTLWRDmP.png</t>
  </si>
  <si>
    <t>https://storage.googleapis.com/deytha-prod/supplierBills/amtMhhAd35PZCYj6rDsaJkCuKF4aQ55Q7z5PDYJu.pdf</t>
  </si>
  <si>
    <t>2025-05-05 14:38:09</t>
  </si>
  <si>
    <t>2025-05-05 15:25:31</t>
  </si>
  <si>
    <t>2025-05-05 11:38:04</t>
  </si>
  <si>
    <t>EMO SOLO PARA GUERRA DÁVILA JIMY</t>
  </si>
  <si>
    <t>2025-05-05 17:56:22</t>
  </si>
  <si>
    <t>https://storage.googleapis.com/deytha-prod/payments/em6eUhG9Fvgca5dSvDD0NCV2YMlAoMtB0kp4G3pi.pdf</t>
  </si>
  <si>
    <t>https://storage.googleapis.com/deytha-prod/paymentBills/xzwer8rZ8akF26GnRkoQlVcmPcZX71UlbjEdxRFO.png</t>
  </si>
  <si>
    <t>https://storage.googleapis.com/deytha-prod/supplierBills/IK0nN26f1yNVFiSoKM3tYaeFUCgTsmjPUFzm4anq.pdf</t>
  </si>
  <si>
    <t>2025-05-05 14:42:44</t>
  </si>
  <si>
    <t>2025-05-05 11:42:35</t>
  </si>
  <si>
    <t>PAGO DE EMO PARA SALAS PEÑALOZA YEFFER ISRAEL JESUS Y SOLAR CHAGUA ROGER IVAN</t>
  </si>
  <si>
    <t>2025-05-06 16:19:27</t>
  </si>
  <si>
    <t>https://storage.googleapis.com/deytha-prod/payments/GCD0EJ2TrQplRbJHOjyqjGwR1iW7GVhod3SEFXbh.png</t>
  </si>
  <si>
    <t>https://storage.googleapis.com/deytha-prod/paymentBills/P5CflYii27O2BO4vHR8LjBlnzkAx77QMbwp9vCmU.png</t>
  </si>
  <si>
    <t>https://storage.googleapis.com/deytha-prod/supplierBills/tDuphVcjo5Qd9S0veEg4Y0fAOJNOCC4bxgUc6mJT.pdf</t>
  </si>
  <si>
    <t>2025-05-05 16:31:44</t>
  </si>
  <si>
    <t>2025-05-05 13:31:42</t>
  </si>
  <si>
    <t xml:space="preserve">PAGO POR EL EMO DE DONGO GOMEZ JOSE RODRIGO </t>
  </si>
  <si>
    <t>2025-05-06 16:25:20</t>
  </si>
  <si>
    <t>https://storage.googleapis.com/deytha-prod/payments/h10ECAf6vyc0UCiLnkTifJA6DjAerZnjRIUs6hQQ.png</t>
  </si>
  <si>
    <t>https://storage.googleapis.com/deytha-prod/paymentBills/su1drTlUMGEg92qQhyCvdM5QOESIHw6ux82dpuYd.png</t>
  </si>
  <si>
    <t>https://storage.googleapis.com/deytha-prod/supplierBills/UejnKYNCyLz7yUBUqlSe6dECOvTj4nCqQEpPsgMP.pdf</t>
  </si>
  <si>
    <t>2025-05-05 16:55:09</t>
  </si>
  <si>
    <t>2025-05-05 13:53:00</t>
  </si>
  <si>
    <t>PAGO DE DEVOLUCIÓN DADO QUE SE HIZO LA TRANFERENCIA DIRECTAME A LA CLINICA
CUENTA: BCP Soles es 24506973015075</t>
  </si>
  <si>
    <t>2025-05-06 16:32:42</t>
  </si>
  <si>
    <t>https://storage.googleapis.com/deytha-prod/payments/1Fyh1mErvj8AOiwyNpGWkj8E5IjOX7vVFTgbfWn4.pdf</t>
  </si>
  <si>
    <t>https://storage.googleapis.com/deytha-prod/paymentBills/1C7nFhXuA8hQNJw6MbeFC0JVlTNhYdGqcel2Kslg.png</t>
  </si>
  <si>
    <t>https://storage.googleapis.com/deytha-prod/supplierBills/OpTnmhoGoBBhKRAiuALHhnGLeKZRUFWiF2QVNp7M.pdf</t>
  </si>
  <si>
    <t>INICIATIVAS-KAIZIS</t>
  </si>
  <si>
    <t>2025-05-03 00:23:55</t>
  </si>
  <si>
    <t>2025-05-02 19:29:39</t>
  </si>
  <si>
    <t>2025-05-06 10:23:42</t>
  </si>
  <si>
    <t>SE NECESITA ACTIVAR DOS ANTENAS STARLINK Y EL MONTO SERÍA 180.14, EL PAGO SOLICITADO ES PARA DEVOLUCIÓN</t>
  </si>
  <si>
    <t>2025-05-22 11:08:00</t>
  </si>
  <si>
    <t>https://storage.googleapis.com/deytha-prod/payments/rzs227jXseR92oyxtm3OE1XshXZqOBhwKgPVJ2CI.png</t>
  </si>
  <si>
    <t>https://storage.googleapis.com/deytha-prod/paymentBills/6n9QTnTlv5h8bXM4tg91kaQI0Gs8EQ8on8fzPldQ.png</t>
  </si>
  <si>
    <t>https://storage.googleapis.com/deytha-prod/rqf/21162/3400d005-c322-4159-8381-f5f6a868f02a_WhatsApp Image 2025-11-24 at 5.25.00 PM.jpeg</t>
  </si>
  <si>
    <t>2025-05-02 17:42:07</t>
  </si>
  <si>
    <t>2025-05-02 20:42:09</t>
  </si>
  <si>
    <t>2025-05-03 15:42:03</t>
  </si>
  <si>
    <t xml:space="preserve">MATERIALES CIVILES 
FIERRRO 
CARRETILLA </t>
  </si>
  <si>
    <t>2025-05-05 10:58:41</t>
  </si>
  <si>
    <t>https://storage.googleapis.com/deytha-prod/payments/SgwuOd0zveCvXGy6ssnvXzBdfeQLKcrZRWpJjD3g.pdf</t>
  </si>
  <si>
    <t>https://storage.googleapis.com/deytha-prod/paymentBills/ulyT7tG9cm9cu6hMOCCewzAgUo3fFpRLvnbtxGpb.png</t>
  </si>
  <si>
    <t>https://storage.googleapis.com/deytha-prod/supplierBills/4r4PuHWnBw8aLcvlmqGTEWch6V8GXpoxMEOjaI1Y.pdf</t>
  </si>
  <si>
    <t>2025-05-02 21:59:55</t>
  </si>
  <si>
    <t>2025-05-03 16:59:43</t>
  </si>
  <si>
    <t>PRODEXMIN CORPORATION S.A.C.</t>
  </si>
  <si>
    <t>215-1992099-0-27</t>
  </si>
  <si>
    <t>EPPS VARIOS AQP</t>
  </si>
  <si>
    <t>2025-05-05 00:02:00</t>
  </si>
  <si>
    <t>https://storage.googleapis.com/deytha-prod/payments/j27hdefKQ2f5mDEgHFYTPJEZlRnYUIrR8OVYnM7l.pdf</t>
  </si>
  <si>
    <t>https://storage.googleapis.com/deytha-prod/paymentBills/4w1DwijGknjqbRJsaN6x4JAetJlddPgkEMVAqLQW.jpg</t>
  </si>
  <si>
    <t>https://storage.googleapis.com/deytha-prod/supplierBills/Glok7D8dRyPv45Eh4EGo3xdTZua0MBWdGsspGyLJ.pdf</t>
  </si>
  <si>
    <t>2025-05-02 22:03:07</t>
  </si>
  <si>
    <t>2025-05-03 17:02:59</t>
  </si>
  <si>
    <t>2025-05-04 23:59:00</t>
  </si>
  <si>
    <t>https://storage.googleapis.com/deytha-prod/payments/Do8DP2iaTSA3IpbOtG0v2lGK6XcJNyKSGd2sXPCC.pdf</t>
  </si>
  <si>
    <t>https://storage.googleapis.com/deytha-prod/paymentBills/IWqm5hvybuW41WXz8uWA4Ma9KnssPuqcEMhDQSY8.jpg</t>
  </si>
  <si>
    <t>https://storage.googleapis.com/deytha-prod/supplierBills/TJMuqoIa4XrPecibH9w3CcsSHtdTT7pdSM389xbt.pdf</t>
  </si>
  <si>
    <t>2025-05-02 22:08:03</t>
  </si>
  <si>
    <t>2025-05-03 17:07:56</t>
  </si>
  <si>
    <t xml:space="preserve">EPP PARA PERSONAL </t>
  </si>
  <si>
    <t>2025-05-04 23:51:00</t>
  </si>
  <si>
    <t>https://storage.googleapis.com/deytha-prod/payments/3L02CK8G92JMQoyRx8eiz2YcuDXDHG3nzBiD6Q7L.pdf</t>
  </si>
  <si>
    <t>https://storage.googleapis.com/deytha-prod/paymentBills/nn3rhiMj3Bo6Gv1QSg51lROf3A3pCk6PRbxXgK2B.jpg</t>
  </si>
  <si>
    <t>https://storage.googleapis.com/deytha-prod/supplierBills/WNKwC3xemlpUXZsmniYZF7SjfNNdBbQsjThjYs4g.pdf</t>
  </si>
  <si>
    <t>2025-04-30 23:30:11</t>
  </si>
  <si>
    <t>2025-05-02 08:35:09</t>
  </si>
  <si>
    <t>2025-05-02 09:29:10</t>
  </si>
  <si>
    <t xml:space="preserve">BORDADOS DE UNIFORMES </t>
  </si>
  <si>
    <t>2025-05-02 16:24:13</t>
  </si>
  <si>
    <t>https://storage.googleapis.com/deytha-prod/payments/KqER0nS7Y2fUMQDgct3tI9tau0FlzNQFEfiimYuT.pdf</t>
  </si>
  <si>
    <t>https://storage.googleapis.com/deytha-prod/paymentBills/LPvLY9uaPepJDzG65IWowZRPARm3Qb0DBMj6oHKY.png</t>
  </si>
  <si>
    <t>https://storage.googleapis.com/deytha-prod/supplierBills/0EK6Sm6K5iE7cJR75lSG0uczjpHhF49x0Wn4XWMS.pdf</t>
  </si>
  <si>
    <t>2025-04-30 23:34:11</t>
  </si>
  <si>
    <t>2025-05-02 09:33:43</t>
  </si>
  <si>
    <t>CASCO 
TRAPO 
TAPONES AUDITIVOS</t>
  </si>
  <si>
    <t>2025-05-04 23:55:00</t>
  </si>
  <si>
    <t>https://storage.googleapis.com/deytha-prod/payments/4dhU17WA3SGcesnlwK1LZwYW3KCkP3bK8dI5H4kr.pdf</t>
  </si>
  <si>
    <t>https://storage.googleapis.com/deytha-prod/paymentBills/6tCcfoD3gOk88mpQA31PyjLlIUSDTNPrvxwQBchp.jpg</t>
  </si>
  <si>
    <t>https://storage.googleapis.com/deytha-prod/supplierBills/7Ts6M2PlQOe5b8wOumNlmpXbzGH4CehwISKdl4dz.pdf</t>
  </si>
  <si>
    <t>2025-05-01 19:12:14</t>
  </si>
  <si>
    <t>2025-05-02 14:12:07</t>
  </si>
  <si>
    <t>COMPRA DE IMPRESORA A3</t>
  </si>
  <si>
    <t>2025-05-02 13:12:53</t>
  </si>
  <si>
    <t>https://storage.googleapis.com/deytha-prod/payments/AhMMqVaosA8hOSqxPR6C35FohPyzq6utfeM2NTDx.pdf</t>
  </si>
  <si>
    <t>https://storage.googleapis.com/deytha-prod/paymentBills/E8KM1PgX0EyKIfnmIxllEGIddXskX9Kr5r3SlJAE.png</t>
  </si>
  <si>
    <t>https://storage.googleapis.com/deytha-prod/supplierBills/6rEGK1gJ4F2t9PKFBg7IYP6QmUeeBEV8fcsz110b.pdf</t>
  </si>
  <si>
    <t>2025-05-01 19:16:09</t>
  </si>
  <si>
    <t>2025-05-01 20:16:07</t>
  </si>
  <si>
    <t>COMPRA DE 02 ANTENAS STARLINK PARA PROYECTO</t>
  </si>
  <si>
    <t>2025-05-02 13:19:23</t>
  </si>
  <si>
    <t>https://storage.googleapis.com/deytha-prod/payments/pzSfNx1YVmwlAi9M5VRdfnu4zrF7Kt7BLAWHqXRu.png</t>
  </si>
  <si>
    <t>https://storage.googleapis.com/deytha-prod/paymentBills/Sh3xyPuEG1xENNfZmbXrNbTjVjNWxBb0xMYzs2Rc.png</t>
  </si>
  <si>
    <t>https://storage.googleapis.com/deytha-prod/rqf/21075/90e6fa0f-2d83-44a4-a8bf-e93ae68eee27_Starlink.pdf</t>
  </si>
  <si>
    <t>2025-05-01 21:54:41</t>
  </si>
  <si>
    <t>2025-05-02 16:54:23</t>
  </si>
  <si>
    <t xml:space="preserve">CAJAS DE AGUA </t>
  </si>
  <si>
    <t>2025-05-05 00:02:47</t>
  </si>
  <si>
    <t>https://storage.googleapis.com/deytha-prod/payments/mq8bMWrOiPYcIXHThUAyQJqIW9yzE32HN1FKhPwb.pdf</t>
  </si>
  <si>
    <t>https://storage.googleapis.com/deytha-prod/paymentBills/sIhEXKPRSvqo6Mn1tbh0l2lTkNwPZrx1Wkun7nHM.jpg</t>
  </si>
  <si>
    <t>https://storage.googleapis.com/deytha-prod/supplierBills/oPzm9jsn4GLWzhLex9STzYaM2rHxRWDFgotvNWNc.pdf</t>
  </si>
  <si>
    <t>2025-04-30 17:38:48</t>
  </si>
  <si>
    <t>2025-05-01 16:38:28</t>
  </si>
  <si>
    <t>2025-04-30 14:37:14</t>
  </si>
  <si>
    <t>PAGO POR EMO PRE OCUPACIONAL PARA ALVARADO FLORES DAVID ELOY</t>
  </si>
  <si>
    <t>2025-05-05 14:52:33</t>
  </si>
  <si>
    <t>https://storage.googleapis.com/deytha-prod/payments/TbTftpOEFtqnaWXep20oBzQSn7tUe6J8Zjuo0IAO.jpg</t>
  </si>
  <si>
    <t>https://storage.googleapis.com/deytha-prod/paymentBills/Jv0impi0odl94oneP5uyxWa7XUBIe4nmXLCXc7Iu.png</t>
  </si>
  <si>
    <t>https://storage.googleapis.com/deytha-prod/supplierBills/4615y8rjTWWkfvXHRuEN2hteX99nfhTTthVxfpRd.pdf</t>
  </si>
  <si>
    <t>2025-04-30 13:35:48</t>
  </si>
  <si>
    <t>2025-04-30 08:55:36</t>
  </si>
  <si>
    <t>2025-05-01 08:35:00</t>
  </si>
  <si>
    <t xml:space="preserve">BANNER Y 
STICKER IMANTADOS PARA CAMIONETA </t>
  </si>
  <si>
    <t>2025-04-30 10:22:00</t>
  </si>
  <si>
    <t>https://storage.googleapis.com/deytha-prod/paymentBills/mq3hkqaaxJa7n1GSAyx9qW43WZ0J4h3JGfoarcjC.png</t>
  </si>
  <si>
    <t>https://storage.googleapis.com/deytha-prod/supplierBills/WZr0g689sGpUdHH9jxXHrZcRqyFzI9M7aPFY7WGG.pdf</t>
  </si>
  <si>
    <t>2025-04-30 02:07:24</t>
  </si>
  <si>
    <t>2025-04-30 00:08:50</t>
  </si>
  <si>
    <t>2025-04-30 14:06:53</t>
  </si>
  <si>
    <t>PAGO DE EMO PARA CHAGUA QUISPE JOSE LUIS</t>
  </si>
  <si>
    <t>2025-05-02 15:11:37</t>
  </si>
  <si>
    <t>https://storage.googleapis.com/deytha-prod/payments/Ho93iSFv2rHQt6MlbEDkq7OXMmISda9oDDPvn0zD.pdf</t>
  </si>
  <si>
    <t>https://storage.googleapis.com/deytha-prod/paymentBills/0I72hGs8254cJ7dmNdQOGIkAHVTGNaYNrbiCDxyI.pdf</t>
  </si>
  <si>
    <t>https://storage.googleapis.com/deytha-prod/supplierBills/l7oszoIlj5QvCLGXEc5j0v1Lcjjz41m8Dw3D9c56.pdf</t>
  </si>
  <si>
    <t>2025-04-29 20:32:57</t>
  </si>
  <si>
    <t>2025-04-29 17:12:41</t>
  </si>
  <si>
    <t>2025-04-30 15:32:50</t>
  </si>
  <si>
    <t xml:space="preserve">UNIFORMES PARA PERSONAL DE PISO </t>
  </si>
  <si>
    <t>2025-04-30 11:52:00</t>
  </si>
  <si>
    <t>https://storage.googleapis.com/deytha-prod/payments/wrclG3z29Rn4aLxffEbVA7PXXUx6dIFhwVpkswZm.pdf</t>
  </si>
  <si>
    <t>https://storage.googleapis.com/deytha-prod/paymentBills/CT3aB8YNKx9hj9Md3rE8zYOMfOYCyg7jiMOti8an.png</t>
  </si>
  <si>
    <t>https://storage.googleapis.com/deytha-prod/supplierBills/NOOFInysKQfhDYTSB2oaWV7rf2v54Eo0k8w7SyIe.pdf</t>
  </si>
  <si>
    <t>2025-04-29 20:36:33</t>
  </si>
  <si>
    <t>2025-04-30 15:35:58</t>
  </si>
  <si>
    <t xml:space="preserve">PIZARRAS OFICINA MOQUEGUA </t>
  </si>
  <si>
    <t>2025-04-30 10:22:29</t>
  </si>
  <si>
    <t>https://storage.googleapis.com/deytha-prod/payments/eYCVRK9A177PCSXTeFYrWZsfLRPWxr2AgvSPOo9k.pdf</t>
  </si>
  <si>
    <t>https://storage.googleapis.com/deytha-prod/paymentBills/AJ0jZPl0d6WVJ1R62pVZJGEtR4j1MhljTgXeOUIq.png</t>
  </si>
  <si>
    <t>https://storage.googleapis.com/deytha-prod/supplierBills/t1Ek3hcVWjX1dmqWEJs9VlNDFoMyA3K9LUvbTgkr.pdf</t>
  </si>
  <si>
    <t>2025-04-29 20:39:31</t>
  </si>
  <si>
    <t>2025-04-30 15:39:07</t>
  </si>
  <si>
    <t>2025-04-30 11:52:45</t>
  </si>
  <si>
    <t>https://storage.googleapis.com/deytha-prod/payments/p0FetoEnJmcg8XY62QCKqjNJcAWEkT5MLSqul0M8.pdf</t>
  </si>
  <si>
    <t>https://storage.googleapis.com/deytha-prod/paymentBills/Av18ine2tDIVieRlWUi1SJ8HtGLxIxnkipXfbbCi.png</t>
  </si>
  <si>
    <t>https://storage.googleapis.com/deytha-prod/supplierBills/qI80lKbvLcs8Bs0PLI0R3kyKaq7T1RAWpDJCRZUE.bin</t>
  </si>
  <si>
    <t>2025-04-29 20:40:56</t>
  </si>
  <si>
    <t>2025-04-30 15:40:40</t>
  </si>
  <si>
    <t xml:space="preserve">CAJA CHICA 001 - PY028 </t>
  </si>
  <si>
    <t>2025-05-02 16:38:07</t>
  </si>
  <si>
    <t>https://storage.googleapis.com/deytha-prod/paymentBills/VfiIN3NLZLiOnA7rKLJ6xXnupv9fC129eFsgG5Z3.png</t>
  </si>
  <si>
    <t>2025-04-29 20:44:06</t>
  </si>
  <si>
    <t>2025-04-30 15:44:05</t>
  </si>
  <si>
    <t xml:space="preserve">PASAJE INGENIERO DE CALIDAD DE CAJAMARCA A TACNA -- CODIGO DE SAFETY 644522	</t>
  </si>
  <si>
    <t>2025-04-29 17:52:17</t>
  </si>
  <si>
    <t>https://storage.googleapis.com/deytha-prod/paymentBills/CTFl4EZukpLspIZL5QjTtKoucKaWzcRktpfxlHpG.jpg</t>
  </si>
  <si>
    <t>https://storage.googleapis.com/deytha-prod/supplierBills/GfnHCdv5RhL6nrt4FuguVpD3xxMPC8OWyfcSnQOC.pdf</t>
  </si>
  <si>
    <t>2025-04-28 23:08:34</t>
  </si>
  <si>
    <t>2025-04-28 18:20:13</t>
  </si>
  <si>
    <t>2025-04-29 18:07:44</t>
  </si>
  <si>
    <t xml:space="preserve">ESCRITORIO MESAS Y ESTANTE PARA IMPLEMETACION DE OFICINAS </t>
  </si>
  <si>
    <t>2025-04-29 09:53:15</t>
  </si>
  <si>
    <t>https://storage.googleapis.com/deytha-prod/payments/FpR781nn9guWc32oxXr1CZ0Mdo4hLcALU0QxLIAA.pdf</t>
  </si>
  <si>
    <t>https://storage.googleapis.com/deytha-prod/paymentBills/uOsVQ1n16PiQRIIycfyeFaKK4kORPJVmyq6tHLRy.png</t>
  </si>
  <si>
    <t>https://storage.googleapis.com/deytha-prod/supplierBills/EHIgamjeXnvIknv4ityk1OPE24eHrrC5ZwJ92W9I.pdf</t>
  </si>
  <si>
    <t>2025-04-28 21:19:38</t>
  </si>
  <si>
    <t>2025-04-28 17:24:01</t>
  </si>
  <si>
    <t>2025-04-28 18:19:23</t>
  </si>
  <si>
    <t xml:space="preserve">PAGO POR LOS EMOS SOLO DE QUISPE ALAVE TEOBALDO Y VARGAS PARI GUIDO
</t>
  </si>
  <si>
    <t>2025-05-02 15:10:09</t>
  </si>
  <si>
    <t>https://storage.googleapis.com/deytha-prod/payments/YX3CxcExaerwdwfFWiV3lCWt4BDomx7pN9Eb7wNm.pdf</t>
  </si>
  <si>
    <t>https://storage.googleapis.com/deytha-prod/paymentBills/I6yTOytSk5YD16Is3sofcFTGmTzTTMfUIrH257Cv.pdf</t>
  </si>
  <si>
    <t>https://storage.googleapis.com/deytha-prod/supplierBills/QNWtheYwu2KX23cCRPxT5SnpQ5r23SOSitXOGMcx.pdf</t>
  </si>
  <si>
    <t>2025-04-28 14:42:28</t>
  </si>
  <si>
    <t>2025-04-28 15:20:19</t>
  </si>
  <si>
    <t>2025-04-28 11:42:26</t>
  </si>
  <si>
    <t>PAGO POR EMO PREOCUPACIONAL PARA VILCA SOSA MARVIN RAY</t>
  </si>
  <si>
    <t>2025-04-29 12:28:09</t>
  </si>
  <si>
    <t>https://storage.googleapis.com/deytha-prod/payments/hArh4mjqySGMd7LJwEQlVZLe4qKj3bCBp8iIWT1r.jpg</t>
  </si>
  <si>
    <t>https://storage.googleapis.com/deytha-prod/paymentBills/BhsJPh8qzOhE9yKuOfQFUuAUyyDiD5GtuySpIFDj.png</t>
  </si>
  <si>
    <t>https://storage.googleapis.com/deytha-prod/supplierBills/QqwuSnvVLzaRlshDNQg1Ej7gdmIqMRMLf6XJoblC.pdf</t>
  </si>
  <si>
    <t>2025-04-28 14:52:42</t>
  </si>
  <si>
    <t>2025-04-28 11:51:52</t>
  </si>
  <si>
    <t>EMO PRE OCUAPCIONAL PARA WASHUALDO QUEZADA ADRIANA</t>
  </si>
  <si>
    <t>2025-05-02 15:09:13</t>
  </si>
  <si>
    <t>https://storage.googleapis.com/deytha-prod/payments/WuwlWEheSOeI10RQeOJLgm2LDTts4a0OLHEEGbQ3.pdf</t>
  </si>
  <si>
    <t>https://storage.googleapis.com/deytha-prod/paymentBills/wVt6xqCWv8nFWprARax200lVKAIFzu476inujzbB.pdf</t>
  </si>
  <si>
    <t>https://storage.googleapis.com/deytha-prod/supplierBills/FfqUvaUDGn6lmVYbHTrzFwG7M4992l2K11P51UDp.pdf</t>
  </si>
  <si>
    <t>2025-04-28 18:47:47</t>
  </si>
  <si>
    <t>2025-04-28 15:47:33</t>
  </si>
  <si>
    <t>PAGO POR LOS EMOS DE MARON MARON JESUS ANGEL Y HANAMPA GALLEGOS LEOPOLDO</t>
  </si>
  <si>
    <t>2025-04-29 16:35:48</t>
  </si>
  <si>
    <t>https://storage.googleapis.com/deytha-prod/payments/owecMP4Z7SinDiZOqEhmJlOFtcePaASS0jiSr5r4.pdf</t>
  </si>
  <si>
    <t>https://storage.googleapis.com/deytha-prod/paymentBills/XI7k8ILMhPjFm67CbZ2qmAVsKl3RXLhtzllut9iL.png</t>
  </si>
  <si>
    <t>https://storage.googleapis.com/deytha-prod/supplierBills/F4bcp1AmSStxpOlhd8Ekr0iGUHJhX6vYW4ondTkw.pdf</t>
  </si>
  <si>
    <t>2025-04-23 21:41:18</t>
  </si>
  <si>
    <t>2025-04-24 16:02:00</t>
  </si>
  <si>
    <t>2025-04-24 16:41:05</t>
  </si>
  <si>
    <t>COMPRA DE PASAJE PARA SUPERVISOR CIVIL CON CODIGO SAFETY 129491</t>
  </si>
  <si>
    <t>2025-04-24 17:30:09</t>
  </si>
  <si>
    <t>https://storage.googleapis.com/deytha-prod/payments/6CNxZWtEcInjNhf9bINXG8xaqETN4r4hrGHefmql.pdf</t>
  </si>
  <si>
    <t>https://storage.googleapis.com/deytha-prod/paymentBills/bXZnBB8segMmk7CXfx3mL0zKOqKBRDUHx85Nibv6.jpg</t>
  </si>
  <si>
    <t>https://storage.googleapis.com/deytha-prod/supplierBills/QbJpRghuWR5qZ4Bgzm2cTsR72nQJ8hH8zOZ4xAjZ.pdf</t>
  </si>
  <si>
    <t>2025-04-22 15:59:39</t>
  </si>
  <si>
    <t>2025-04-22 11:26:58</t>
  </si>
  <si>
    <t>2025-04-23 10:59:30</t>
  </si>
  <si>
    <t>Pago por EMO pre ocupacional para JHORLAN LEONIDAS VELAZCO COA</t>
  </si>
  <si>
    <t>2025-04-22 17:52:45</t>
  </si>
  <si>
    <t>https://storage.googleapis.com/deytha-prod/payments/WgXyRYsVkrDC62VuYr80k5kOXYls1nSva928qGQ7.pdf</t>
  </si>
  <si>
    <t>https://storage.googleapis.com/deytha-prod/paymentBills/H72jaEHNQmbDN4J6CBeBCQ8BT8jcO2iWdSprjMKP.png</t>
  </si>
  <si>
    <t>https://storage.googleapis.com/deytha-prod/supplierBills/ejqmlW7Npiyoobn3MLLJGoUoQZezTBwtYds7Uf69.pdf</t>
  </si>
  <si>
    <t>2025-04-21 14:34:21</t>
  </si>
  <si>
    <t>Sandra Paola Medina Salazar</t>
  </si>
  <si>
    <t>2025-04-21 09:35:50</t>
  </si>
  <si>
    <t>2025-05-06 09:34:12</t>
  </si>
  <si>
    <t>PASAJE ING WILMER DÌAZ</t>
  </si>
  <si>
    <t>2025-04-21 12:38:40</t>
  </si>
  <si>
    <t>https://storage.googleapis.com/deytha-prod/payments/aTSwFb8UUiT3snoZJYNMllYDqWDvwnsm6VoRCDcX.pdf</t>
  </si>
  <si>
    <t>https://storage.googleapis.com/deytha-prod/paymentBills/swpHXCzI5uTAqPHfCIIEPRHKcrHhYwTRkCQl1c0S.jpg</t>
  </si>
  <si>
    <t>2025-04-15 22:33:14</t>
  </si>
  <si>
    <t>RODRÍGUEZ GAMBOA JORGE LUIS</t>
  </si>
  <si>
    <t>2025-04-16 12:54:39</t>
  </si>
  <si>
    <t>2025-04-16 17:32:01</t>
  </si>
  <si>
    <t>Pago por el EMO pre ocupacional de María Alejandra Morales Gonzales</t>
  </si>
  <si>
    <t>2025-04-21 18:18:24</t>
  </si>
  <si>
    <t>https://storage.googleapis.com/deytha-prod/payments/NFbGoYY5Dut6sGnBDBXjSdCUR2JfTaGwRQvy8acN.pdf</t>
  </si>
  <si>
    <t>https://storage.googleapis.com/deytha-prod/paymentBills/zfBlGOZYDvGVDUTDtdzOmT6InpeyHG9K93jYIlfz.pdf</t>
  </si>
  <si>
    <t>https://storage.googleapis.com/deytha-prod/supplierBills/9MfybyEFUXhmpr0R73Hf0ygawVq12ceMmcVtBHOO.pdf</t>
  </si>
  <si>
    <t>Columna1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</si>
</sst>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FF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ill="1"/>
    <xf numFmtId="0" fontId="2" fillId="0" borderId="0" xfId="0" applyFont="1"/>
  </cellXfs>
  <cellStyles count="1">
    <cellStyle name="Normal" xfId="0" builtinId="0"/>
  </cellStyles>
  <dxfs count="2">
    <dxf>
      <numFmt numFmtId="0" formatCode="General"/>
    </dxf>
    <dxf>
      <font>
        <b/>
        <i val="0"/>
        <strike val="0"/>
        <condense val="0"/>
        <extend val="0"/>
        <outline val="0"/>
        <shadow val="0"/>
        <u val="none"/>
        <vertAlign val="baseline"/>
        <sz val="11"/>
        <color rgb="FF000000"/>
        <name val="Calibri"/>
        <scheme val="none"/>
      </font>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B2422B-4680-4FA2-B96E-29E990AC109C}" name="Tabla1" displayName="Tabla1" ref="A1:AG1897" totalsRowShown="0" headerRowDxfId="1">
  <autoFilter ref="A1:AG1897" xr:uid="{1AB2422B-4680-4FA2-B96E-29E990AC109C}">
    <filterColumn colId="5">
      <filters>
        <filter val="AC"/>
        <filter val="DS-002"/>
        <filter val="LO"/>
        <filter val="MCD"/>
        <filter val="PS"/>
        <filter val="PY-031"/>
        <filter val="PY-032"/>
        <filter val="PY-033"/>
        <filter val="PY-035"/>
        <filter val="PY-SUR"/>
        <filter val="SG"/>
        <filter val="SST"/>
        <filter val="TI"/>
      </filters>
    </filterColumn>
    <filterColumn colId="21">
      <filters blank="1">
        <filter val="PARENT"/>
      </filters>
    </filterColumn>
  </autoFilter>
  <sortState xmlns:xlrd2="http://schemas.microsoft.com/office/spreadsheetml/2017/richdata2" ref="A2:AG1897">
    <sortCondition ref="N1:N1897"/>
  </sortState>
  <tableColumns count="33">
    <tableColumn id="1" xr3:uid="{6ACF7BDC-0323-4CB8-805D-CF197217AA71}" name="ID_RQF"/>
    <tableColumn id="2" xr3:uid="{FA664E64-08D0-41E8-9D69-CB56F6AF1387}" name="INPUT"/>
    <tableColumn id="3" xr3:uid="{3FD01EAA-8300-49E4-A96E-E37513675C09}" name="PRIORIDAD"/>
    <tableColumn id="4" xr3:uid="{70632F50-D328-479A-9BE4-10A6430A1DF8}" name="FECHA_SOLICITUD"/>
    <tableColumn id="5" xr3:uid="{B40629E4-4695-4174-A761-01C7B29079AD}" name="ESTADO"/>
    <tableColumn id="6" xr3:uid="{2C541B32-71F2-4306-AAEA-73D207E5E517}" name="SOLICITADO_POR_CC"/>
    <tableColumn id="7" xr3:uid="{63DD8CE2-2F1D-4BCA-86B8-4A662DC24EB8}" name="SOLICITADO_POR"/>
    <tableColumn id="8" xr3:uid="{164DCB16-1C7D-4D31-AACE-16D28BF66EAA}" name="REVISADO_POR"/>
    <tableColumn id="9" xr3:uid="{3BC5651B-9629-41C1-A27B-10EBCC8D2478}" name="FECHA_REVISION"/>
    <tableColumn id="10" xr3:uid="{71A0B33F-5D5C-4526-971F-5EB56C071268}" name="FECHA_LIMITE"/>
    <tableColumn id="11" xr3:uid="{7B4924C1-3CEB-4D14-BC17-2978E6244CBB}" name="MP"/>
    <tableColumn id="12" xr3:uid="{E60EEB93-D64C-4210-8826-D37C17F53B4B}" name="CENTRO_COSTO"/>
    <tableColumn id="13" xr3:uid="{F1B52AC0-AB51-4954-B2FE-732231FA9FEC}" name="RUC"/>
    <tableColumn id="14" xr3:uid="{C64F9DCD-5788-4957-9BA1-ABC2E1631C48}" name="PROVEEDOR"/>
    <tableColumn id="15" xr3:uid="{4DB62C9D-EF24-4748-A303-EE3A86D181F6}" name="COLABORADOR"/>
    <tableColumn id="16" xr3:uid="{3938ABB0-0969-4EBE-8E3E-6D9877CC5A8D}" name="BANCO"/>
    <tableColumn id="17" xr3:uid="{A5DA33B8-9C0A-4997-A8F7-422CE50D9F8F}" name="CUENTA"/>
    <tableColumn id="18" xr3:uid="{568F56B1-4324-4D24-B0A3-F931B34EDC76}" name="COMENTARIO"/>
    <tableColumn id="19" xr3:uid="{5BDB7A1A-FF31-479F-981A-22D54426D5F9}" name="MONTO"/>
    <tableColumn id="20" xr3:uid="{DEC92552-16FD-49B2-AADA-6CE187813B2C}" name="MONEDA"/>
    <tableColumn id="33" xr3:uid="{0CF2BE51-6986-4460-BAB7-ECCC6C762B4D}" name="Columna1" dataDxfId="0">
      <calculatedColumnFormula>+IF(Tabla1[[#This Row],[MONEDA]]="PEN",Tabla1[[#This Row],[MONTO]],Tabla1[[#This Row],[MONTO]]*3.56)</calculatedColumnFormula>
    </tableColumn>
    <tableColumn id="21" xr3:uid="{293BA638-80E9-4712-B802-94E4DF54937E}" name="TIPO_FM"/>
    <tableColumn id="22" xr3:uid="{BC0C600F-E779-4288-B565-02BCBE87E09A}" name="RQF_REFERENCIA"/>
    <tableColumn id="23" xr3:uid="{19BBF936-FFB3-4FAA-8D6F-4FB888C5CE38}" name="TIPO_PRESUPUESTO"/>
    <tableColumn id="24" xr3:uid="{E5B384A4-BF3E-47A4-AAE4-852DD1DFBF24}" name="ESTADO_EXPEDIENTE"/>
    <tableColumn id="25" xr3:uid="{B2752C9A-A22F-43D7-B1A3-CDDAFC4B02B6}" name="ENTREGA_DOCUMENTOS"/>
    <tableColumn id="26" xr3:uid="{46109558-6AD2-4E46-9E46-F085E6C6A88B}" name="FECHA_PAGO"/>
    <tableColumn id="27" xr3:uid="{597F409D-3587-4BC4-9B1C-81A70F95368D}" name="ARCHIVO"/>
    <tableColumn id="28" xr3:uid="{6BA074DA-95F3-4C4B-8F8A-DF245331C46C}" name="ARCHIVO_PAGO"/>
    <tableColumn id="29" xr3:uid="{E72CCCD4-3A89-4686-B247-6B2F29C38476}" name="ARCHIVO_COMPROBANTE"/>
    <tableColumn id="30" xr3:uid="{C57B65D6-CF17-49C1-9D03-D0ABCDB5EB68}" name="TOTAL_PAGADO"/>
    <tableColumn id="31" xr3:uid="{F47B0CB9-7100-4664-A59B-725EBA27B0CE}" name="MODALIDAD_PAGO"/>
    <tableColumn id="32" xr3:uid="{DB610677-54E7-4412-9A4B-D37330EBD84A}" name="CUENTA_ORIGE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897"/>
  <sheetViews>
    <sheetView tabSelected="1" topLeftCell="K1294" workbookViewId="0">
      <selection activeCell="R1311" sqref="R1311"/>
    </sheetView>
  </sheetViews>
  <sheetFormatPr baseColWidth="10" defaultColWidth="9.140625" defaultRowHeight="15" x14ac:dyDescent="0.25"/>
  <cols>
    <col min="1" max="1" width="9.5703125" customWidth="1"/>
    <col min="3" max="3" width="13" customWidth="1"/>
    <col min="4" max="4" width="19.140625" customWidth="1"/>
    <col min="5" max="5" width="10.140625" customWidth="1"/>
    <col min="6" max="6" width="21.7109375" customWidth="1"/>
    <col min="7" max="7" width="18.42578125" customWidth="1"/>
    <col min="8" max="8" width="16.85546875" customWidth="1"/>
    <col min="9" max="9" width="18.28515625" customWidth="1"/>
    <col min="10" max="10" width="15.7109375" customWidth="1"/>
    <col min="12" max="12" width="17.28515625" customWidth="1"/>
    <col min="14" max="14" width="41.42578125" customWidth="1"/>
    <col min="15" max="15" width="16.7109375" hidden="1" customWidth="1"/>
    <col min="16" max="16" width="21" hidden="1" customWidth="1"/>
    <col min="17" max="17" width="18.140625" hidden="1" customWidth="1"/>
    <col min="18" max="18" width="105.5703125" customWidth="1"/>
    <col min="19" max="19" width="10.28515625" customWidth="1"/>
    <col min="20" max="21" width="11.42578125" customWidth="1"/>
    <col min="22" max="22" width="11.140625" customWidth="1"/>
    <col min="23" max="23" width="18.42578125" customWidth="1"/>
    <col min="24" max="24" width="21" customWidth="1"/>
    <col min="25" max="25" width="21.7109375" customWidth="1"/>
    <col min="26" max="26" width="25.42578125" customWidth="1"/>
    <col min="27" max="27" width="15.140625" customWidth="1"/>
    <col min="28" max="28" width="11.28515625" customWidth="1"/>
    <col min="29" max="29" width="17.5703125" customWidth="1"/>
    <col min="30" max="30" width="26.28515625" customWidth="1"/>
    <col min="31" max="31" width="17.5703125" customWidth="1"/>
    <col min="32" max="32" width="20.5703125" customWidth="1"/>
    <col min="33" max="33" width="18.4257812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12853</v>
      </c>
      <c r="V1" s="1" t="s">
        <v>20</v>
      </c>
      <c r="W1" s="1" t="s">
        <v>21</v>
      </c>
      <c r="X1" s="1" t="s">
        <v>22</v>
      </c>
      <c r="Y1" s="1" t="s">
        <v>23</v>
      </c>
      <c r="Z1" s="1" t="s">
        <v>24</v>
      </c>
      <c r="AA1" s="1" t="s">
        <v>25</v>
      </c>
      <c r="AB1" s="1" t="s">
        <v>26</v>
      </c>
      <c r="AC1" s="1" t="s">
        <v>27</v>
      </c>
      <c r="AD1" s="1" t="s">
        <v>28</v>
      </c>
      <c r="AE1" s="1" t="s">
        <v>29</v>
      </c>
      <c r="AF1" s="1" t="s">
        <v>30</v>
      </c>
      <c r="AG1" s="1" t="s">
        <v>31</v>
      </c>
    </row>
    <row r="2" spans="1:33" hidden="1" x14ac:dyDescent="0.25">
      <c r="A2">
        <v>32051</v>
      </c>
      <c r="B2" t="s">
        <v>32</v>
      </c>
      <c r="C2">
        <v>1</v>
      </c>
      <c r="D2" t="s">
        <v>5536</v>
      </c>
      <c r="E2" t="s">
        <v>70</v>
      </c>
      <c r="F2" t="s">
        <v>33</v>
      </c>
      <c r="G2" t="s">
        <v>71</v>
      </c>
      <c r="H2" t="s">
        <v>72</v>
      </c>
      <c r="I2" t="s">
        <v>5536</v>
      </c>
      <c r="J2" t="s">
        <v>5553</v>
      </c>
      <c r="K2" t="s">
        <v>36</v>
      </c>
      <c r="L2" t="s">
        <v>33</v>
      </c>
      <c r="M2">
        <v>20613839535</v>
      </c>
      <c r="N2" t="s">
        <v>5554</v>
      </c>
      <c r="O2" t="s">
        <v>76</v>
      </c>
      <c r="R2" t="s">
        <v>5555</v>
      </c>
      <c r="S2">
        <v>40</v>
      </c>
      <c r="T2" t="s">
        <v>40</v>
      </c>
      <c r="U2">
        <f>+IF(Tabla1[[#This Row],[MONEDA]]="PEN",Tabla1[[#This Row],[MONTO]],Tabla1[[#This Row],[MONTO]]*3.56)</f>
        <v>40</v>
      </c>
      <c r="V2" t="s">
        <v>190</v>
      </c>
      <c r="W2">
        <v>29730</v>
      </c>
      <c r="X2" t="s">
        <v>81</v>
      </c>
      <c r="Y2" t="s">
        <v>42</v>
      </c>
      <c r="Z2" t="s">
        <v>43</v>
      </c>
      <c r="AA2" t="s">
        <v>5556</v>
      </c>
      <c r="AC2" t="s">
        <v>5557</v>
      </c>
      <c r="AD2" t="s">
        <v>5558</v>
      </c>
    </row>
    <row r="3" spans="1:33" hidden="1" x14ac:dyDescent="0.25">
      <c r="A3">
        <v>28374</v>
      </c>
      <c r="B3" t="s">
        <v>32</v>
      </c>
      <c r="C3">
        <v>1</v>
      </c>
      <c r="D3" t="s">
        <v>7705</v>
      </c>
      <c r="E3" t="s">
        <v>70</v>
      </c>
      <c r="F3" t="s">
        <v>33</v>
      </c>
      <c r="G3" t="s">
        <v>71</v>
      </c>
      <c r="H3" t="s">
        <v>72</v>
      </c>
      <c r="I3" t="s">
        <v>7701</v>
      </c>
      <c r="J3" t="s">
        <v>7706</v>
      </c>
      <c r="K3" t="s">
        <v>36</v>
      </c>
      <c r="L3" t="s">
        <v>33</v>
      </c>
      <c r="M3">
        <v>20552615639</v>
      </c>
      <c r="N3" t="s">
        <v>7714</v>
      </c>
      <c r="O3" t="s">
        <v>76</v>
      </c>
      <c r="P3" t="s">
        <v>38</v>
      </c>
      <c r="Q3" t="s">
        <v>7708</v>
      </c>
      <c r="R3" t="s">
        <v>7709</v>
      </c>
      <c r="S3">
        <v>16714.11</v>
      </c>
      <c r="T3" t="s">
        <v>40</v>
      </c>
      <c r="U3">
        <f>+IF(Tabla1[[#This Row],[MONEDA]]="PEN",Tabla1[[#This Row],[MONTO]],Tabla1[[#This Row],[MONTO]]*3.56)</f>
        <v>16714.11</v>
      </c>
      <c r="X3" t="s">
        <v>81</v>
      </c>
      <c r="Y3" t="s">
        <v>42</v>
      </c>
      <c r="Z3" t="s">
        <v>43</v>
      </c>
      <c r="AA3" t="s">
        <v>7710</v>
      </c>
      <c r="AB3" t="s">
        <v>7711</v>
      </c>
      <c r="AC3" t="s">
        <v>7712</v>
      </c>
      <c r="AD3" t="s">
        <v>7713</v>
      </c>
      <c r="AE3">
        <v>16212.69</v>
      </c>
      <c r="AF3" t="s">
        <v>87</v>
      </c>
      <c r="AG3" t="s">
        <v>169</v>
      </c>
    </row>
    <row r="4" spans="1:33" hidden="1" x14ac:dyDescent="0.25">
      <c r="A4">
        <v>28202</v>
      </c>
      <c r="B4" t="s">
        <v>32</v>
      </c>
      <c r="C4">
        <v>1</v>
      </c>
      <c r="D4" t="s">
        <v>7851</v>
      </c>
      <c r="E4" t="s">
        <v>70</v>
      </c>
      <c r="F4" t="s">
        <v>33</v>
      </c>
      <c r="G4" t="s">
        <v>71</v>
      </c>
      <c r="H4" t="s">
        <v>72</v>
      </c>
      <c r="I4" t="s">
        <v>7852</v>
      </c>
      <c r="J4" t="s">
        <v>7853</v>
      </c>
      <c r="K4" t="s">
        <v>36</v>
      </c>
      <c r="L4" t="s">
        <v>33</v>
      </c>
      <c r="M4">
        <v>20552615639</v>
      </c>
      <c r="N4" t="s">
        <v>7714</v>
      </c>
      <c r="O4" t="s">
        <v>76</v>
      </c>
      <c r="P4" t="s">
        <v>38</v>
      </c>
      <c r="Q4" t="s">
        <v>7708</v>
      </c>
      <c r="R4" t="s">
        <v>7854</v>
      </c>
      <c r="S4">
        <v>44368.94</v>
      </c>
      <c r="T4" t="s">
        <v>40</v>
      </c>
      <c r="U4">
        <f>+IF(Tabla1[[#This Row],[MONEDA]]="PEN",Tabla1[[#This Row],[MONTO]],Tabla1[[#This Row],[MONTO]]*3.56)</f>
        <v>44368.94</v>
      </c>
      <c r="X4" t="s">
        <v>81</v>
      </c>
      <c r="Y4" t="s">
        <v>42</v>
      </c>
      <c r="Z4" t="s">
        <v>43</v>
      </c>
      <c r="AA4" t="s">
        <v>7855</v>
      </c>
      <c r="AB4" t="s">
        <v>7856</v>
      </c>
      <c r="AC4" t="s">
        <v>7857</v>
      </c>
      <c r="AD4" t="s">
        <v>7858</v>
      </c>
      <c r="AE4">
        <v>43037.87</v>
      </c>
      <c r="AF4" t="s">
        <v>87</v>
      </c>
      <c r="AG4" t="s">
        <v>169</v>
      </c>
    </row>
    <row r="5" spans="1:33" hidden="1" x14ac:dyDescent="0.25">
      <c r="A5">
        <v>28374</v>
      </c>
      <c r="B5" t="s">
        <v>32</v>
      </c>
      <c r="C5">
        <v>1</v>
      </c>
      <c r="D5" t="s">
        <v>7705</v>
      </c>
      <c r="E5" t="s">
        <v>70</v>
      </c>
      <c r="F5" t="s">
        <v>33</v>
      </c>
      <c r="G5" t="s">
        <v>71</v>
      </c>
      <c r="H5" t="s">
        <v>72</v>
      </c>
      <c r="I5" t="s">
        <v>7701</v>
      </c>
      <c r="J5" t="s">
        <v>7706</v>
      </c>
      <c r="K5" t="s">
        <v>36</v>
      </c>
      <c r="L5" t="s">
        <v>33</v>
      </c>
      <c r="M5">
        <v>20552615639</v>
      </c>
      <c r="N5" t="s">
        <v>7707</v>
      </c>
      <c r="O5" t="s">
        <v>76</v>
      </c>
      <c r="P5" t="s">
        <v>38</v>
      </c>
      <c r="Q5" t="s">
        <v>7708</v>
      </c>
      <c r="R5" t="s">
        <v>7709</v>
      </c>
      <c r="S5">
        <v>16714.11</v>
      </c>
      <c r="T5" t="s">
        <v>40</v>
      </c>
      <c r="U5">
        <f>+IF(Tabla1[[#This Row],[MONEDA]]="PEN",Tabla1[[#This Row],[MONTO]],Tabla1[[#This Row],[MONTO]]*3.56)</f>
        <v>16714.11</v>
      </c>
      <c r="X5" t="s">
        <v>81</v>
      </c>
      <c r="Y5" t="s">
        <v>42</v>
      </c>
      <c r="Z5" t="s">
        <v>43</v>
      </c>
      <c r="AA5" t="s">
        <v>7710</v>
      </c>
      <c r="AB5" t="s">
        <v>7711</v>
      </c>
      <c r="AC5" t="s">
        <v>7712</v>
      </c>
      <c r="AD5" t="s">
        <v>7713</v>
      </c>
      <c r="AE5">
        <v>16212.69</v>
      </c>
      <c r="AF5" t="s">
        <v>87</v>
      </c>
      <c r="AG5" t="s">
        <v>169</v>
      </c>
    </row>
    <row r="6" spans="1:33" hidden="1" x14ac:dyDescent="0.25">
      <c r="A6">
        <v>28202</v>
      </c>
      <c r="B6" t="s">
        <v>32</v>
      </c>
      <c r="C6">
        <v>1</v>
      </c>
      <c r="D6" t="s">
        <v>7851</v>
      </c>
      <c r="E6" t="s">
        <v>70</v>
      </c>
      <c r="F6" t="s">
        <v>33</v>
      </c>
      <c r="G6" t="s">
        <v>71</v>
      </c>
      <c r="H6" t="s">
        <v>72</v>
      </c>
      <c r="I6" t="s">
        <v>7852</v>
      </c>
      <c r="J6" t="s">
        <v>7853</v>
      </c>
      <c r="K6" t="s">
        <v>36</v>
      </c>
      <c r="L6" t="s">
        <v>33</v>
      </c>
      <c r="M6">
        <v>20552615639</v>
      </c>
      <c r="N6" t="s">
        <v>7707</v>
      </c>
      <c r="O6" t="s">
        <v>76</v>
      </c>
      <c r="P6" t="s">
        <v>38</v>
      </c>
      <c r="Q6" t="s">
        <v>7708</v>
      </c>
      <c r="R6" t="s">
        <v>7854</v>
      </c>
      <c r="S6">
        <v>44368.94</v>
      </c>
      <c r="T6" t="s">
        <v>40</v>
      </c>
      <c r="U6">
        <f>+IF(Tabla1[[#This Row],[MONEDA]]="PEN",Tabla1[[#This Row],[MONTO]],Tabla1[[#This Row],[MONTO]]*3.56)</f>
        <v>44368.94</v>
      </c>
      <c r="X6" t="s">
        <v>81</v>
      </c>
      <c r="Y6" t="s">
        <v>42</v>
      </c>
      <c r="Z6" t="s">
        <v>43</v>
      </c>
      <c r="AA6" t="s">
        <v>7855</v>
      </c>
      <c r="AB6" t="s">
        <v>7856</v>
      </c>
      <c r="AC6" t="s">
        <v>7857</v>
      </c>
      <c r="AD6" t="s">
        <v>7858</v>
      </c>
      <c r="AE6">
        <v>43037.87</v>
      </c>
      <c r="AF6" t="s">
        <v>87</v>
      </c>
      <c r="AG6" t="s">
        <v>169</v>
      </c>
    </row>
    <row r="7" spans="1:33" hidden="1" x14ac:dyDescent="0.25">
      <c r="A7">
        <v>37817</v>
      </c>
      <c r="B7" t="s">
        <v>32</v>
      </c>
      <c r="C7">
        <v>1</v>
      </c>
      <c r="D7" t="s">
        <v>3085</v>
      </c>
      <c r="E7" t="s">
        <v>70</v>
      </c>
      <c r="F7" t="s">
        <v>33</v>
      </c>
      <c r="G7" t="s">
        <v>71</v>
      </c>
      <c r="H7" t="s">
        <v>35</v>
      </c>
      <c r="I7" t="s">
        <v>3058</v>
      </c>
      <c r="J7" t="s">
        <v>3086</v>
      </c>
      <c r="K7" t="s">
        <v>36</v>
      </c>
      <c r="L7" t="s">
        <v>33</v>
      </c>
      <c r="M7">
        <v>20612450839</v>
      </c>
      <c r="N7" t="s">
        <v>3087</v>
      </c>
      <c r="O7" t="s">
        <v>76</v>
      </c>
      <c r="P7" t="s">
        <v>62</v>
      </c>
      <c r="Q7" t="s">
        <v>3088</v>
      </c>
      <c r="R7" t="s">
        <v>3089</v>
      </c>
      <c r="S7">
        <v>264</v>
      </c>
      <c r="T7" t="s">
        <v>40</v>
      </c>
      <c r="U7">
        <f>+IF(Tabla1[[#This Row],[MONEDA]]="PEN",Tabla1[[#This Row],[MONTO]],Tabla1[[#This Row],[MONTO]]*3.56)</f>
        <v>264</v>
      </c>
      <c r="X7" t="s">
        <v>81</v>
      </c>
      <c r="Y7" t="s">
        <v>42</v>
      </c>
      <c r="Z7" t="s">
        <v>82</v>
      </c>
      <c r="AA7" t="s">
        <v>3090</v>
      </c>
      <c r="AB7" t="s">
        <v>3091</v>
      </c>
      <c r="AC7" t="s">
        <v>3092</v>
      </c>
      <c r="AD7" t="s">
        <v>3093</v>
      </c>
      <c r="AE7">
        <v>264</v>
      </c>
      <c r="AF7" t="s">
        <v>87</v>
      </c>
      <c r="AG7" t="s">
        <v>515</v>
      </c>
    </row>
    <row r="8" spans="1:33" hidden="1" x14ac:dyDescent="0.25">
      <c r="A8">
        <v>36011</v>
      </c>
      <c r="B8" t="s">
        <v>32</v>
      </c>
      <c r="C8">
        <v>1</v>
      </c>
      <c r="D8" t="s">
        <v>3980</v>
      </c>
      <c r="E8" t="s">
        <v>70</v>
      </c>
      <c r="F8" t="s">
        <v>33</v>
      </c>
      <c r="G8" t="s">
        <v>71</v>
      </c>
      <c r="H8" t="s">
        <v>72</v>
      </c>
      <c r="I8" t="s">
        <v>3973</v>
      </c>
      <c r="J8" t="s">
        <v>3981</v>
      </c>
      <c r="K8" t="s">
        <v>36</v>
      </c>
      <c r="L8" t="s">
        <v>33</v>
      </c>
      <c r="M8">
        <v>20604564574</v>
      </c>
      <c r="N8" t="s">
        <v>3982</v>
      </c>
      <c r="O8" t="s">
        <v>76</v>
      </c>
      <c r="P8" t="s">
        <v>77</v>
      </c>
      <c r="Q8">
        <v>1938751483126</v>
      </c>
      <c r="R8" t="s">
        <v>3983</v>
      </c>
      <c r="S8">
        <v>2656.84</v>
      </c>
      <c r="T8" t="s">
        <v>80</v>
      </c>
      <c r="U8">
        <f>+IF(Tabla1[[#This Row],[MONEDA]]="PEN",Tabla1[[#This Row],[MONTO]],Tabla1[[#This Row],[MONTO]]*3.56)</f>
        <v>9458.3504000000012</v>
      </c>
      <c r="X8" t="s">
        <v>81</v>
      </c>
      <c r="Y8" t="s">
        <v>42</v>
      </c>
      <c r="Z8" t="s">
        <v>43</v>
      </c>
      <c r="AA8" t="s">
        <v>3984</v>
      </c>
      <c r="AB8" t="s">
        <v>3985</v>
      </c>
      <c r="AC8" t="s">
        <v>3986</v>
      </c>
      <c r="AD8" t="s">
        <v>3987</v>
      </c>
      <c r="AE8">
        <v>2656.84</v>
      </c>
      <c r="AF8" t="s">
        <v>87</v>
      </c>
      <c r="AG8" t="s">
        <v>88</v>
      </c>
    </row>
    <row r="9" spans="1:33" hidden="1" x14ac:dyDescent="0.25">
      <c r="A9">
        <v>27666</v>
      </c>
      <c r="B9" t="s">
        <v>32</v>
      </c>
      <c r="C9">
        <v>1</v>
      </c>
      <c r="D9" t="s">
        <v>8190</v>
      </c>
      <c r="E9" t="s">
        <v>70</v>
      </c>
      <c r="F9" t="s">
        <v>33</v>
      </c>
      <c r="G9" t="s">
        <v>71</v>
      </c>
      <c r="H9" t="s">
        <v>72</v>
      </c>
      <c r="I9" t="s">
        <v>8189</v>
      </c>
      <c r="J9" t="s">
        <v>8191</v>
      </c>
      <c r="K9" t="s">
        <v>36</v>
      </c>
      <c r="L9" t="s">
        <v>33</v>
      </c>
      <c r="M9">
        <v>20604564574</v>
      </c>
      <c r="N9" t="s">
        <v>3982</v>
      </c>
      <c r="O9" t="s">
        <v>76</v>
      </c>
      <c r="P9" t="s">
        <v>77</v>
      </c>
      <c r="Q9">
        <v>1938751483126</v>
      </c>
      <c r="R9" t="s">
        <v>8192</v>
      </c>
      <c r="S9">
        <v>2215.66</v>
      </c>
      <c r="T9" t="s">
        <v>80</v>
      </c>
      <c r="U9">
        <f>+IF(Tabla1[[#This Row],[MONEDA]]="PEN",Tabla1[[#This Row],[MONTO]],Tabla1[[#This Row],[MONTO]]*3.56)</f>
        <v>7887.7495999999992</v>
      </c>
      <c r="X9" t="s">
        <v>81</v>
      </c>
      <c r="Y9" t="s">
        <v>42</v>
      </c>
      <c r="Z9" t="s">
        <v>82</v>
      </c>
      <c r="AA9" t="s">
        <v>8193</v>
      </c>
      <c r="AB9" t="s">
        <v>8194</v>
      </c>
      <c r="AC9" t="s">
        <v>8195</v>
      </c>
      <c r="AD9" t="s">
        <v>8196</v>
      </c>
      <c r="AE9">
        <v>2215.66</v>
      </c>
      <c r="AF9" t="s">
        <v>87</v>
      </c>
      <c r="AG9" t="s">
        <v>88</v>
      </c>
    </row>
    <row r="10" spans="1:33" hidden="1" x14ac:dyDescent="0.25">
      <c r="A10">
        <v>24780</v>
      </c>
      <c r="B10" t="s">
        <v>32</v>
      </c>
      <c r="C10">
        <v>1</v>
      </c>
      <c r="D10" t="s">
        <v>10097</v>
      </c>
      <c r="E10" t="s">
        <v>70</v>
      </c>
      <c r="F10" t="s">
        <v>33</v>
      </c>
      <c r="G10" t="s">
        <v>71</v>
      </c>
      <c r="H10" t="s">
        <v>72</v>
      </c>
      <c r="I10" t="s">
        <v>10076</v>
      </c>
      <c r="J10" t="s">
        <v>10098</v>
      </c>
      <c r="K10" t="s">
        <v>36</v>
      </c>
      <c r="L10" t="s">
        <v>33</v>
      </c>
      <c r="M10">
        <v>20604564574</v>
      </c>
      <c r="N10" t="s">
        <v>3982</v>
      </c>
      <c r="O10" t="s">
        <v>76</v>
      </c>
      <c r="P10" t="s">
        <v>77</v>
      </c>
      <c r="Q10">
        <v>1938751483126</v>
      </c>
      <c r="R10" t="s">
        <v>10099</v>
      </c>
      <c r="S10">
        <v>2656.84</v>
      </c>
      <c r="T10" t="s">
        <v>80</v>
      </c>
      <c r="U10">
        <f>+IF(Tabla1[[#This Row],[MONEDA]]="PEN",Tabla1[[#This Row],[MONTO]],Tabla1[[#This Row],[MONTO]]*3.56)</f>
        <v>9458.3504000000012</v>
      </c>
      <c r="X10" t="s">
        <v>81</v>
      </c>
      <c r="Y10" t="s">
        <v>42</v>
      </c>
      <c r="Z10" t="s">
        <v>82</v>
      </c>
      <c r="AA10" t="s">
        <v>10100</v>
      </c>
      <c r="AB10" t="s">
        <v>10101</v>
      </c>
      <c r="AC10" t="s">
        <v>10102</v>
      </c>
      <c r="AD10" t="s">
        <v>10103</v>
      </c>
      <c r="AE10">
        <v>2656.84</v>
      </c>
      <c r="AF10" t="s">
        <v>87</v>
      </c>
      <c r="AG10" t="s">
        <v>88</v>
      </c>
    </row>
    <row r="11" spans="1:33" x14ac:dyDescent="0.25">
      <c r="A11">
        <v>26407</v>
      </c>
      <c r="B11" t="s">
        <v>32</v>
      </c>
      <c r="C11">
        <v>1</v>
      </c>
      <c r="D11" t="s">
        <v>9286</v>
      </c>
      <c r="E11" t="s">
        <v>70</v>
      </c>
      <c r="F11" t="s">
        <v>90</v>
      </c>
      <c r="G11" t="s">
        <v>91</v>
      </c>
      <c r="H11" t="s">
        <v>72</v>
      </c>
      <c r="I11" t="s">
        <v>9250</v>
      </c>
      <c r="J11" t="s">
        <v>9287</v>
      </c>
      <c r="K11" t="s">
        <v>36</v>
      </c>
      <c r="L11" t="s">
        <v>33</v>
      </c>
      <c r="M11">
        <v>20612684686</v>
      </c>
      <c r="N11" t="s">
        <v>9288</v>
      </c>
      <c r="P11" t="s">
        <v>38</v>
      </c>
      <c r="Q11">
        <v>3857210281008</v>
      </c>
      <c r="R11" t="s">
        <v>9289</v>
      </c>
      <c r="S11">
        <v>4760</v>
      </c>
      <c r="T11" t="s">
        <v>40</v>
      </c>
      <c r="U11">
        <f>+IF(Tabla1[[#This Row],[MONEDA]]="PEN",Tabla1[[#This Row],[MONTO]],Tabla1[[#This Row],[MONTO]]*3.56)</f>
        <v>4760</v>
      </c>
      <c r="X11" t="s">
        <v>41</v>
      </c>
      <c r="Y11" t="s">
        <v>42</v>
      </c>
      <c r="Z11" t="s">
        <v>43</v>
      </c>
      <c r="AA11" t="s">
        <v>9290</v>
      </c>
      <c r="AB11" t="s">
        <v>9291</v>
      </c>
      <c r="AC11" t="s">
        <v>9292</v>
      </c>
      <c r="AD11" t="s">
        <v>9293</v>
      </c>
      <c r="AE11">
        <v>4284</v>
      </c>
      <c r="AF11" t="s">
        <v>87</v>
      </c>
      <c r="AG11" t="s">
        <v>169</v>
      </c>
    </row>
    <row r="12" spans="1:33" x14ac:dyDescent="0.25">
      <c r="A12">
        <v>23248</v>
      </c>
      <c r="B12" t="s">
        <v>32</v>
      </c>
      <c r="C12">
        <v>1</v>
      </c>
      <c r="D12" t="s">
        <v>11310</v>
      </c>
      <c r="E12" t="s">
        <v>70</v>
      </c>
      <c r="F12" t="s">
        <v>90</v>
      </c>
      <c r="G12" t="s">
        <v>91</v>
      </c>
      <c r="H12" t="s">
        <v>72</v>
      </c>
      <c r="I12" t="s">
        <v>11296</v>
      </c>
      <c r="J12" t="s">
        <v>11311</v>
      </c>
      <c r="K12" t="s">
        <v>36</v>
      </c>
      <c r="L12" t="s">
        <v>33</v>
      </c>
      <c r="M12">
        <v>20612684686</v>
      </c>
      <c r="N12" t="s">
        <v>9288</v>
      </c>
      <c r="O12" t="s">
        <v>1747</v>
      </c>
      <c r="P12" t="s">
        <v>38</v>
      </c>
      <c r="Q12">
        <v>3857210281008</v>
      </c>
      <c r="R12" t="s">
        <v>11312</v>
      </c>
      <c r="S12">
        <v>2607.8000000000002</v>
      </c>
      <c r="T12" t="s">
        <v>40</v>
      </c>
      <c r="U12">
        <f>+IF(Tabla1[[#This Row],[MONEDA]]="PEN",Tabla1[[#This Row],[MONTO]],Tabla1[[#This Row],[MONTO]]*3.56)</f>
        <v>2607.8000000000002</v>
      </c>
      <c r="X12" t="s">
        <v>41</v>
      </c>
      <c r="Y12" t="s">
        <v>42</v>
      </c>
      <c r="Z12" t="s">
        <v>43</v>
      </c>
      <c r="AA12" t="s">
        <v>11313</v>
      </c>
      <c r="AB12" t="s">
        <v>11314</v>
      </c>
      <c r="AC12" t="s">
        <v>11315</v>
      </c>
      <c r="AD12" t="s">
        <v>11316</v>
      </c>
      <c r="AE12">
        <v>2347.02</v>
      </c>
      <c r="AF12" t="s">
        <v>87</v>
      </c>
      <c r="AG12" t="s">
        <v>169</v>
      </c>
    </row>
    <row r="13" spans="1:33" hidden="1" x14ac:dyDescent="0.25">
      <c r="A13">
        <v>43453</v>
      </c>
      <c r="B13" t="s">
        <v>32</v>
      </c>
      <c r="C13">
        <v>1</v>
      </c>
      <c r="D13" t="s">
        <v>805</v>
      </c>
      <c r="E13" t="s">
        <v>70</v>
      </c>
      <c r="F13" t="s">
        <v>33</v>
      </c>
      <c r="G13" t="s">
        <v>71</v>
      </c>
      <c r="H13" t="s">
        <v>35</v>
      </c>
      <c r="I13" t="s">
        <v>805</v>
      </c>
      <c r="J13" t="s">
        <v>806</v>
      </c>
      <c r="K13" t="s">
        <v>36</v>
      </c>
      <c r="L13" t="s">
        <v>33</v>
      </c>
      <c r="M13">
        <v>10257318694</v>
      </c>
      <c r="N13" t="s">
        <v>807</v>
      </c>
      <c r="O13" t="s">
        <v>76</v>
      </c>
      <c r="R13" t="s">
        <v>808</v>
      </c>
      <c r="S13">
        <v>100</v>
      </c>
      <c r="T13" t="s">
        <v>40</v>
      </c>
      <c r="U13">
        <f>+IF(Tabla1[[#This Row],[MONEDA]]="PEN",Tabla1[[#This Row],[MONTO]],Tabla1[[#This Row],[MONTO]]*3.56)</f>
        <v>100</v>
      </c>
      <c r="V13" t="s">
        <v>190</v>
      </c>
      <c r="W13">
        <v>41217</v>
      </c>
      <c r="X13" t="s">
        <v>81</v>
      </c>
      <c r="Y13" t="s">
        <v>42</v>
      </c>
      <c r="Z13" t="s">
        <v>43</v>
      </c>
      <c r="AA13" t="s">
        <v>809</v>
      </c>
      <c r="AC13" t="s">
        <v>810</v>
      </c>
      <c r="AD13" t="s">
        <v>811</v>
      </c>
    </row>
    <row r="14" spans="1:33" hidden="1" x14ac:dyDescent="0.25">
      <c r="A14">
        <v>38595</v>
      </c>
      <c r="B14" t="s">
        <v>32</v>
      </c>
      <c r="C14">
        <v>1</v>
      </c>
      <c r="D14" t="s">
        <v>2793</v>
      </c>
      <c r="E14" t="s">
        <v>70</v>
      </c>
      <c r="F14" t="s">
        <v>33</v>
      </c>
      <c r="G14" t="s">
        <v>71</v>
      </c>
      <c r="H14" t="s">
        <v>35</v>
      </c>
      <c r="I14" t="s">
        <v>2793</v>
      </c>
      <c r="J14" t="s">
        <v>2794</v>
      </c>
      <c r="K14" t="s">
        <v>36</v>
      </c>
      <c r="L14" t="s">
        <v>33</v>
      </c>
      <c r="M14">
        <v>10257318694</v>
      </c>
      <c r="N14" t="s">
        <v>807</v>
      </c>
      <c r="O14" t="s">
        <v>76</v>
      </c>
      <c r="R14" t="s">
        <v>2795</v>
      </c>
      <c r="S14">
        <v>120</v>
      </c>
      <c r="T14" t="s">
        <v>40</v>
      </c>
      <c r="U14">
        <f>+IF(Tabla1[[#This Row],[MONEDA]]="PEN",Tabla1[[#This Row],[MONTO]],Tabla1[[#This Row],[MONTO]]*3.56)</f>
        <v>120</v>
      </c>
      <c r="V14" t="s">
        <v>190</v>
      </c>
      <c r="W14">
        <v>34656</v>
      </c>
      <c r="X14" t="s">
        <v>81</v>
      </c>
      <c r="Y14" t="s">
        <v>42</v>
      </c>
      <c r="Z14" t="s">
        <v>43</v>
      </c>
      <c r="AA14" t="s">
        <v>2796</v>
      </c>
      <c r="AC14" t="s">
        <v>2797</v>
      </c>
      <c r="AD14" t="s">
        <v>2798</v>
      </c>
    </row>
    <row r="15" spans="1:33" hidden="1" x14ac:dyDescent="0.25">
      <c r="A15">
        <v>38406</v>
      </c>
      <c r="B15" t="s">
        <v>32</v>
      </c>
      <c r="C15">
        <v>1</v>
      </c>
      <c r="D15" t="s">
        <v>2915</v>
      </c>
      <c r="E15" t="s">
        <v>70</v>
      </c>
      <c r="F15" t="s">
        <v>33</v>
      </c>
      <c r="G15" t="s">
        <v>71</v>
      </c>
      <c r="H15" t="s">
        <v>35</v>
      </c>
      <c r="I15" t="s">
        <v>2915</v>
      </c>
      <c r="J15" t="s">
        <v>2916</v>
      </c>
      <c r="K15" t="s">
        <v>36</v>
      </c>
      <c r="L15" t="s">
        <v>33</v>
      </c>
      <c r="M15">
        <v>10257318694</v>
      </c>
      <c r="N15" t="s">
        <v>807</v>
      </c>
      <c r="O15" t="s">
        <v>76</v>
      </c>
      <c r="R15" t="s">
        <v>2917</v>
      </c>
      <c r="S15">
        <v>100</v>
      </c>
      <c r="T15" t="s">
        <v>40</v>
      </c>
      <c r="U15">
        <f>+IF(Tabla1[[#This Row],[MONEDA]]="PEN",Tabla1[[#This Row],[MONTO]],Tabla1[[#This Row],[MONTO]]*3.56)</f>
        <v>100</v>
      </c>
      <c r="V15" t="s">
        <v>190</v>
      </c>
      <c r="W15">
        <v>34656</v>
      </c>
      <c r="X15" t="s">
        <v>41</v>
      </c>
      <c r="Y15" t="s">
        <v>42</v>
      </c>
      <c r="Z15" t="s">
        <v>43</v>
      </c>
      <c r="AA15" t="s">
        <v>2918</v>
      </c>
      <c r="AC15" t="s">
        <v>2919</v>
      </c>
      <c r="AD15" t="s">
        <v>2920</v>
      </c>
    </row>
    <row r="16" spans="1:33" x14ac:dyDescent="0.25">
      <c r="A16">
        <v>27957</v>
      </c>
      <c r="B16" t="s">
        <v>32</v>
      </c>
      <c r="C16">
        <v>1</v>
      </c>
      <c r="D16" t="s">
        <v>7981</v>
      </c>
      <c r="E16" t="s">
        <v>70</v>
      </c>
      <c r="F16" t="s">
        <v>90</v>
      </c>
      <c r="G16" t="s">
        <v>91</v>
      </c>
      <c r="H16" t="s">
        <v>72</v>
      </c>
      <c r="I16" t="s">
        <v>7982</v>
      </c>
      <c r="J16" t="s">
        <v>7983</v>
      </c>
      <c r="K16" t="s">
        <v>36</v>
      </c>
      <c r="L16" t="s">
        <v>33</v>
      </c>
      <c r="M16">
        <v>20603789653</v>
      </c>
      <c r="N16" t="s">
        <v>7984</v>
      </c>
      <c r="P16" t="s">
        <v>7985</v>
      </c>
      <c r="Q16" t="s">
        <v>7986</v>
      </c>
      <c r="R16" t="s">
        <v>7987</v>
      </c>
      <c r="S16">
        <v>3000</v>
      </c>
      <c r="T16" t="s">
        <v>40</v>
      </c>
      <c r="U16">
        <f>+IF(Tabla1[[#This Row],[MONEDA]]="PEN",Tabla1[[#This Row],[MONTO]],Tabla1[[#This Row],[MONTO]]*3.56)</f>
        <v>3000</v>
      </c>
      <c r="X16" t="s">
        <v>41</v>
      </c>
      <c r="Y16" t="s">
        <v>42</v>
      </c>
      <c r="Z16" t="s">
        <v>43</v>
      </c>
      <c r="AA16" t="s">
        <v>7988</v>
      </c>
      <c r="AB16" t="s">
        <v>7989</v>
      </c>
      <c r="AC16" t="s">
        <v>7990</v>
      </c>
      <c r="AD16" t="s">
        <v>7991</v>
      </c>
      <c r="AE16">
        <v>2700</v>
      </c>
      <c r="AF16" t="s">
        <v>87</v>
      </c>
      <c r="AG16" t="s">
        <v>169</v>
      </c>
    </row>
    <row r="17" spans="1:33" x14ac:dyDescent="0.25">
      <c r="A17">
        <v>37345</v>
      </c>
      <c r="B17" t="s">
        <v>32</v>
      </c>
      <c r="C17">
        <v>5</v>
      </c>
      <c r="D17" t="s">
        <v>3108</v>
      </c>
      <c r="E17" t="s">
        <v>70</v>
      </c>
      <c r="F17" t="s">
        <v>90</v>
      </c>
      <c r="G17" t="s">
        <v>91</v>
      </c>
      <c r="H17" t="s">
        <v>35</v>
      </c>
      <c r="I17" t="s">
        <v>3109</v>
      </c>
      <c r="J17" t="s">
        <v>3110</v>
      </c>
      <c r="K17" t="s">
        <v>36</v>
      </c>
      <c r="L17" t="s">
        <v>33</v>
      </c>
      <c r="M17">
        <v>20533154299</v>
      </c>
      <c r="N17" t="s">
        <v>247</v>
      </c>
      <c r="P17" t="s">
        <v>38</v>
      </c>
      <c r="Q17">
        <v>5402165681009</v>
      </c>
      <c r="R17" s="2" t="s">
        <v>3111</v>
      </c>
      <c r="S17">
        <v>7870.6</v>
      </c>
      <c r="T17" t="s">
        <v>40</v>
      </c>
      <c r="U17">
        <f>+IF(Tabla1[[#This Row],[MONEDA]]="PEN",Tabla1[[#This Row],[MONTO]],Tabla1[[#This Row],[MONTO]]*3.56)</f>
        <v>7870.6</v>
      </c>
      <c r="X17" t="s">
        <v>41</v>
      </c>
      <c r="Y17" t="s">
        <v>51</v>
      </c>
      <c r="Z17" t="s">
        <v>43</v>
      </c>
      <c r="AA17" t="s">
        <v>3112</v>
      </c>
      <c r="AB17" t="s">
        <v>3113</v>
      </c>
      <c r="AC17" t="s">
        <v>3114</v>
      </c>
      <c r="AD17" t="s">
        <v>3115</v>
      </c>
      <c r="AE17">
        <v>7083.54</v>
      </c>
      <c r="AF17" t="s">
        <v>87</v>
      </c>
      <c r="AG17" t="s">
        <v>169</v>
      </c>
    </row>
    <row r="18" spans="1:33" x14ac:dyDescent="0.25">
      <c r="A18">
        <v>37343</v>
      </c>
      <c r="B18" t="s">
        <v>32</v>
      </c>
      <c r="C18">
        <v>5</v>
      </c>
      <c r="D18" t="s">
        <v>3146</v>
      </c>
      <c r="E18" t="s">
        <v>70</v>
      </c>
      <c r="F18" t="s">
        <v>90</v>
      </c>
      <c r="G18" t="s">
        <v>91</v>
      </c>
      <c r="H18" t="s">
        <v>35</v>
      </c>
      <c r="I18" t="s">
        <v>3134</v>
      </c>
      <c r="J18" t="s">
        <v>3147</v>
      </c>
      <c r="K18" t="s">
        <v>36</v>
      </c>
      <c r="L18" t="s">
        <v>33</v>
      </c>
      <c r="M18">
        <v>20533154299</v>
      </c>
      <c r="N18" t="s">
        <v>247</v>
      </c>
      <c r="P18" t="s">
        <v>38</v>
      </c>
      <c r="Q18">
        <v>5402165681009</v>
      </c>
      <c r="R18" s="2" t="s">
        <v>3148</v>
      </c>
      <c r="S18">
        <v>1805.4</v>
      </c>
      <c r="T18" t="s">
        <v>40</v>
      </c>
      <c r="U18">
        <f>+IF(Tabla1[[#This Row],[MONEDA]]="PEN",Tabla1[[#This Row],[MONTO]],Tabla1[[#This Row],[MONTO]]*3.56)</f>
        <v>1805.4</v>
      </c>
      <c r="X18" t="s">
        <v>41</v>
      </c>
      <c r="Y18" t="s">
        <v>51</v>
      </c>
      <c r="Z18" t="s">
        <v>43</v>
      </c>
      <c r="AA18" t="s">
        <v>3149</v>
      </c>
      <c r="AB18" t="s">
        <v>3150</v>
      </c>
      <c r="AC18" t="s">
        <v>3151</v>
      </c>
      <c r="AD18" t="s">
        <v>3152</v>
      </c>
      <c r="AE18">
        <v>1624.86</v>
      </c>
      <c r="AF18" t="s">
        <v>87</v>
      </c>
      <c r="AG18" t="s">
        <v>169</v>
      </c>
    </row>
    <row r="19" spans="1:33" x14ac:dyDescent="0.25">
      <c r="A19">
        <v>37344</v>
      </c>
      <c r="B19" t="s">
        <v>32</v>
      </c>
      <c r="C19">
        <v>5</v>
      </c>
      <c r="D19" t="s">
        <v>3153</v>
      </c>
      <c r="E19" t="s">
        <v>70</v>
      </c>
      <c r="F19" t="s">
        <v>90</v>
      </c>
      <c r="G19" t="s">
        <v>91</v>
      </c>
      <c r="H19" t="s">
        <v>35</v>
      </c>
      <c r="I19" t="s">
        <v>3134</v>
      </c>
      <c r="J19" t="s">
        <v>3154</v>
      </c>
      <c r="K19" t="s">
        <v>36</v>
      </c>
      <c r="L19" t="s">
        <v>33</v>
      </c>
      <c r="M19">
        <v>20533154299</v>
      </c>
      <c r="N19" t="s">
        <v>247</v>
      </c>
      <c r="P19" t="s">
        <v>38</v>
      </c>
      <c r="Q19">
        <v>5402165681009</v>
      </c>
      <c r="R19" s="2" t="s">
        <v>3155</v>
      </c>
      <c r="S19">
        <v>7434</v>
      </c>
      <c r="T19" t="s">
        <v>40</v>
      </c>
      <c r="U19">
        <f>+IF(Tabla1[[#This Row],[MONEDA]]="PEN",Tabla1[[#This Row],[MONTO]],Tabla1[[#This Row],[MONTO]]*3.56)</f>
        <v>7434</v>
      </c>
      <c r="X19" t="s">
        <v>41</v>
      </c>
      <c r="Y19" t="s">
        <v>51</v>
      </c>
      <c r="Z19" t="s">
        <v>43</v>
      </c>
      <c r="AA19" t="s">
        <v>3156</v>
      </c>
      <c r="AB19" t="s">
        <v>3157</v>
      </c>
      <c r="AC19" t="s">
        <v>3158</v>
      </c>
      <c r="AD19" t="s">
        <v>3159</v>
      </c>
      <c r="AE19">
        <v>6690.6</v>
      </c>
      <c r="AF19" t="s">
        <v>87</v>
      </c>
      <c r="AG19" t="s">
        <v>169</v>
      </c>
    </row>
    <row r="20" spans="1:33" x14ac:dyDescent="0.25">
      <c r="A20">
        <v>29346</v>
      </c>
      <c r="B20" t="s">
        <v>32</v>
      </c>
      <c r="C20">
        <v>1</v>
      </c>
      <c r="D20" t="s">
        <v>4654</v>
      </c>
      <c r="E20" t="s">
        <v>70</v>
      </c>
      <c r="F20" t="s">
        <v>90</v>
      </c>
      <c r="G20" t="s">
        <v>91</v>
      </c>
      <c r="H20" t="s">
        <v>72</v>
      </c>
      <c r="I20" t="s">
        <v>4655</v>
      </c>
      <c r="J20" t="s">
        <v>4656</v>
      </c>
      <c r="K20" t="s">
        <v>36</v>
      </c>
      <c r="L20" t="s">
        <v>33</v>
      </c>
      <c r="M20">
        <v>20533154299</v>
      </c>
      <c r="N20" t="s">
        <v>247</v>
      </c>
      <c r="P20" t="s">
        <v>38</v>
      </c>
      <c r="Q20">
        <v>5402165681009</v>
      </c>
      <c r="R20" s="2" t="s">
        <v>4657</v>
      </c>
      <c r="S20">
        <v>7599.2</v>
      </c>
      <c r="T20" t="s">
        <v>40</v>
      </c>
      <c r="U20">
        <f>+IF(Tabla1[[#This Row],[MONEDA]]="PEN",Tabla1[[#This Row],[MONTO]],Tabla1[[#This Row],[MONTO]]*3.56)</f>
        <v>7599.2</v>
      </c>
      <c r="X20" t="s">
        <v>41</v>
      </c>
      <c r="Y20" t="s">
        <v>42</v>
      </c>
      <c r="Z20" t="s">
        <v>43</v>
      </c>
      <c r="AA20" t="s">
        <v>4658</v>
      </c>
      <c r="AB20" t="s">
        <v>4659</v>
      </c>
      <c r="AC20" t="s">
        <v>4660</v>
      </c>
      <c r="AD20" t="s">
        <v>4661</v>
      </c>
      <c r="AE20">
        <v>6839.28</v>
      </c>
      <c r="AF20" t="s">
        <v>87</v>
      </c>
      <c r="AG20" t="s">
        <v>169</v>
      </c>
    </row>
    <row r="21" spans="1:33" x14ac:dyDescent="0.25">
      <c r="A21">
        <v>29347</v>
      </c>
      <c r="B21" t="s">
        <v>32</v>
      </c>
      <c r="C21">
        <v>1</v>
      </c>
      <c r="D21" t="s">
        <v>4662</v>
      </c>
      <c r="E21" t="s">
        <v>70</v>
      </c>
      <c r="F21" t="s">
        <v>90</v>
      </c>
      <c r="G21" t="s">
        <v>91</v>
      </c>
      <c r="H21" t="s">
        <v>72</v>
      </c>
      <c r="I21" t="s">
        <v>4655</v>
      </c>
      <c r="J21" t="s">
        <v>4663</v>
      </c>
      <c r="K21" t="s">
        <v>36</v>
      </c>
      <c r="L21" t="s">
        <v>33</v>
      </c>
      <c r="M21">
        <v>20533154299</v>
      </c>
      <c r="N21" t="s">
        <v>247</v>
      </c>
      <c r="P21" t="s">
        <v>38</v>
      </c>
      <c r="Q21">
        <v>5402165681009</v>
      </c>
      <c r="R21" s="2" t="s">
        <v>4664</v>
      </c>
      <c r="S21">
        <v>2725.8</v>
      </c>
      <c r="T21" t="s">
        <v>40</v>
      </c>
      <c r="U21">
        <f>+IF(Tabla1[[#This Row],[MONEDA]]="PEN",Tabla1[[#This Row],[MONTO]],Tabla1[[#This Row],[MONTO]]*3.56)</f>
        <v>2725.8</v>
      </c>
      <c r="X21" t="s">
        <v>41</v>
      </c>
      <c r="Y21" t="s">
        <v>42</v>
      </c>
      <c r="Z21" t="s">
        <v>82</v>
      </c>
      <c r="AA21" t="s">
        <v>4665</v>
      </c>
      <c r="AB21" t="s">
        <v>4666</v>
      </c>
      <c r="AC21" t="s">
        <v>4667</v>
      </c>
      <c r="AD21" t="s">
        <v>4668</v>
      </c>
      <c r="AE21">
        <v>2453.2199999999998</v>
      </c>
      <c r="AF21" t="s">
        <v>87</v>
      </c>
      <c r="AG21" t="s">
        <v>169</v>
      </c>
    </row>
    <row r="22" spans="1:33" x14ac:dyDescent="0.25">
      <c r="A22">
        <v>33349</v>
      </c>
      <c r="B22" t="s">
        <v>32</v>
      </c>
      <c r="C22">
        <v>6</v>
      </c>
      <c r="D22" t="s">
        <v>4669</v>
      </c>
      <c r="E22" t="s">
        <v>70</v>
      </c>
      <c r="F22" t="s">
        <v>90</v>
      </c>
      <c r="G22" t="s">
        <v>91</v>
      </c>
      <c r="H22" t="s">
        <v>72</v>
      </c>
      <c r="I22" t="s">
        <v>4655</v>
      </c>
      <c r="J22" t="s">
        <v>4670</v>
      </c>
      <c r="K22" t="s">
        <v>36</v>
      </c>
      <c r="L22" t="s">
        <v>33</v>
      </c>
      <c r="M22">
        <v>20533154299</v>
      </c>
      <c r="N22" t="s">
        <v>247</v>
      </c>
      <c r="P22" t="s">
        <v>38</v>
      </c>
      <c r="Q22">
        <v>5402165681009</v>
      </c>
      <c r="R22" s="2" t="s">
        <v>4671</v>
      </c>
      <c r="S22">
        <v>5817.4</v>
      </c>
      <c r="T22" t="s">
        <v>40</v>
      </c>
      <c r="U22">
        <f>+IF(Tabla1[[#This Row],[MONEDA]]="PEN",Tabla1[[#This Row],[MONTO]],Tabla1[[#This Row],[MONTO]]*3.56)</f>
        <v>5817.4</v>
      </c>
      <c r="X22" t="s">
        <v>41</v>
      </c>
      <c r="Y22" t="s">
        <v>42</v>
      </c>
      <c r="Z22" t="s">
        <v>82</v>
      </c>
      <c r="AA22" t="s">
        <v>4672</v>
      </c>
      <c r="AB22" t="s">
        <v>4673</v>
      </c>
      <c r="AC22" t="s">
        <v>4674</v>
      </c>
      <c r="AD22" t="s">
        <v>4675</v>
      </c>
      <c r="AE22">
        <v>5235.66</v>
      </c>
      <c r="AF22" t="s">
        <v>87</v>
      </c>
      <c r="AG22" t="s">
        <v>169</v>
      </c>
    </row>
    <row r="23" spans="1:33" x14ac:dyDescent="0.25">
      <c r="A23">
        <v>33350</v>
      </c>
      <c r="B23" t="s">
        <v>32</v>
      </c>
      <c r="C23">
        <v>6</v>
      </c>
      <c r="D23" t="s">
        <v>4676</v>
      </c>
      <c r="E23" t="s">
        <v>70</v>
      </c>
      <c r="F23" t="s">
        <v>90</v>
      </c>
      <c r="G23" t="s">
        <v>91</v>
      </c>
      <c r="H23" t="s">
        <v>72</v>
      </c>
      <c r="I23" t="s">
        <v>4655</v>
      </c>
      <c r="J23" t="s">
        <v>4677</v>
      </c>
      <c r="K23" t="s">
        <v>36</v>
      </c>
      <c r="L23" t="s">
        <v>33</v>
      </c>
      <c r="M23">
        <v>20533154299</v>
      </c>
      <c r="N23" t="s">
        <v>247</v>
      </c>
      <c r="P23" t="s">
        <v>38</v>
      </c>
      <c r="Q23">
        <v>5402165681009</v>
      </c>
      <c r="R23" s="2" t="s">
        <v>4678</v>
      </c>
      <c r="S23">
        <v>7599.2</v>
      </c>
      <c r="T23" t="s">
        <v>40</v>
      </c>
      <c r="U23">
        <f>+IF(Tabla1[[#This Row],[MONEDA]]="PEN",Tabla1[[#This Row],[MONTO]],Tabla1[[#This Row],[MONTO]]*3.56)</f>
        <v>7599.2</v>
      </c>
      <c r="X23" t="s">
        <v>41</v>
      </c>
      <c r="Y23" t="s">
        <v>51</v>
      </c>
      <c r="Z23" t="s">
        <v>43</v>
      </c>
      <c r="AA23" t="s">
        <v>4679</v>
      </c>
      <c r="AB23" t="s">
        <v>4680</v>
      </c>
      <c r="AC23" t="s">
        <v>4681</v>
      </c>
      <c r="AD23" t="s">
        <v>4682</v>
      </c>
      <c r="AE23">
        <v>6839.28</v>
      </c>
      <c r="AF23" t="s">
        <v>87</v>
      </c>
      <c r="AG23" t="s">
        <v>169</v>
      </c>
    </row>
    <row r="24" spans="1:33" x14ac:dyDescent="0.25">
      <c r="A24">
        <v>29391</v>
      </c>
      <c r="B24" t="s">
        <v>32</v>
      </c>
      <c r="C24">
        <v>6</v>
      </c>
      <c r="D24" t="s">
        <v>6767</v>
      </c>
      <c r="E24" t="s">
        <v>70</v>
      </c>
      <c r="F24" t="s">
        <v>90</v>
      </c>
      <c r="G24" t="s">
        <v>91</v>
      </c>
      <c r="H24" t="s">
        <v>72</v>
      </c>
      <c r="I24" t="s">
        <v>6768</v>
      </c>
      <c r="J24" t="s">
        <v>6769</v>
      </c>
      <c r="K24" t="s">
        <v>36</v>
      </c>
      <c r="L24" t="s">
        <v>33</v>
      </c>
      <c r="M24">
        <v>20533154299</v>
      </c>
      <c r="N24" t="s">
        <v>247</v>
      </c>
      <c r="P24" t="s">
        <v>38</v>
      </c>
      <c r="Q24">
        <v>5402165681009</v>
      </c>
      <c r="R24" s="2" t="s">
        <v>6770</v>
      </c>
      <c r="S24">
        <v>7599.2</v>
      </c>
      <c r="T24" t="s">
        <v>40</v>
      </c>
      <c r="U24">
        <f>+IF(Tabla1[[#This Row],[MONEDA]]="PEN",Tabla1[[#This Row],[MONTO]],Tabla1[[#This Row],[MONTO]]*3.56)</f>
        <v>7599.2</v>
      </c>
      <c r="X24" t="s">
        <v>41</v>
      </c>
      <c r="Y24" t="s">
        <v>42</v>
      </c>
      <c r="Z24" t="s">
        <v>82</v>
      </c>
      <c r="AA24" t="s">
        <v>6771</v>
      </c>
      <c r="AB24" t="s">
        <v>6772</v>
      </c>
      <c r="AC24" t="s">
        <v>6773</v>
      </c>
      <c r="AD24" t="s">
        <v>6774</v>
      </c>
      <c r="AE24">
        <v>6839.28</v>
      </c>
      <c r="AG24" t="s">
        <v>169</v>
      </c>
    </row>
    <row r="25" spans="1:33" x14ac:dyDescent="0.25">
      <c r="A25">
        <v>29392</v>
      </c>
      <c r="B25" t="s">
        <v>32</v>
      </c>
      <c r="C25">
        <v>6</v>
      </c>
      <c r="D25" t="s">
        <v>6775</v>
      </c>
      <c r="E25" t="s">
        <v>70</v>
      </c>
      <c r="F25" t="s">
        <v>90</v>
      </c>
      <c r="G25" t="s">
        <v>91</v>
      </c>
      <c r="H25" t="s">
        <v>72</v>
      </c>
      <c r="I25" t="s">
        <v>6768</v>
      </c>
      <c r="J25" t="s">
        <v>6776</v>
      </c>
      <c r="K25" t="s">
        <v>36</v>
      </c>
      <c r="L25" t="s">
        <v>33</v>
      </c>
      <c r="M25">
        <v>20533154299</v>
      </c>
      <c r="N25" t="s">
        <v>247</v>
      </c>
      <c r="P25" t="s">
        <v>38</v>
      </c>
      <c r="Q25">
        <v>5402165681009</v>
      </c>
      <c r="R25" s="2" t="s">
        <v>6777</v>
      </c>
      <c r="S25">
        <v>7434</v>
      </c>
      <c r="T25" t="s">
        <v>40</v>
      </c>
      <c r="U25">
        <f>+IF(Tabla1[[#This Row],[MONEDA]]="PEN",Tabla1[[#This Row],[MONTO]],Tabla1[[#This Row],[MONTO]]*3.56)</f>
        <v>7434</v>
      </c>
      <c r="X25" t="s">
        <v>41</v>
      </c>
      <c r="Y25" t="s">
        <v>42</v>
      </c>
      <c r="Z25" t="s">
        <v>43</v>
      </c>
      <c r="AA25" t="s">
        <v>6778</v>
      </c>
      <c r="AB25" t="s">
        <v>6779</v>
      </c>
      <c r="AC25" t="s">
        <v>6780</v>
      </c>
      <c r="AD25" t="s">
        <v>6781</v>
      </c>
      <c r="AE25">
        <v>6690.6</v>
      </c>
      <c r="AF25" t="s">
        <v>87</v>
      </c>
      <c r="AG25" t="s">
        <v>169</v>
      </c>
    </row>
    <row r="26" spans="1:33" x14ac:dyDescent="0.25">
      <c r="A26">
        <v>29393</v>
      </c>
      <c r="B26" t="s">
        <v>32</v>
      </c>
      <c r="C26">
        <v>6</v>
      </c>
      <c r="D26" t="s">
        <v>6782</v>
      </c>
      <c r="E26" t="s">
        <v>70</v>
      </c>
      <c r="F26" t="s">
        <v>90</v>
      </c>
      <c r="G26" t="s">
        <v>91</v>
      </c>
      <c r="H26" t="s">
        <v>72</v>
      </c>
      <c r="I26" t="s">
        <v>6768</v>
      </c>
      <c r="J26" t="s">
        <v>6783</v>
      </c>
      <c r="K26" t="s">
        <v>36</v>
      </c>
      <c r="L26" t="s">
        <v>33</v>
      </c>
      <c r="M26">
        <v>20533154299</v>
      </c>
      <c r="N26" t="s">
        <v>247</v>
      </c>
      <c r="P26" t="s">
        <v>38</v>
      </c>
      <c r="Q26">
        <v>5402165681009</v>
      </c>
      <c r="R26" s="2" t="s">
        <v>6784</v>
      </c>
      <c r="S26">
        <v>5616.8</v>
      </c>
      <c r="T26" t="s">
        <v>40</v>
      </c>
      <c r="U26">
        <f>+IF(Tabla1[[#This Row],[MONEDA]]="PEN",Tabla1[[#This Row],[MONTO]],Tabla1[[#This Row],[MONTO]]*3.56)</f>
        <v>5616.8</v>
      </c>
      <c r="X26" t="s">
        <v>41</v>
      </c>
      <c r="Y26" t="s">
        <v>42</v>
      </c>
      <c r="Z26" t="s">
        <v>43</v>
      </c>
      <c r="AA26" t="s">
        <v>6785</v>
      </c>
      <c r="AB26" t="s">
        <v>6786</v>
      </c>
      <c r="AC26" t="s">
        <v>6787</v>
      </c>
      <c r="AD26" t="s">
        <v>6788</v>
      </c>
      <c r="AE26">
        <v>5055.12</v>
      </c>
      <c r="AF26" t="s">
        <v>87</v>
      </c>
      <c r="AG26" t="s">
        <v>169</v>
      </c>
    </row>
    <row r="27" spans="1:33" x14ac:dyDescent="0.25">
      <c r="A27">
        <v>27282</v>
      </c>
      <c r="B27" t="s">
        <v>32</v>
      </c>
      <c r="C27">
        <v>1</v>
      </c>
      <c r="D27" t="s">
        <v>8377</v>
      </c>
      <c r="E27" t="s">
        <v>70</v>
      </c>
      <c r="F27" t="s">
        <v>90</v>
      </c>
      <c r="G27" t="s">
        <v>91</v>
      </c>
      <c r="H27" t="s">
        <v>72</v>
      </c>
      <c r="I27" t="s">
        <v>8362</v>
      </c>
      <c r="J27" t="s">
        <v>8378</v>
      </c>
      <c r="K27" t="s">
        <v>36</v>
      </c>
      <c r="L27" t="s">
        <v>33</v>
      </c>
      <c r="M27">
        <v>20533154299</v>
      </c>
      <c r="N27" t="s">
        <v>247</v>
      </c>
      <c r="P27" t="s">
        <v>38</v>
      </c>
      <c r="Q27">
        <v>5402165681009</v>
      </c>
      <c r="R27" s="2" t="s">
        <v>8379</v>
      </c>
      <c r="S27">
        <v>4413.2</v>
      </c>
      <c r="T27" t="s">
        <v>40</v>
      </c>
      <c r="U27">
        <f>+IF(Tabla1[[#This Row],[MONEDA]]="PEN",Tabla1[[#This Row],[MONTO]],Tabla1[[#This Row],[MONTO]]*3.56)</f>
        <v>4413.2</v>
      </c>
      <c r="X27" t="s">
        <v>41</v>
      </c>
      <c r="Y27" t="s">
        <v>42</v>
      </c>
      <c r="Z27" t="s">
        <v>43</v>
      </c>
      <c r="AA27" t="s">
        <v>8380</v>
      </c>
      <c r="AB27" t="s">
        <v>8381</v>
      </c>
      <c r="AC27" t="s">
        <v>8382</v>
      </c>
      <c r="AD27" t="s">
        <v>8383</v>
      </c>
      <c r="AE27">
        <v>3971.88</v>
      </c>
      <c r="AF27" t="s">
        <v>87</v>
      </c>
      <c r="AG27" t="s">
        <v>169</v>
      </c>
    </row>
    <row r="28" spans="1:33" x14ac:dyDescent="0.25">
      <c r="A28">
        <v>27283</v>
      </c>
      <c r="B28" t="s">
        <v>32</v>
      </c>
      <c r="C28">
        <v>1</v>
      </c>
      <c r="D28" t="s">
        <v>8384</v>
      </c>
      <c r="E28" t="s">
        <v>70</v>
      </c>
      <c r="F28" t="s">
        <v>90</v>
      </c>
      <c r="G28" t="s">
        <v>91</v>
      </c>
      <c r="H28" t="s">
        <v>72</v>
      </c>
      <c r="I28" t="s">
        <v>8362</v>
      </c>
      <c r="J28" t="s">
        <v>8385</v>
      </c>
      <c r="K28" t="s">
        <v>36</v>
      </c>
      <c r="L28" t="s">
        <v>33</v>
      </c>
      <c r="M28">
        <v>20533154299</v>
      </c>
      <c r="N28" t="s">
        <v>247</v>
      </c>
      <c r="P28" t="s">
        <v>38</v>
      </c>
      <c r="Q28">
        <v>5402165681009</v>
      </c>
      <c r="R28" s="2" t="s">
        <v>8386</v>
      </c>
      <c r="S28">
        <v>2171.1999999999998</v>
      </c>
      <c r="T28" t="s">
        <v>40</v>
      </c>
      <c r="U28">
        <f>+IF(Tabla1[[#This Row],[MONEDA]]="PEN",Tabla1[[#This Row],[MONTO]],Tabla1[[#This Row],[MONTO]]*3.56)</f>
        <v>2171.1999999999998</v>
      </c>
      <c r="X28" t="s">
        <v>41</v>
      </c>
      <c r="Y28" t="s">
        <v>42</v>
      </c>
      <c r="Z28" t="s">
        <v>82</v>
      </c>
      <c r="AA28" t="s">
        <v>8387</v>
      </c>
      <c r="AB28" t="s">
        <v>8388</v>
      </c>
      <c r="AC28" t="s">
        <v>8389</v>
      </c>
      <c r="AD28" t="s">
        <v>8390</v>
      </c>
      <c r="AE28">
        <v>1954.08</v>
      </c>
      <c r="AF28" t="s">
        <v>87</v>
      </c>
      <c r="AG28" t="s">
        <v>169</v>
      </c>
    </row>
    <row r="29" spans="1:33" x14ac:dyDescent="0.25">
      <c r="A29">
        <v>23251</v>
      </c>
      <c r="B29" t="s">
        <v>32</v>
      </c>
      <c r="C29">
        <v>4</v>
      </c>
      <c r="D29" t="s">
        <v>11317</v>
      </c>
      <c r="E29" t="s">
        <v>70</v>
      </c>
      <c r="F29" t="s">
        <v>90</v>
      </c>
      <c r="G29" t="s">
        <v>91</v>
      </c>
      <c r="H29" t="s">
        <v>72</v>
      </c>
      <c r="I29" t="s">
        <v>11296</v>
      </c>
      <c r="J29" t="s">
        <v>11318</v>
      </c>
      <c r="K29" t="s">
        <v>36</v>
      </c>
      <c r="L29" t="s">
        <v>33</v>
      </c>
      <c r="M29">
        <v>20533154299</v>
      </c>
      <c r="N29" t="s">
        <v>247</v>
      </c>
      <c r="O29" t="s">
        <v>1747</v>
      </c>
      <c r="P29" t="s">
        <v>38</v>
      </c>
      <c r="Q29">
        <v>5402165681009</v>
      </c>
      <c r="R29" s="2" t="s">
        <v>11319</v>
      </c>
      <c r="S29">
        <v>5215.6000000000004</v>
      </c>
      <c r="T29" t="s">
        <v>40</v>
      </c>
      <c r="U29">
        <f>+IF(Tabla1[[#This Row],[MONEDA]]="PEN",Tabla1[[#This Row],[MONTO]],Tabla1[[#This Row],[MONTO]]*3.56)</f>
        <v>5215.6000000000004</v>
      </c>
      <c r="X29" t="s">
        <v>41</v>
      </c>
      <c r="Y29" t="s">
        <v>42</v>
      </c>
      <c r="Z29" t="s">
        <v>43</v>
      </c>
      <c r="AA29" t="s">
        <v>11320</v>
      </c>
      <c r="AB29" t="s">
        <v>11321</v>
      </c>
      <c r="AC29" t="s">
        <v>11322</v>
      </c>
      <c r="AD29" t="s">
        <v>11323</v>
      </c>
      <c r="AE29">
        <v>4694.04</v>
      </c>
      <c r="AF29" t="s">
        <v>87</v>
      </c>
      <c r="AG29" t="s">
        <v>169</v>
      </c>
    </row>
    <row r="30" spans="1:33" hidden="1" x14ac:dyDescent="0.25">
      <c r="A30">
        <v>45122</v>
      </c>
      <c r="B30" t="s">
        <v>32</v>
      </c>
      <c r="C30">
        <v>4</v>
      </c>
      <c r="D30" t="s">
        <v>245</v>
      </c>
      <c r="E30" t="s">
        <v>45</v>
      </c>
      <c r="F30" t="s">
        <v>33</v>
      </c>
      <c r="G30" t="s">
        <v>34</v>
      </c>
      <c r="H30" t="s">
        <v>35</v>
      </c>
      <c r="I30" t="s">
        <v>221</v>
      </c>
      <c r="J30" t="s">
        <v>246</v>
      </c>
      <c r="K30" t="s">
        <v>36</v>
      </c>
      <c r="L30" t="s">
        <v>33</v>
      </c>
      <c r="M30">
        <v>20533154299</v>
      </c>
      <c r="N30" t="s">
        <v>247</v>
      </c>
      <c r="P30" t="s">
        <v>38</v>
      </c>
      <c r="Q30">
        <v>5402165681009</v>
      </c>
      <c r="R30" s="2" t="s">
        <v>248</v>
      </c>
      <c r="S30">
        <v>8413.4</v>
      </c>
      <c r="T30" t="s">
        <v>40</v>
      </c>
      <c r="U30">
        <f>+IF(Tabla1[[#This Row],[MONEDA]]="PEN",Tabla1[[#This Row],[MONTO]],Tabla1[[#This Row],[MONTO]]*3.56)</f>
        <v>8413.4</v>
      </c>
      <c r="X30" t="s">
        <v>41</v>
      </c>
      <c r="Y30" t="s">
        <v>51</v>
      </c>
      <c r="Z30" t="s">
        <v>43</v>
      </c>
      <c r="AB30" t="s">
        <v>249</v>
      </c>
    </row>
    <row r="31" spans="1:33" hidden="1" x14ac:dyDescent="0.25">
      <c r="A31">
        <v>45123</v>
      </c>
      <c r="B31" t="s">
        <v>32</v>
      </c>
      <c r="C31">
        <v>3</v>
      </c>
      <c r="D31" t="s">
        <v>250</v>
      </c>
      <c r="E31" t="s">
        <v>45</v>
      </c>
      <c r="F31" t="s">
        <v>33</v>
      </c>
      <c r="G31" t="s">
        <v>34</v>
      </c>
      <c r="H31" t="s">
        <v>35</v>
      </c>
      <c r="I31" t="s">
        <v>221</v>
      </c>
      <c r="J31" t="s">
        <v>251</v>
      </c>
      <c r="K31" t="s">
        <v>36</v>
      </c>
      <c r="L31" t="s">
        <v>33</v>
      </c>
      <c r="M31">
        <v>20533154299</v>
      </c>
      <c r="N31" t="s">
        <v>247</v>
      </c>
      <c r="P31" t="s">
        <v>38</v>
      </c>
      <c r="Q31">
        <v>5402165681009</v>
      </c>
      <c r="R31" s="2" t="s">
        <v>252</v>
      </c>
      <c r="S31">
        <v>6442.8</v>
      </c>
      <c r="T31" t="s">
        <v>40</v>
      </c>
      <c r="U31">
        <f>+IF(Tabla1[[#This Row],[MONEDA]]="PEN",Tabla1[[#This Row],[MONTO]],Tabla1[[#This Row],[MONTO]]*3.56)</f>
        <v>6442.8</v>
      </c>
      <c r="X31" t="s">
        <v>41</v>
      </c>
      <c r="Y31" t="s">
        <v>51</v>
      </c>
      <c r="Z31" t="s">
        <v>43</v>
      </c>
      <c r="AB31" t="s">
        <v>253</v>
      </c>
    </row>
    <row r="32" spans="1:33" x14ac:dyDescent="0.25">
      <c r="A32">
        <v>42091</v>
      </c>
      <c r="B32" t="s">
        <v>32</v>
      </c>
      <c r="C32">
        <v>1</v>
      </c>
      <c r="D32" t="s">
        <v>1155</v>
      </c>
      <c r="E32" t="s">
        <v>45</v>
      </c>
      <c r="F32" t="s">
        <v>90</v>
      </c>
      <c r="G32" t="s">
        <v>91</v>
      </c>
      <c r="H32" t="s">
        <v>35</v>
      </c>
      <c r="I32" t="s">
        <v>1120</v>
      </c>
      <c r="J32" t="s">
        <v>1156</v>
      </c>
      <c r="K32" t="s">
        <v>36</v>
      </c>
      <c r="L32" t="s">
        <v>33</v>
      </c>
      <c r="M32">
        <v>20533154299</v>
      </c>
      <c r="N32" t="s">
        <v>247</v>
      </c>
      <c r="P32" t="s">
        <v>38</v>
      </c>
      <c r="Q32">
        <v>5402165681009</v>
      </c>
      <c r="R32" s="2" t="s">
        <v>1157</v>
      </c>
      <c r="S32">
        <v>7681.8</v>
      </c>
      <c r="T32" t="s">
        <v>40</v>
      </c>
      <c r="U32">
        <f>+IF(Tabla1[[#This Row],[MONEDA]]="PEN",Tabla1[[#This Row],[MONTO]],Tabla1[[#This Row],[MONTO]]*3.56)</f>
        <v>7681.8</v>
      </c>
      <c r="X32" t="s">
        <v>41</v>
      </c>
      <c r="Y32" t="s">
        <v>51</v>
      </c>
      <c r="Z32" t="s">
        <v>43</v>
      </c>
      <c r="AB32" t="s">
        <v>1158</v>
      </c>
    </row>
    <row r="33" spans="1:33" x14ac:dyDescent="0.25">
      <c r="A33">
        <v>42093</v>
      </c>
      <c r="B33" t="s">
        <v>32</v>
      </c>
      <c r="C33">
        <v>1</v>
      </c>
      <c r="D33" t="s">
        <v>1159</v>
      </c>
      <c r="E33" t="s">
        <v>45</v>
      </c>
      <c r="F33" t="s">
        <v>90</v>
      </c>
      <c r="G33" t="s">
        <v>91</v>
      </c>
      <c r="H33" t="s">
        <v>35</v>
      </c>
      <c r="I33" t="s">
        <v>1120</v>
      </c>
      <c r="J33" t="s">
        <v>1160</v>
      </c>
      <c r="K33" t="s">
        <v>36</v>
      </c>
      <c r="L33" t="s">
        <v>33</v>
      </c>
      <c r="M33">
        <v>20533154299</v>
      </c>
      <c r="N33" t="s">
        <v>247</v>
      </c>
      <c r="P33" t="s">
        <v>38</v>
      </c>
      <c r="Q33">
        <v>5402165681009</v>
      </c>
      <c r="R33" s="2" t="s">
        <v>1161</v>
      </c>
      <c r="S33">
        <v>8413.4</v>
      </c>
      <c r="T33" t="s">
        <v>40</v>
      </c>
      <c r="U33">
        <f>+IF(Tabla1[[#This Row],[MONEDA]]="PEN",Tabla1[[#This Row],[MONTO]],Tabla1[[#This Row],[MONTO]]*3.56)</f>
        <v>8413.4</v>
      </c>
      <c r="X33" t="s">
        <v>41</v>
      </c>
      <c r="Y33" t="s">
        <v>51</v>
      </c>
      <c r="Z33" t="s">
        <v>43</v>
      </c>
      <c r="AB33" t="s">
        <v>1162</v>
      </c>
    </row>
    <row r="34" spans="1:33" x14ac:dyDescent="0.25">
      <c r="A34">
        <v>38966</v>
      </c>
      <c r="B34" t="s">
        <v>32</v>
      </c>
      <c r="C34">
        <v>1</v>
      </c>
      <c r="D34" t="s">
        <v>2671</v>
      </c>
      <c r="E34" t="s">
        <v>45</v>
      </c>
      <c r="F34" t="s">
        <v>90</v>
      </c>
      <c r="G34" t="s">
        <v>91</v>
      </c>
      <c r="H34" t="s">
        <v>35</v>
      </c>
      <c r="I34" t="s">
        <v>2624</v>
      </c>
      <c r="J34" t="s">
        <v>2672</v>
      </c>
      <c r="K34" t="s">
        <v>36</v>
      </c>
      <c r="L34" t="s">
        <v>33</v>
      </c>
      <c r="M34">
        <v>20533154299</v>
      </c>
      <c r="N34" t="s">
        <v>247</v>
      </c>
      <c r="P34" t="s">
        <v>38</v>
      </c>
      <c r="Q34">
        <v>5402165681009</v>
      </c>
      <c r="R34" s="2" t="s">
        <v>2673</v>
      </c>
      <c r="S34">
        <v>7434</v>
      </c>
      <c r="T34" t="s">
        <v>40</v>
      </c>
      <c r="U34">
        <f>+IF(Tabla1[[#This Row],[MONEDA]]="PEN",Tabla1[[#This Row],[MONTO]],Tabla1[[#This Row],[MONTO]]*3.56)</f>
        <v>7434</v>
      </c>
      <c r="X34" t="s">
        <v>41</v>
      </c>
      <c r="Y34" t="s">
        <v>51</v>
      </c>
      <c r="Z34" t="s">
        <v>43</v>
      </c>
      <c r="AB34" t="s">
        <v>2674</v>
      </c>
    </row>
    <row r="35" spans="1:33" x14ac:dyDescent="0.25">
      <c r="A35">
        <v>38971</v>
      </c>
      <c r="B35" t="s">
        <v>32</v>
      </c>
      <c r="C35">
        <v>1</v>
      </c>
      <c r="D35" t="s">
        <v>2675</v>
      </c>
      <c r="E35" t="s">
        <v>45</v>
      </c>
      <c r="F35" t="s">
        <v>90</v>
      </c>
      <c r="G35" t="s">
        <v>91</v>
      </c>
      <c r="H35" t="s">
        <v>35</v>
      </c>
      <c r="I35" t="s">
        <v>2624</v>
      </c>
      <c r="J35" t="s">
        <v>2676</v>
      </c>
      <c r="K35" t="s">
        <v>36</v>
      </c>
      <c r="L35" t="s">
        <v>33</v>
      </c>
      <c r="M35">
        <v>20533154299</v>
      </c>
      <c r="N35" t="s">
        <v>247</v>
      </c>
      <c r="P35" t="s">
        <v>38</v>
      </c>
      <c r="Q35">
        <v>5402165681009</v>
      </c>
      <c r="R35" s="2" t="s">
        <v>2677</v>
      </c>
      <c r="S35">
        <v>8142</v>
      </c>
      <c r="T35" t="s">
        <v>40</v>
      </c>
      <c r="U35">
        <f>+IF(Tabla1[[#This Row],[MONEDA]]="PEN",Tabla1[[#This Row],[MONTO]],Tabla1[[#This Row],[MONTO]]*3.56)</f>
        <v>8142</v>
      </c>
      <c r="X35" t="s">
        <v>41</v>
      </c>
      <c r="Y35" t="s">
        <v>51</v>
      </c>
      <c r="Z35" t="s">
        <v>43</v>
      </c>
      <c r="AB35" t="s">
        <v>2678</v>
      </c>
    </row>
    <row r="36" spans="1:33" x14ac:dyDescent="0.25">
      <c r="A36">
        <v>37330</v>
      </c>
      <c r="B36" t="s">
        <v>32</v>
      </c>
      <c r="C36">
        <v>2</v>
      </c>
      <c r="D36" t="s">
        <v>3133</v>
      </c>
      <c r="E36" t="s">
        <v>45</v>
      </c>
      <c r="F36" t="s">
        <v>90</v>
      </c>
      <c r="G36" t="s">
        <v>91</v>
      </c>
      <c r="H36" t="s">
        <v>35</v>
      </c>
      <c r="I36" t="s">
        <v>3134</v>
      </c>
      <c r="J36" t="s">
        <v>3135</v>
      </c>
      <c r="K36" t="s">
        <v>36</v>
      </c>
      <c r="L36" t="s">
        <v>33</v>
      </c>
      <c r="M36">
        <v>20533154299</v>
      </c>
      <c r="N36" t="s">
        <v>247</v>
      </c>
      <c r="P36" t="s">
        <v>38</v>
      </c>
      <c r="Q36">
        <v>5402165681009</v>
      </c>
      <c r="R36" s="2" t="s">
        <v>3136</v>
      </c>
      <c r="S36">
        <v>6690.6</v>
      </c>
      <c r="T36" t="s">
        <v>40</v>
      </c>
      <c r="U36">
        <f>+IF(Tabla1[[#This Row],[MONEDA]]="PEN",Tabla1[[#This Row],[MONTO]],Tabla1[[#This Row],[MONTO]]*3.56)</f>
        <v>6690.6</v>
      </c>
      <c r="X36" t="s">
        <v>41</v>
      </c>
      <c r="Y36" t="s">
        <v>51</v>
      </c>
      <c r="Z36" t="s">
        <v>43</v>
      </c>
      <c r="AB36" t="s">
        <v>3137</v>
      </c>
      <c r="AD36" t="s">
        <v>3138</v>
      </c>
    </row>
    <row r="37" spans="1:33" x14ac:dyDescent="0.25">
      <c r="A37">
        <v>37328</v>
      </c>
      <c r="B37" t="s">
        <v>32</v>
      </c>
      <c r="C37">
        <v>1</v>
      </c>
      <c r="D37" t="s">
        <v>3224</v>
      </c>
      <c r="E37" t="s">
        <v>45</v>
      </c>
      <c r="F37" t="s">
        <v>90</v>
      </c>
      <c r="G37" t="s">
        <v>91</v>
      </c>
      <c r="H37" t="s">
        <v>35</v>
      </c>
      <c r="I37" t="s">
        <v>3204</v>
      </c>
      <c r="J37" t="s">
        <v>3225</v>
      </c>
      <c r="K37" t="s">
        <v>36</v>
      </c>
      <c r="L37" t="s">
        <v>33</v>
      </c>
      <c r="M37">
        <v>20533154299</v>
      </c>
      <c r="N37" t="s">
        <v>247</v>
      </c>
      <c r="P37" t="s">
        <v>38</v>
      </c>
      <c r="Q37">
        <v>5402165681009</v>
      </c>
      <c r="R37" s="2" t="s">
        <v>3226</v>
      </c>
      <c r="S37">
        <v>5817.4</v>
      </c>
      <c r="T37" t="s">
        <v>40</v>
      </c>
      <c r="U37">
        <f>+IF(Tabla1[[#This Row],[MONEDA]]="PEN",Tabla1[[#This Row],[MONTO]],Tabla1[[#This Row],[MONTO]]*3.56)</f>
        <v>5817.4</v>
      </c>
      <c r="X37" t="s">
        <v>41</v>
      </c>
      <c r="Y37" t="s">
        <v>51</v>
      </c>
      <c r="Z37" t="s">
        <v>43</v>
      </c>
      <c r="AB37" t="s">
        <v>3227</v>
      </c>
      <c r="AD37" t="s">
        <v>3228</v>
      </c>
    </row>
    <row r="38" spans="1:33" x14ac:dyDescent="0.25">
      <c r="A38">
        <v>28062</v>
      </c>
      <c r="B38" t="s">
        <v>32</v>
      </c>
      <c r="C38">
        <v>1</v>
      </c>
      <c r="D38" t="s">
        <v>7960</v>
      </c>
      <c r="E38" t="s">
        <v>70</v>
      </c>
      <c r="F38" t="s">
        <v>5328</v>
      </c>
      <c r="G38" t="s">
        <v>5329</v>
      </c>
      <c r="H38" t="s">
        <v>72</v>
      </c>
      <c r="I38" t="s">
        <v>7954</v>
      </c>
      <c r="J38" t="s">
        <v>7961</v>
      </c>
      <c r="K38" t="s">
        <v>36</v>
      </c>
      <c r="L38" t="s">
        <v>33</v>
      </c>
      <c r="M38">
        <v>10414236966</v>
      </c>
      <c r="N38" t="s">
        <v>7458</v>
      </c>
      <c r="O38" t="s">
        <v>6159</v>
      </c>
      <c r="P38" t="s">
        <v>38</v>
      </c>
      <c r="Q38">
        <v>43001959638044</v>
      </c>
      <c r="R38" t="s">
        <v>7962</v>
      </c>
      <c r="S38">
        <v>260</v>
      </c>
      <c r="T38" t="s">
        <v>40</v>
      </c>
      <c r="U38">
        <f>+IF(Tabla1[[#This Row],[MONEDA]]="PEN",Tabla1[[#This Row],[MONTO]],Tabla1[[#This Row],[MONTO]]*3.56)</f>
        <v>260</v>
      </c>
      <c r="X38" t="s">
        <v>81</v>
      </c>
      <c r="Y38" t="s">
        <v>42</v>
      </c>
      <c r="Z38" t="s">
        <v>43</v>
      </c>
      <c r="AA38" t="s">
        <v>7963</v>
      </c>
      <c r="AB38" t="s">
        <v>7964</v>
      </c>
      <c r="AC38" t="s">
        <v>7965</v>
      </c>
      <c r="AD38" t="s">
        <v>7966</v>
      </c>
      <c r="AE38">
        <v>260</v>
      </c>
      <c r="AF38" t="s">
        <v>87</v>
      </c>
      <c r="AG38" t="s">
        <v>169</v>
      </c>
    </row>
    <row r="39" spans="1:33" hidden="1" x14ac:dyDescent="0.25">
      <c r="A39">
        <v>35904</v>
      </c>
      <c r="B39" t="s">
        <v>32</v>
      </c>
      <c r="C39">
        <v>1</v>
      </c>
      <c r="D39" t="s">
        <v>4073</v>
      </c>
      <c r="E39" t="s">
        <v>70</v>
      </c>
      <c r="F39" t="s">
        <v>33</v>
      </c>
      <c r="G39" t="s">
        <v>71</v>
      </c>
      <c r="H39" t="s">
        <v>35</v>
      </c>
      <c r="I39" t="s">
        <v>4074</v>
      </c>
      <c r="J39" t="s">
        <v>4075</v>
      </c>
      <c r="K39" t="s">
        <v>36</v>
      </c>
      <c r="L39" t="s">
        <v>33</v>
      </c>
      <c r="M39">
        <v>20608376233</v>
      </c>
      <c r="N39" t="s">
        <v>4076</v>
      </c>
      <c r="P39" t="s">
        <v>38</v>
      </c>
      <c r="Q39" t="s">
        <v>4077</v>
      </c>
      <c r="R39" t="s">
        <v>4078</v>
      </c>
      <c r="S39">
        <v>830</v>
      </c>
      <c r="T39" t="s">
        <v>40</v>
      </c>
      <c r="U39">
        <f>+IF(Tabla1[[#This Row],[MONEDA]]="PEN",Tabla1[[#This Row],[MONTO]],Tabla1[[#This Row],[MONTO]]*3.56)</f>
        <v>830</v>
      </c>
      <c r="X39" t="s">
        <v>81</v>
      </c>
      <c r="Y39" t="s">
        <v>42</v>
      </c>
      <c r="Z39" t="s">
        <v>43</v>
      </c>
      <c r="AA39" t="s">
        <v>4079</v>
      </c>
      <c r="AB39" t="s">
        <v>4080</v>
      </c>
      <c r="AC39" t="s">
        <v>4081</v>
      </c>
      <c r="AD39" t="s">
        <v>4082</v>
      </c>
      <c r="AE39">
        <v>805.1</v>
      </c>
      <c r="AF39" t="s">
        <v>87</v>
      </c>
      <c r="AG39" t="s">
        <v>169</v>
      </c>
    </row>
    <row r="40" spans="1:33" hidden="1" x14ac:dyDescent="0.25">
      <c r="A40">
        <v>31008</v>
      </c>
      <c r="B40" t="s">
        <v>32</v>
      </c>
      <c r="C40">
        <v>1</v>
      </c>
      <c r="D40" t="s">
        <v>6144</v>
      </c>
      <c r="E40" t="s">
        <v>70</v>
      </c>
      <c r="F40" t="s">
        <v>33</v>
      </c>
      <c r="G40" t="s">
        <v>71</v>
      </c>
      <c r="H40" t="s">
        <v>72</v>
      </c>
      <c r="I40" t="s">
        <v>6145</v>
      </c>
      <c r="J40" t="s">
        <v>6146</v>
      </c>
      <c r="K40" t="s">
        <v>36</v>
      </c>
      <c r="L40" t="s">
        <v>33</v>
      </c>
      <c r="M40">
        <v>20608376233</v>
      </c>
      <c r="N40" t="s">
        <v>4076</v>
      </c>
      <c r="O40" t="s">
        <v>76</v>
      </c>
      <c r="P40" t="s">
        <v>38</v>
      </c>
      <c r="Q40" t="s">
        <v>4077</v>
      </c>
      <c r="R40" t="s">
        <v>6147</v>
      </c>
      <c r="S40">
        <v>2565</v>
      </c>
      <c r="T40" t="s">
        <v>40</v>
      </c>
      <c r="U40">
        <f>+IF(Tabla1[[#This Row],[MONEDA]]="PEN",Tabla1[[#This Row],[MONTO]],Tabla1[[#This Row],[MONTO]]*3.56)</f>
        <v>2565</v>
      </c>
      <c r="X40" t="s">
        <v>81</v>
      </c>
      <c r="Y40" t="s">
        <v>42</v>
      </c>
      <c r="Z40" t="s">
        <v>43</v>
      </c>
      <c r="AA40" t="s">
        <v>6148</v>
      </c>
      <c r="AB40" t="s">
        <v>6149</v>
      </c>
      <c r="AC40" t="s">
        <v>6150</v>
      </c>
      <c r="AD40" t="s">
        <v>6151</v>
      </c>
      <c r="AE40">
        <v>2488.0500000000002</v>
      </c>
      <c r="AF40" t="s">
        <v>87</v>
      </c>
      <c r="AG40" t="s">
        <v>169</v>
      </c>
    </row>
    <row r="41" spans="1:33" hidden="1" x14ac:dyDescent="0.25">
      <c r="A41">
        <v>30586</v>
      </c>
      <c r="B41" t="s">
        <v>32</v>
      </c>
      <c r="C41">
        <v>1</v>
      </c>
      <c r="D41" t="s">
        <v>6241</v>
      </c>
      <c r="E41" t="s">
        <v>70</v>
      </c>
      <c r="F41" t="s">
        <v>33</v>
      </c>
      <c r="G41" t="s">
        <v>71</v>
      </c>
      <c r="H41" t="s">
        <v>35</v>
      </c>
      <c r="I41" t="s">
        <v>6242</v>
      </c>
      <c r="J41" t="s">
        <v>6243</v>
      </c>
      <c r="K41" t="s">
        <v>36</v>
      </c>
      <c r="L41" t="s">
        <v>33</v>
      </c>
      <c r="M41">
        <v>20608376233</v>
      </c>
      <c r="N41" t="s">
        <v>4076</v>
      </c>
      <c r="O41" t="s">
        <v>76</v>
      </c>
      <c r="P41" t="s">
        <v>38</v>
      </c>
      <c r="Q41" t="s">
        <v>4077</v>
      </c>
      <c r="R41" t="s">
        <v>6244</v>
      </c>
      <c r="S41">
        <v>750</v>
      </c>
      <c r="T41" t="s">
        <v>40</v>
      </c>
      <c r="U41">
        <f>+IF(Tabla1[[#This Row],[MONEDA]]="PEN",Tabla1[[#This Row],[MONTO]],Tabla1[[#This Row],[MONTO]]*3.56)</f>
        <v>750</v>
      </c>
      <c r="X41" t="s">
        <v>139</v>
      </c>
      <c r="Y41" t="s">
        <v>42</v>
      </c>
      <c r="Z41" t="s">
        <v>43</v>
      </c>
      <c r="AA41" t="s">
        <v>6245</v>
      </c>
      <c r="AB41" t="s">
        <v>6246</v>
      </c>
      <c r="AC41" t="s">
        <v>6247</v>
      </c>
      <c r="AD41" t="s">
        <v>6248</v>
      </c>
      <c r="AE41">
        <v>727.5</v>
      </c>
      <c r="AF41" t="s">
        <v>87</v>
      </c>
      <c r="AG41" t="s">
        <v>169</v>
      </c>
    </row>
    <row r="42" spans="1:33" hidden="1" x14ac:dyDescent="0.25">
      <c r="A42">
        <v>23180</v>
      </c>
      <c r="B42" t="s">
        <v>32</v>
      </c>
      <c r="C42">
        <v>1</v>
      </c>
      <c r="D42" t="s">
        <v>11515</v>
      </c>
      <c r="E42" t="s">
        <v>70</v>
      </c>
      <c r="F42" t="s">
        <v>33</v>
      </c>
      <c r="G42" t="s">
        <v>71</v>
      </c>
      <c r="H42" t="s">
        <v>72</v>
      </c>
      <c r="I42" t="s">
        <v>11490</v>
      </c>
      <c r="J42" t="s">
        <v>11516</v>
      </c>
      <c r="K42" t="s">
        <v>36</v>
      </c>
      <c r="L42" t="s">
        <v>33</v>
      </c>
      <c r="M42">
        <v>20608376233</v>
      </c>
      <c r="N42" t="s">
        <v>4076</v>
      </c>
      <c r="O42" t="s">
        <v>76</v>
      </c>
      <c r="P42" t="s">
        <v>38</v>
      </c>
      <c r="Q42" t="s">
        <v>4077</v>
      </c>
      <c r="R42" t="s">
        <v>11517</v>
      </c>
      <c r="S42">
        <v>3885</v>
      </c>
      <c r="T42" t="s">
        <v>40</v>
      </c>
      <c r="U42">
        <f>+IF(Tabla1[[#This Row],[MONEDA]]="PEN",Tabla1[[#This Row],[MONTO]],Tabla1[[#This Row],[MONTO]]*3.56)</f>
        <v>3885</v>
      </c>
      <c r="X42" t="s">
        <v>81</v>
      </c>
      <c r="Y42" t="s">
        <v>42</v>
      </c>
      <c r="Z42" t="s">
        <v>82</v>
      </c>
      <c r="AA42" t="s">
        <v>11518</v>
      </c>
      <c r="AB42" t="s">
        <v>11519</v>
      </c>
      <c r="AC42" t="s">
        <v>11520</v>
      </c>
      <c r="AD42" t="s">
        <v>11521</v>
      </c>
      <c r="AE42">
        <v>3768.45</v>
      </c>
      <c r="AF42" t="s">
        <v>87</v>
      </c>
      <c r="AG42" t="s">
        <v>169</v>
      </c>
    </row>
    <row r="43" spans="1:33" hidden="1" x14ac:dyDescent="0.25">
      <c r="A43">
        <v>37872</v>
      </c>
      <c r="B43" t="s">
        <v>32</v>
      </c>
      <c r="C43">
        <v>1</v>
      </c>
      <c r="D43" t="s">
        <v>3009</v>
      </c>
      <c r="E43" t="s">
        <v>70</v>
      </c>
      <c r="F43" t="s">
        <v>33</v>
      </c>
      <c r="G43" t="s">
        <v>71</v>
      </c>
      <c r="H43" t="s">
        <v>35</v>
      </c>
      <c r="I43" t="s">
        <v>3010</v>
      </c>
      <c r="J43" t="s">
        <v>3011</v>
      </c>
      <c r="K43" t="s">
        <v>36</v>
      </c>
      <c r="L43" t="s">
        <v>33</v>
      </c>
      <c r="M43">
        <v>20601835411</v>
      </c>
      <c r="N43" t="s">
        <v>3012</v>
      </c>
      <c r="O43" t="s">
        <v>76</v>
      </c>
      <c r="P43" t="s">
        <v>77</v>
      </c>
      <c r="Q43" t="s">
        <v>3013</v>
      </c>
      <c r="R43" t="s">
        <v>3014</v>
      </c>
      <c r="S43">
        <v>570.5</v>
      </c>
      <c r="T43" t="s">
        <v>80</v>
      </c>
      <c r="U43">
        <f>+IF(Tabla1[[#This Row],[MONEDA]]="PEN",Tabla1[[#This Row],[MONTO]],Tabla1[[#This Row],[MONTO]]*3.56)</f>
        <v>2030.98</v>
      </c>
      <c r="X43" t="s">
        <v>81</v>
      </c>
      <c r="Y43" t="s">
        <v>42</v>
      </c>
      <c r="Z43" t="s">
        <v>82</v>
      </c>
      <c r="AA43" t="s">
        <v>3015</v>
      </c>
      <c r="AB43" t="s">
        <v>3016</v>
      </c>
      <c r="AC43" t="s">
        <v>3017</v>
      </c>
      <c r="AD43" t="s">
        <v>3018</v>
      </c>
      <c r="AE43">
        <v>553.39</v>
      </c>
      <c r="AF43" t="s">
        <v>87</v>
      </c>
      <c r="AG43" t="s">
        <v>88</v>
      </c>
    </row>
    <row r="44" spans="1:33" hidden="1" x14ac:dyDescent="0.25">
      <c r="A44">
        <v>36985</v>
      </c>
      <c r="B44" t="s">
        <v>32</v>
      </c>
      <c r="C44">
        <v>1</v>
      </c>
      <c r="D44" t="s">
        <v>3589</v>
      </c>
      <c r="E44" t="s">
        <v>70</v>
      </c>
      <c r="F44" t="s">
        <v>33</v>
      </c>
      <c r="G44" t="s">
        <v>71</v>
      </c>
      <c r="H44" t="s">
        <v>35</v>
      </c>
      <c r="I44" t="s">
        <v>3561</v>
      </c>
      <c r="J44" t="s">
        <v>3590</v>
      </c>
      <c r="K44" t="s">
        <v>36</v>
      </c>
      <c r="L44" t="s">
        <v>33</v>
      </c>
      <c r="M44">
        <v>20601835411</v>
      </c>
      <c r="N44" t="s">
        <v>3012</v>
      </c>
      <c r="O44" t="s">
        <v>76</v>
      </c>
      <c r="P44" t="s">
        <v>77</v>
      </c>
      <c r="Q44" t="s">
        <v>3013</v>
      </c>
      <c r="R44" t="s">
        <v>3591</v>
      </c>
      <c r="S44">
        <v>1287.99</v>
      </c>
      <c r="T44" t="s">
        <v>80</v>
      </c>
      <c r="U44">
        <f>+IF(Tabla1[[#This Row],[MONEDA]]="PEN",Tabla1[[#This Row],[MONTO]],Tabla1[[#This Row],[MONTO]]*3.56)</f>
        <v>4585.2444000000005</v>
      </c>
      <c r="X44" t="s">
        <v>81</v>
      </c>
      <c r="Y44" t="s">
        <v>42</v>
      </c>
      <c r="Z44" t="s">
        <v>82</v>
      </c>
      <c r="AA44" t="s">
        <v>3592</v>
      </c>
      <c r="AB44" t="s">
        <v>3593</v>
      </c>
      <c r="AC44" t="s">
        <v>3594</v>
      </c>
      <c r="AD44" t="s">
        <v>3595</v>
      </c>
      <c r="AE44">
        <v>1249.3499999999999</v>
      </c>
      <c r="AG44" t="s">
        <v>88</v>
      </c>
    </row>
    <row r="45" spans="1:33" hidden="1" x14ac:dyDescent="0.25">
      <c r="A45">
        <v>40813</v>
      </c>
      <c r="B45" t="s">
        <v>32</v>
      </c>
      <c r="C45">
        <v>1</v>
      </c>
      <c r="D45" t="s">
        <v>1936</v>
      </c>
      <c r="E45" t="s">
        <v>70</v>
      </c>
      <c r="F45" t="s">
        <v>33</v>
      </c>
      <c r="G45" t="s">
        <v>71</v>
      </c>
      <c r="H45" t="s">
        <v>35</v>
      </c>
      <c r="I45" t="s">
        <v>1936</v>
      </c>
      <c r="J45" t="s">
        <v>1937</v>
      </c>
      <c r="K45" t="s">
        <v>36</v>
      </c>
      <c r="L45" t="s">
        <v>33</v>
      </c>
      <c r="M45">
        <v>20498189637</v>
      </c>
      <c r="N45" t="s">
        <v>1938</v>
      </c>
      <c r="O45" t="s">
        <v>76</v>
      </c>
      <c r="R45" t="s">
        <v>1939</v>
      </c>
      <c r="S45">
        <v>241</v>
      </c>
      <c r="T45" t="s">
        <v>40</v>
      </c>
      <c r="U45">
        <f>+IF(Tabla1[[#This Row],[MONEDA]]="PEN",Tabla1[[#This Row],[MONTO]],Tabla1[[#This Row],[MONTO]]*3.56)</f>
        <v>241</v>
      </c>
      <c r="V45" t="s">
        <v>190</v>
      </c>
      <c r="W45">
        <v>38906</v>
      </c>
      <c r="X45" t="s">
        <v>41</v>
      </c>
      <c r="Y45" t="s">
        <v>42</v>
      </c>
      <c r="Z45" t="s">
        <v>43</v>
      </c>
      <c r="AA45" t="s">
        <v>1940</v>
      </c>
      <c r="AC45" t="s">
        <v>1941</v>
      </c>
      <c r="AD45" t="s">
        <v>1942</v>
      </c>
    </row>
    <row r="46" spans="1:33" hidden="1" x14ac:dyDescent="0.25">
      <c r="A46">
        <v>38594</v>
      </c>
      <c r="B46" t="s">
        <v>32</v>
      </c>
      <c r="C46">
        <v>1</v>
      </c>
      <c r="D46" t="s">
        <v>2803</v>
      </c>
      <c r="E46" t="s">
        <v>70</v>
      </c>
      <c r="F46" t="s">
        <v>33</v>
      </c>
      <c r="G46" t="s">
        <v>71</v>
      </c>
      <c r="H46" t="s">
        <v>35</v>
      </c>
      <c r="I46" t="s">
        <v>2803</v>
      </c>
      <c r="J46" t="s">
        <v>2804</v>
      </c>
      <c r="K46" t="s">
        <v>36</v>
      </c>
      <c r="L46" t="s">
        <v>33</v>
      </c>
      <c r="M46">
        <v>20498189637</v>
      </c>
      <c r="N46" t="s">
        <v>1938</v>
      </c>
      <c r="O46" t="s">
        <v>76</v>
      </c>
      <c r="R46" t="s">
        <v>2356</v>
      </c>
      <c r="S46">
        <v>34</v>
      </c>
      <c r="T46" t="s">
        <v>40</v>
      </c>
      <c r="U46">
        <f>+IF(Tabla1[[#This Row],[MONEDA]]="PEN",Tabla1[[#This Row],[MONTO]],Tabla1[[#This Row],[MONTO]]*3.56)</f>
        <v>34</v>
      </c>
      <c r="V46" t="s">
        <v>190</v>
      </c>
      <c r="W46">
        <v>34656</v>
      </c>
      <c r="X46" t="s">
        <v>81</v>
      </c>
      <c r="Y46" t="s">
        <v>42</v>
      </c>
      <c r="Z46" t="s">
        <v>43</v>
      </c>
      <c r="AA46" t="s">
        <v>2805</v>
      </c>
      <c r="AC46" t="s">
        <v>2806</v>
      </c>
      <c r="AD46" t="s">
        <v>2807</v>
      </c>
    </row>
    <row r="47" spans="1:33" hidden="1" x14ac:dyDescent="0.25">
      <c r="A47">
        <v>38364</v>
      </c>
      <c r="B47" t="s">
        <v>32</v>
      </c>
      <c r="C47">
        <v>1</v>
      </c>
      <c r="D47" t="s">
        <v>2855</v>
      </c>
      <c r="E47" t="s">
        <v>70</v>
      </c>
      <c r="F47" t="s">
        <v>33</v>
      </c>
      <c r="G47" t="s">
        <v>71</v>
      </c>
      <c r="H47" t="s">
        <v>35</v>
      </c>
      <c r="I47" t="s">
        <v>2848</v>
      </c>
      <c r="J47" t="s">
        <v>2856</v>
      </c>
      <c r="K47" t="s">
        <v>36</v>
      </c>
      <c r="L47" t="s">
        <v>33</v>
      </c>
      <c r="M47">
        <v>20498189637</v>
      </c>
      <c r="N47" t="s">
        <v>1938</v>
      </c>
      <c r="O47" t="s">
        <v>76</v>
      </c>
      <c r="P47" t="s">
        <v>38</v>
      </c>
      <c r="Q47" t="s">
        <v>2857</v>
      </c>
      <c r="R47" t="s">
        <v>2858</v>
      </c>
      <c r="S47">
        <v>2144</v>
      </c>
      <c r="T47" t="s">
        <v>40</v>
      </c>
      <c r="U47">
        <f>+IF(Tabla1[[#This Row],[MONEDA]]="PEN",Tabla1[[#This Row],[MONTO]],Tabla1[[#This Row],[MONTO]]*3.56)</f>
        <v>2144</v>
      </c>
      <c r="X47" t="s">
        <v>81</v>
      </c>
      <c r="Y47" t="s">
        <v>42</v>
      </c>
      <c r="Z47" t="s">
        <v>82</v>
      </c>
      <c r="AA47" t="s">
        <v>2859</v>
      </c>
      <c r="AB47" t="s">
        <v>2860</v>
      </c>
      <c r="AC47" t="s">
        <v>2861</v>
      </c>
      <c r="AD47" t="s">
        <v>2862</v>
      </c>
      <c r="AE47">
        <v>2144</v>
      </c>
      <c r="AF47" t="s">
        <v>87</v>
      </c>
      <c r="AG47" t="s">
        <v>169</v>
      </c>
    </row>
    <row r="48" spans="1:33" hidden="1" x14ac:dyDescent="0.25">
      <c r="A48">
        <v>33311</v>
      </c>
      <c r="B48" t="s">
        <v>32</v>
      </c>
      <c r="C48">
        <v>1</v>
      </c>
      <c r="D48" t="s">
        <v>4994</v>
      </c>
      <c r="E48" t="s">
        <v>70</v>
      </c>
      <c r="F48" t="s">
        <v>33</v>
      </c>
      <c r="G48" t="s">
        <v>71</v>
      </c>
      <c r="H48" t="s">
        <v>35</v>
      </c>
      <c r="I48" t="s">
        <v>4994</v>
      </c>
      <c r="J48" t="s">
        <v>4995</v>
      </c>
      <c r="K48" t="s">
        <v>36</v>
      </c>
      <c r="L48" t="s">
        <v>33</v>
      </c>
      <c r="M48">
        <v>20498189637</v>
      </c>
      <c r="N48" t="s">
        <v>1938</v>
      </c>
      <c r="O48" t="s">
        <v>76</v>
      </c>
      <c r="R48" t="s">
        <v>4996</v>
      </c>
      <c r="S48">
        <v>198</v>
      </c>
      <c r="T48" t="s">
        <v>40</v>
      </c>
      <c r="U48">
        <f>+IF(Tabla1[[#This Row],[MONEDA]]="PEN",Tabla1[[#This Row],[MONTO]],Tabla1[[#This Row],[MONTO]]*3.56)</f>
        <v>198</v>
      </c>
      <c r="V48" t="s">
        <v>190</v>
      </c>
      <c r="W48">
        <v>32138</v>
      </c>
      <c r="X48" t="s">
        <v>81</v>
      </c>
      <c r="Y48" t="s">
        <v>42</v>
      </c>
      <c r="Z48" t="s">
        <v>43</v>
      </c>
      <c r="AA48" t="s">
        <v>4997</v>
      </c>
      <c r="AC48" t="s">
        <v>4998</v>
      </c>
      <c r="AD48" t="s">
        <v>4999</v>
      </c>
    </row>
    <row r="49" spans="1:33" hidden="1" x14ac:dyDescent="0.25">
      <c r="A49">
        <v>33313</v>
      </c>
      <c r="B49" t="s">
        <v>32</v>
      </c>
      <c r="C49">
        <v>1</v>
      </c>
      <c r="D49" t="s">
        <v>4994</v>
      </c>
      <c r="E49" t="s">
        <v>70</v>
      </c>
      <c r="F49" t="s">
        <v>33</v>
      </c>
      <c r="G49" t="s">
        <v>71</v>
      </c>
      <c r="H49" t="s">
        <v>35</v>
      </c>
      <c r="I49" t="s">
        <v>4994</v>
      </c>
      <c r="J49" t="s">
        <v>5005</v>
      </c>
      <c r="K49" t="s">
        <v>36</v>
      </c>
      <c r="L49" t="s">
        <v>33</v>
      </c>
      <c r="M49">
        <v>20498189637</v>
      </c>
      <c r="N49" t="s">
        <v>1938</v>
      </c>
      <c r="O49" t="s">
        <v>76</v>
      </c>
      <c r="R49" t="s">
        <v>5006</v>
      </c>
      <c r="S49">
        <v>24</v>
      </c>
      <c r="T49" t="s">
        <v>40</v>
      </c>
      <c r="U49">
        <f>+IF(Tabla1[[#This Row],[MONEDA]]="PEN",Tabla1[[#This Row],[MONTO]],Tabla1[[#This Row],[MONTO]]*3.56)</f>
        <v>24</v>
      </c>
      <c r="V49" t="s">
        <v>190</v>
      </c>
      <c r="W49">
        <v>32138</v>
      </c>
      <c r="X49" t="s">
        <v>81</v>
      </c>
      <c r="Y49" t="s">
        <v>42</v>
      </c>
      <c r="Z49" t="s">
        <v>43</v>
      </c>
      <c r="AA49" t="s">
        <v>5007</v>
      </c>
      <c r="AC49" t="s">
        <v>5008</v>
      </c>
      <c r="AD49" t="s">
        <v>5009</v>
      </c>
    </row>
    <row r="50" spans="1:33" hidden="1" x14ac:dyDescent="0.25">
      <c r="A50">
        <v>33310</v>
      </c>
      <c r="B50" t="s">
        <v>32</v>
      </c>
      <c r="C50">
        <v>1</v>
      </c>
      <c r="D50" t="s">
        <v>5019</v>
      </c>
      <c r="E50" t="s">
        <v>70</v>
      </c>
      <c r="F50" t="s">
        <v>33</v>
      </c>
      <c r="G50" t="s">
        <v>71</v>
      </c>
      <c r="H50" t="s">
        <v>35</v>
      </c>
      <c r="I50" t="s">
        <v>5019</v>
      </c>
      <c r="J50" t="s">
        <v>5020</v>
      </c>
      <c r="K50" t="s">
        <v>36</v>
      </c>
      <c r="L50" t="s">
        <v>33</v>
      </c>
      <c r="M50">
        <v>20498189637</v>
      </c>
      <c r="N50" t="s">
        <v>1938</v>
      </c>
      <c r="O50" t="s">
        <v>76</v>
      </c>
      <c r="R50" t="s">
        <v>4996</v>
      </c>
      <c r="S50">
        <v>111</v>
      </c>
      <c r="T50" t="s">
        <v>40</v>
      </c>
      <c r="U50">
        <f>+IF(Tabla1[[#This Row],[MONEDA]]="PEN",Tabla1[[#This Row],[MONTO]],Tabla1[[#This Row],[MONTO]]*3.56)</f>
        <v>111</v>
      </c>
      <c r="V50" t="s">
        <v>190</v>
      </c>
      <c r="W50">
        <v>32138</v>
      </c>
      <c r="X50" t="s">
        <v>81</v>
      </c>
      <c r="Y50" t="s">
        <v>42</v>
      </c>
      <c r="Z50" t="s">
        <v>43</v>
      </c>
      <c r="AA50" t="s">
        <v>5021</v>
      </c>
      <c r="AC50" t="s">
        <v>5022</v>
      </c>
      <c r="AD50" t="s">
        <v>5023</v>
      </c>
    </row>
    <row r="51" spans="1:33" hidden="1" x14ac:dyDescent="0.25">
      <c r="A51">
        <v>33308</v>
      </c>
      <c r="B51" t="s">
        <v>32</v>
      </c>
      <c r="C51">
        <v>1</v>
      </c>
      <c r="D51" t="s">
        <v>5024</v>
      </c>
      <c r="E51" t="s">
        <v>70</v>
      </c>
      <c r="F51" t="s">
        <v>33</v>
      </c>
      <c r="G51" t="s">
        <v>71</v>
      </c>
      <c r="H51" t="s">
        <v>35</v>
      </c>
      <c r="I51" t="s">
        <v>5024</v>
      </c>
      <c r="J51" t="s">
        <v>5025</v>
      </c>
      <c r="K51" t="s">
        <v>36</v>
      </c>
      <c r="L51" t="s">
        <v>33</v>
      </c>
      <c r="M51">
        <v>20498189637</v>
      </c>
      <c r="N51" t="s">
        <v>1938</v>
      </c>
      <c r="O51" t="s">
        <v>76</v>
      </c>
      <c r="R51" t="s">
        <v>4996</v>
      </c>
      <c r="S51">
        <v>84</v>
      </c>
      <c r="T51" t="s">
        <v>40</v>
      </c>
      <c r="U51">
        <f>+IF(Tabla1[[#This Row],[MONEDA]]="PEN",Tabla1[[#This Row],[MONTO]],Tabla1[[#This Row],[MONTO]]*3.56)</f>
        <v>84</v>
      </c>
      <c r="V51" t="s">
        <v>190</v>
      </c>
      <c r="W51">
        <v>32138</v>
      </c>
      <c r="X51" t="s">
        <v>81</v>
      </c>
      <c r="Y51" t="s">
        <v>42</v>
      </c>
      <c r="Z51" t="s">
        <v>43</v>
      </c>
      <c r="AA51" t="s">
        <v>5026</v>
      </c>
      <c r="AC51" t="s">
        <v>5027</v>
      </c>
      <c r="AD51" t="s">
        <v>5028</v>
      </c>
    </row>
    <row r="52" spans="1:33" hidden="1" x14ac:dyDescent="0.25">
      <c r="A52">
        <v>33307</v>
      </c>
      <c r="B52" t="s">
        <v>32</v>
      </c>
      <c r="C52">
        <v>1</v>
      </c>
      <c r="D52" t="s">
        <v>5029</v>
      </c>
      <c r="E52" t="s">
        <v>70</v>
      </c>
      <c r="F52" t="s">
        <v>33</v>
      </c>
      <c r="G52" t="s">
        <v>71</v>
      </c>
      <c r="H52" t="s">
        <v>35</v>
      </c>
      <c r="I52" t="s">
        <v>5029</v>
      </c>
      <c r="J52" t="s">
        <v>5030</v>
      </c>
      <c r="K52" t="s">
        <v>36</v>
      </c>
      <c r="L52" t="s">
        <v>33</v>
      </c>
      <c r="M52">
        <v>20498189637</v>
      </c>
      <c r="N52" t="s">
        <v>1938</v>
      </c>
      <c r="O52" t="s">
        <v>76</v>
      </c>
      <c r="R52" t="s">
        <v>4996</v>
      </c>
      <c r="S52">
        <v>15</v>
      </c>
      <c r="T52" t="s">
        <v>40</v>
      </c>
      <c r="U52">
        <f>+IF(Tabla1[[#This Row],[MONEDA]]="PEN",Tabla1[[#This Row],[MONTO]],Tabla1[[#This Row],[MONTO]]*3.56)</f>
        <v>15</v>
      </c>
      <c r="V52" t="s">
        <v>190</v>
      </c>
      <c r="W52">
        <v>32138</v>
      </c>
      <c r="X52" t="s">
        <v>81</v>
      </c>
      <c r="Y52" t="s">
        <v>42</v>
      </c>
      <c r="Z52" t="s">
        <v>43</v>
      </c>
      <c r="AA52" t="s">
        <v>5031</v>
      </c>
      <c r="AC52" t="s">
        <v>5032</v>
      </c>
      <c r="AD52" t="s">
        <v>5033</v>
      </c>
    </row>
    <row r="53" spans="1:33" hidden="1" x14ac:dyDescent="0.25">
      <c r="A53">
        <v>32058</v>
      </c>
      <c r="B53" t="s">
        <v>32</v>
      </c>
      <c r="C53">
        <v>1</v>
      </c>
      <c r="D53" t="s">
        <v>5496</v>
      </c>
      <c r="E53" t="s">
        <v>70</v>
      </c>
      <c r="F53" t="s">
        <v>33</v>
      </c>
      <c r="G53" t="s">
        <v>71</v>
      </c>
      <c r="H53" t="s">
        <v>72</v>
      </c>
      <c r="I53" t="s">
        <v>5496</v>
      </c>
      <c r="J53" t="s">
        <v>5497</v>
      </c>
      <c r="K53" t="s">
        <v>36</v>
      </c>
      <c r="L53" t="s">
        <v>33</v>
      </c>
      <c r="M53">
        <v>20498189637</v>
      </c>
      <c r="N53" t="s">
        <v>1938</v>
      </c>
      <c r="O53" t="s">
        <v>76</v>
      </c>
      <c r="R53" t="s">
        <v>5498</v>
      </c>
      <c r="S53">
        <v>80</v>
      </c>
      <c r="T53" t="s">
        <v>40</v>
      </c>
      <c r="U53">
        <f>+IF(Tabla1[[#This Row],[MONEDA]]="PEN",Tabla1[[#This Row],[MONTO]],Tabla1[[#This Row],[MONTO]]*3.56)</f>
        <v>80</v>
      </c>
      <c r="V53" t="s">
        <v>190</v>
      </c>
      <c r="W53">
        <v>29730</v>
      </c>
      <c r="X53" t="s">
        <v>81</v>
      </c>
      <c r="Y53" t="s">
        <v>42</v>
      </c>
      <c r="Z53" t="s">
        <v>43</v>
      </c>
      <c r="AA53" t="s">
        <v>5499</v>
      </c>
      <c r="AC53" t="s">
        <v>5500</v>
      </c>
      <c r="AD53" t="s">
        <v>5501</v>
      </c>
    </row>
    <row r="54" spans="1:33" hidden="1" x14ac:dyDescent="0.25">
      <c r="A54">
        <v>30097</v>
      </c>
      <c r="B54" t="s">
        <v>32</v>
      </c>
      <c r="C54">
        <v>1</v>
      </c>
      <c r="D54" t="s">
        <v>6424</v>
      </c>
      <c r="E54" t="s">
        <v>70</v>
      </c>
      <c r="F54" t="s">
        <v>33</v>
      </c>
      <c r="G54" t="s">
        <v>71</v>
      </c>
      <c r="H54" t="s">
        <v>72</v>
      </c>
      <c r="I54" t="s">
        <v>6425</v>
      </c>
      <c r="J54" t="s">
        <v>6426</v>
      </c>
      <c r="K54" t="s">
        <v>36</v>
      </c>
      <c r="L54" t="s">
        <v>33</v>
      </c>
      <c r="M54">
        <v>20498189637</v>
      </c>
      <c r="N54" t="s">
        <v>1938</v>
      </c>
      <c r="O54" t="s">
        <v>76</v>
      </c>
      <c r="R54" t="s">
        <v>6427</v>
      </c>
      <c r="S54">
        <v>183</v>
      </c>
      <c r="T54" t="s">
        <v>40</v>
      </c>
      <c r="U54">
        <f>+IF(Tabla1[[#This Row],[MONEDA]]="PEN",Tabla1[[#This Row],[MONTO]],Tabla1[[#This Row],[MONTO]]*3.56)</f>
        <v>183</v>
      </c>
      <c r="V54" t="s">
        <v>190</v>
      </c>
      <c r="W54">
        <v>28316</v>
      </c>
      <c r="X54" t="s">
        <v>81</v>
      </c>
      <c r="Y54" t="s">
        <v>42</v>
      </c>
      <c r="Z54" t="s">
        <v>43</v>
      </c>
      <c r="AA54" t="s">
        <v>6428</v>
      </c>
      <c r="AC54" t="s">
        <v>6429</v>
      </c>
      <c r="AD54" t="s">
        <v>6430</v>
      </c>
    </row>
    <row r="55" spans="1:33" hidden="1" x14ac:dyDescent="0.25">
      <c r="A55">
        <v>29430</v>
      </c>
      <c r="B55" t="s">
        <v>32</v>
      </c>
      <c r="C55">
        <v>2</v>
      </c>
      <c r="D55" t="s">
        <v>6934</v>
      </c>
      <c r="E55" t="s">
        <v>70</v>
      </c>
      <c r="F55" t="s">
        <v>33</v>
      </c>
      <c r="G55" t="s">
        <v>71</v>
      </c>
      <c r="H55" t="s">
        <v>72</v>
      </c>
      <c r="I55" t="s">
        <v>6927</v>
      </c>
      <c r="J55" t="s">
        <v>6935</v>
      </c>
      <c r="K55" t="s">
        <v>36</v>
      </c>
      <c r="L55" t="s">
        <v>33</v>
      </c>
      <c r="M55">
        <v>20498189637</v>
      </c>
      <c r="N55" t="s">
        <v>1938</v>
      </c>
      <c r="O55" t="s">
        <v>76</v>
      </c>
      <c r="P55" t="s">
        <v>38</v>
      </c>
      <c r="Q55" t="s">
        <v>2857</v>
      </c>
      <c r="R55" t="s">
        <v>6936</v>
      </c>
      <c r="S55">
        <v>1658</v>
      </c>
      <c r="T55" t="s">
        <v>40</v>
      </c>
      <c r="U55">
        <f>+IF(Tabla1[[#This Row],[MONEDA]]="PEN",Tabla1[[#This Row],[MONTO]],Tabla1[[#This Row],[MONTO]]*3.56)</f>
        <v>1658</v>
      </c>
      <c r="X55" t="s">
        <v>81</v>
      </c>
      <c r="Y55" t="s">
        <v>42</v>
      </c>
      <c r="Z55" t="s">
        <v>43</v>
      </c>
      <c r="AA55" t="s">
        <v>6937</v>
      </c>
      <c r="AB55" t="s">
        <v>6938</v>
      </c>
      <c r="AC55" t="s">
        <v>6939</v>
      </c>
      <c r="AD55" t="s">
        <v>6940</v>
      </c>
      <c r="AE55">
        <v>1658</v>
      </c>
      <c r="AF55" t="s">
        <v>87</v>
      </c>
      <c r="AG55" t="s">
        <v>169</v>
      </c>
    </row>
    <row r="56" spans="1:33" hidden="1" x14ac:dyDescent="0.25">
      <c r="A56">
        <v>28881</v>
      </c>
      <c r="B56" t="s">
        <v>32</v>
      </c>
      <c r="C56">
        <v>1</v>
      </c>
      <c r="D56" t="s">
        <v>7355</v>
      </c>
      <c r="E56" t="s">
        <v>70</v>
      </c>
      <c r="F56" t="s">
        <v>33</v>
      </c>
      <c r="G56" t="s">
        <v>71</v>
      </c>
      <c r="H56" t="s">
        <v>72</v>
      </c>
      <c r="I56" t="s">
        <v>7356</v>
      </c>
      <c r="J56" t="s">
        <v>7357</v>
      </c>
      <c r="K56" t="s">
        <v>36</v>
      </c>
      <c r="L56" t="s">
        <v>33</v>
      </c>
      <c r="M56">
        <v>20498189637</v>
      </c>
      <c r="N56" t="s">
        <v>1938</v>
      </c>
      <c r="O56" t="s">
        <v>76</v>
      </c>
      <c r="P56" t="s">
        <v>38</v>
      </c>
      <c r="Q56" t="s">
        <v>2857</v>
      </c>
      <c r="R56" t="s">
        <v>7358</v>
      </c>
      <c r="S56">
        <v>1903</v>
      </c>
      <c r="T56" t="s">
        <v>40</v>
      </c>
      <c r="U56">
        <f>+IF(Tabla1[[#This Row],[MONEDA]]="PEN",Tabla1[[#This Row],[MONTO]],Tabla1[[#This Row],[MONTO]]*3.56)</f>
        <v>1903</v>
      </c>
      <c r="X56" t="s">
        <v>81</v>
      </c>
      <c r="Y56" t="s">
        <v>42</v>
      </c>
      <c r="Z56" t="s">
        <v>43</v>
      </c>
      <c r="AA56" t="s">
        <v>7359</v>
      </c>
      <c r="AB56" t="s">
        <v>7360</v>
      </c>
      <c r="AC56" t="s">
        <v>7361</v>
      </c>
      <c r="AD56" t="s">
        <v>7362</v>
      </c>
      <c r="AE56">
        <v>1903</v>
      </c>
      <c r="AF56" t="s">
        <v>87</v>
      </c>
      <c r="AG56" t="s">
        <v>169</v>
      </c>
    </row>
    <row r="57" spans="1:33" hidden="1" x14ac:dyDescent="0.25">
      <c r="A57">
        <v>25662</v>
      </c>
      <c r="B57" t="s">
        <v>32</v>
      </c>
      <c r="C57">
        <v>1</v>
      </c>
      <c r="D57" t="s">
        <v>9653</v>
      </c>
      <c r="E57" t="s">
        <v>70</v>
      </c>
      <c r="F57" t="s">
        <v>33</v>
      </c>
      <c r="G57" t="s">
        <v>71</v>
      </c>
      <c r="H57" t="s">
        <v>72</v>
      </c>
      <c r="I57" t="s">
        <v>9631</v>
      </c>
      <c r="J57" t="s">
        <v>9654</v>
      </c>
      <c r="K57" t="s">
        <v>36</v>
      </c>
      <c r="L57" t="s">
        <v>33</v>
      </c>
      <c r="M57">
        <v>20498189637</v>
      </c>
      <c r="N57" t="s">
        <v>1938</v>
      </c>
      <c r="O57" t="s">
        <v>76</v>
      </c>
      <c r="P57" t="s">
        <v>38</v>
      </c>
      <c r="Q57" t="s">
        <v>2857</v>
      </c>
      <c r="R57" t="s">
        <v>9655</v>
      </c>
      <c r="S57">
        <v>438</v>
      </c>
      <c r="T57" t="s">
        <v>40</v>
      </c>
      <c r="U57">
        <f>+IF(Tabla1[[#This Row],[MONEDA]]="PEN",Tabla1[[#This Row],[MONTO]],Tabla1[[#This Row],[MONTO]]*3.56)</f>
        <v>438</v>
      </c>
      <c r="X57" t="s">
        <v>81</v>
      </c>
      <c r="Y57" t="s">
        <v>42</v>
      </c>
      <c r="Z57" t="s">
        <v>82</v>
      </c>
      <c r="AA57" t="s">
        <v>9656</v>
      </c>
      <c r="AB57" t="s">
        <v>9657</v>
      </c>
      <c r="AC57" t="s">
        <v>9658</v>
      </c>
      <c r="AD57" t="s">
        <v>9659</v>
      </c>
      <c r="AE57">
        <v>438</v>
      </c>
      <c r="AF57" t="s">
        <v>87</v>
      </c>
      <c r="AG57" t="s">
        <v>169</v>
      </c>
    </row>
    <row r="58" spans="1:33" hidden="1" x14ac:dyDescent="0.25">
      <c r="A58">
        <v>39439</v>
      </c>
      <c r="B58" t="s">
        <v>32</v>
      </c>
      <c r="C58">
        <v>1</v>
      </c>
      <c r="D58" t="s">
        <v>2285</v>
      </c>
      <c r="E58" t="s">
        <v>70</v>
      </c>
      <c r="F58" t="s">
        <v>33</v>
      </c>
      <c r="G58" t="s">
        <v>71</v>
      </c>
      <c r="H58" t="s">
        <v>35</v>
      </c>
      <c r="I58" t="s">
        <v>2278</v>
      </c>
      <c r="J58" t="s">
        <v>2286</v>
      </c>
      <c r="K58" t="s">
        <v>36</v>
      </c>
      <c r="L58" t="s">
        <v>33</v>
      </c>
      <c r="M58">
        <v>20612459984</v>
      </c>
      <c r="N58" t="s">
        <v>2287</v>
      </c>
      <c r="O58" t="s">
        <v>76</v>
      </c>
      <c r="P58" t="s">
        <v>38</v>
      </c>
      <c r="Q58" t="s">
        <v>2288</v>
      </c>
      <c r="R58" t="s">
        <v>2289</v>
      </c>
      <c r="S58">
        <v>3150.5</v>
      </c>
      <c r="T58" t="s">
        <v>40</v>
      </c>
      <c r="U58">
        <f>+IF(Tabla1[[#This Row],[MONEDA]]="PEN",Tabla1[[#This Row],[MONTO]],Tabla1[[#This Row],[MONTO]]*3.56)</f>
        <v>3150.5</v>
      </c>
      <c r="X58" t="s">
        <v>81</v>
      </c>
      <c r="Y58" t="s">
        <v>42</v>
      </c>
      <c r="Z58" t="s">
        <v>82</v>
      </c>
      <c r="AA58" t="s">
        <v>2290</v>
      </c>
      <c r="AB58" t="s">
        <v>2291</v>
      </c>
      <c r="AC58" t="s">
        <v>2292</v>
      </c>
      <c r="AD58" t="s">
        <v>2293</v>
      </c>
      <c r="AE58">
        <v>3055.99</v>
      </c>
      <c r="AF58" t="s">
        <v>87</v>
      </c>
      <c r="AG58" t="s">
        <v>169</v>
      </c>
    </row>
    <row r="59" spans="1:33" hidden="1" x14ac:dyDescent="0.25">
      <c r="A59">
        <v>37762</v>
      </c>
      <c r="B59" t="s">
        <v>32</v>
      </c>
      <c r="C59">
        <v>2</v>
      </c>
      <c r="D59" t="s">
        <v>3229</v>
      </c>
      <c r="E59" t="s">
        <v>70</v>
      </c>
      <c r="F59" t="s">
        <v>33</v>
      </c>
      <c r="G59" t="s">
        <v>71</v>
      </c>
      <c r="H59" t="s">
        <v>35</v>
      </c>
      <c r="I59" t="s">
        <v>3204</v>
      </c>
      <c r="J59" t="s">
        <v>3230</v>
      </c>
      <c r="K59" t="s">
        <v>36</v>
      </c>
      <c r="L59" t="s">
        <v>33</v>
      </c>
      <c r="M59">
        <v>20612459984</v>
      </c>
      <c r="N59" t="s">
        <v>2287</v>
      </c>
      <c r="O59" t="s">
        <v>76</v>
      </c>
      <c r="P59" t="s">
        <v>38</v>
      </c>
      <c r="Q59" t="s">
        <v>2288</v>
      </c>
      <c r="R59" t="s">
        <v>3231</v>
      </c>
      <c r="S59">
        <v>11462</v>
      </c>
      <c r="T59" t="s">
        <v>40</v>
      </c>
      <c r="U59">
        <f>+IF(Tabla1[[#This Row],[MONEDA]]="PEN",Tabla1[[#This Row],[MONTO]],Tabla1[[#This Row],[MONTO]]*3.56)</f>
        <v>11462</v>
      </c>
      <c r="X59" t="s">
        <v>81</v>
      </c>
      <c r="Y59" t="s">
        <v>42</v>
      </c>
      <c r="Z59" t="s">
        <v>82</v>
      </c>
      <c r="AA59" t="s">
        <v>3232</v>
      </c>
      <c r="AB59" t="s">
        <v>3233</v>
      </c>
      <c r="AC59" t="s">
        <v>3234</v>
      </c>
      <c r="AD59" t="s">
        <v>3235</v>
      </c>
      <c r="AE59">
        <v>11118.14</v>
      </c>
      <c r="AF59" t="s">
        <v>87</v>
      </c>
      <c r="AG59" t="s">
        <v>169</v>
      </c>
    </row>
    <row r="60" spans="1:33" hidden="1" x14ac:dyDescent="0.25">
      <c r="A60">
        <v>36979</v>
      </c>
      <c r="B60" t="s">
        <v>32</v>
      </c>
      <c r="C60">
        <v>1</v>
      </c>
      <c r="D60" t="s">
        <v>3560</v>
      </c>
      <c r="E60" t="s">
        <v>70</v>
      </c>
      <c r="F60" t="s">
        <v>33</v>
      </c>
      <c r="G60" t="s">
        <v>71</v>
      </c>
      <c r="H60" t="s">
        <v>35</v>
      </c>
      <c r="I60" t="s">
        <v>3561</v>
      </c>
      <c r="J60" t="s">
        <v>3562</v>
      </c>
      <c r="K60" t="s">
        <v>36</v>
      </c>
      <c r="L60" t="s">
        <v>33</v>
      </c>
      <c r="M60">
        <v>20612459984</v>
      </c>
      <c r="N60" t="s">
        <v>2287</v>
      </c>
      <c r="O60" t="s">
        <v>76</v>
      </c>
      <c r="P60" t="s">
        <v>38</v>
      </c>
      <c r="Q60" t="s">
        <v>2288</v>
      </c>
      <c r="R60" t="s">
        <v>3563</v>
      </c>
      <c r="S60">
        <v>3455</v>
      </c>
      <c r="T60" t="s">
        <v>40</v>
      </c>
      <c r="U60">
        <f>+IF(Tabla1[[#This Row],[MONEDA]]="PEN",Tabla1[[#This Row],[MONTO]],Tabla1[[#This Row],[MONTO]]*3.56)</f>
        <v>3455</v>
      </c>
      <c r="X60" t="s">
        <v>81</v>
      </c>
      <c r="Y60" t="s">
        <v>42</v>
      </c>
      <c r="Z60" t="s">
        <v>43</v>
      </c>
      <c r="AA60" t="s">
        <v>3564</v>
      </c>
      <c r="AB60" t="s">
        <v>3565</v>
      </c>
      <c r="AC60" t="s">
        <v>3566</v>
      </c>
      <c r="AD60" t="s">
        <v>3567</v>
      </c>
      <c r="AE60">
        <v>3351.35</v>
      </c>
      <c r="AG60" t="s">
        <v>169</v>
      </c>
    </row>
    <row r="61" spans="1:33" hidden="1" x14ac:dyDescent="0.25">
      <c r="A61">
        <v>31085</v>
      </c>
      <c r="B61" t="s">
        <v>32</v>
      </c>
      <c r="C61">
        <v>1</v>
      </c>
      <c r="D61" t="s">
        <v>3659</v>
      </c>
      <c r="E61" t="s">
        <v>70</v>
      </c>
      <c r="F61" t="s">
        <v>33</v>
      </c>
      <c r="G61" t="s">
        <v>71</v>
      </c>
      <c r="H61" t="s">
        <v>72</v>
      </c>
      <c r="I61" t="s">
        <v>3660</v>
      </c>
      <c r="J61" t="s">
        <v>3661</v>
      </c>
      <c r="K61" t="s">
        <v>36</v>
      </c>
      <c r="L61" t="s">
        <v>33</v>
      </c>
      <c r="M61">
        <v>20612459984</v>
      </c>
      <c r="N61" t="s">
        <v>2287</v>
      </c>
      <c r="O61" t="s">
        <v>76</v>
      </c>
      <c r="P61" t="s">
        <v>38</v>
      </c>
      <c r="Q61" t="s">
        <v>2288</v>
      </c>
      <c r="R61" t="s">
        <v>3662</v>
      </c>
      <c r="S61">
        <v>34505</v>
      </c>
      <c r="T61" t="s">
        <v>40</v>
      </c>
      <c r="U61">
        <f>+IF(Tabla1[[#This Row],[MONEDA]]="PEN",Tabla1[[#This Row],[MONTO]],Tabla1[[#This Row],[MONTO]]*3.56)</f>
        <v>34505</v>
      </c>
      <c r="X61" t="s">
        <v>41</v>
      </c>
      <c r="Y61" t="s">
        <v>42</v>
      </c>
      <c r="Z61" t="s">
        <v>43</v>
      </c>
      <c r="AA61" t="s">
        <v>3663</v>
      </c>
      <c r="AB61" t="s">
        <v>3664</v>
      </c>
      <c r="AC61" t="s">
        <v>3665</v>
      </c>
      <c r="AD61" t="s">
        <v>3666</v>
      </c>
      <c r="AE61">
        <v>33469.85</v>
      </c>
      <c r="AF61" t="s">
        <v>87</v>
      </c>
      <c r="AG61" t="s">
        <v>169</v>
      </c>
    </row>
    <row r="62" spans="1:33" hidden="1" x14ac:dyDescent="0.25">
      <c r="A62">
        <v>31820</v>
      </c>
      <c r="B62" t="s">
        <v>32</v>
      </c>
      <c r="C62">
        <v>2</v>
      </c>
      <c r="D62" t="s">
        <v>5608</v>
      </c>
      <c r="E62" t="s">
        <v>70</v>
      </c>
      <c r="F62" t="s">
        <v>33</v>
      </c>
      <c r="G62" t="s">
        <v>71</v>
      </c>
      <c r="H62" t="s">
        <v>72</v>
      </c>
      <c r="I62" t="s">
        <v>5601</v>
      </c>
      <c r="J62" t="s">
        <v>5609</v>
      </c>
      <c r="K62" t="s">
        <v>36</v>
      </c>
      <c r="L62" t="s">
        <v>33</v>
      </c>
      <c r="M62">
        <v>20612459984</v>
      </c>
      <c r="N62" t="s">
        <v>2287</v>
      </c>
      <c r="O62" t="s">
        <v>76</v>
      </c>
      <c r="P62" t="s">
        <v>38</v>
      </c>
      <c r="Q62" t="s">
        <v>2288</v>
      </c>
      <c r="R62" t="s">
        <v>5610</v>
      </c>
      <c r="S62">
        <v>11600.5</v>
      </c>
      <c r="T62" t="s">
        <v>40</v>
      </c>
      <c r="U62">
        <f>+IF(Tabla1[[#This Row],[MONEDA]]="PEN",Tabla1[[#This Row],[MONTO]],Tabla1[[#This Row],[MONTO]]*3.56)</f>
        <v>11600.5</v>
      </c>
      <c r="X62" t="s">
        <v>81</v>
      </c>
      <c r="Y62" t="s">
        <v>42</v>
      </c>
      <c r="Z62" t="s">
        <v>43</v>
      </c>
      <c r="AA62" t="s">
        <v>5611</v>
      </c>
      <c r="AB62" t="s">
        <v>5612</v>
      </c>
      <c r="AC62" t="s">
        <v>5613</v>
      </c>
      <c r="AD62" t="s">
        <v>5614</v>
      </c>
      <c r="AE62">
        <v>11252.49</v>
      </c>
      <c r="AG62" t="s">
        <v>169</v>
      </c>
    </row>
    <row r="63" spans="1:33" hidden="1" x14ac:dyDescent="0.25">
      <c r="A63">
        <v>31084</v>
      </c>
      <c r="B63" t="s">
        <v>32</v>
      </c>
      <c r="C63">
        <v>1</v>
      </c>
      <c r="D63" t="s">
        <v>3659</v>
      </c>
      <c r="E63" t="s">
        <v>70</v>
      </c>
      <c r="F63" t="s">
        <v>33</v>
      </c>
      <c r="G63" t="s">
        <v>71</v>
      </c>
      <c r="H63" t="s">
        <v>72</v>
      </c>
      <c r="I63" t="s">
        <v>5745</v>
      </c>
      <c r="J63" t="s">
        <v>5746</v>
      </c>
      <c r="K63" t="s">
        <v>36</v>
      </c>
      <c r="L63" t="s">
        <v>33</v>
      </c>
      <c r="M63">
        <v>20612459984</v>
      </c>
      <c r="N63" t="s">
        <v>2287</v>
      </c>
      <c r="O63" t="s">
        <v>76</v>
      </c>
      <c r="P63" t="s">
        <v>38</v>
      </c>
      <c r="Q63" t="s">
        <v>2288</v>
      </c>
      <c r="R63" t="s">
        <v>5747</v>
      </c>
      <c r="S63">
        <v>34505</v>
      </c>
      <c r="T63" t="s">
        <v>40</v>
      </c>
      <c r="U63">
        <f>+IF(Tabla1[[#This Row],[MONEDA]]="PEN",Tabla1[[#This Row],[MONTO]],Tabla1[[#This Row],[MONTO]]*3.56)</f>
        <v>34505</v>
      </c>
      <c r="X63" t="s">
        <v>41</v>
      </c>
      <c r="Y63" t="s">
        <v>42</v>
      </c>
      <c r="Z63" t="s">
        <v>43</v>
      </c>
      <c r="AA63" t="s">
        <v>5748</v>
      </c>
      <c r="AB63" t="s">
        <v>3664</v>
      </c>
      <c r="AC63" t="s">
        <v>5749</v>
      </c>
      <c r="AD63" t="s">
        <v>5750</v>
      </c>
      <c r="AE63">
        <v>33469.85</v>
      </c>
      <c r="AF63" t="s">
        <v>87</v>
      </c>
      <c r="AG63" t="s">
        <v>169</v>
      </c>
    </row>
    <row r="64" spans="1:33" hidden="1" x14ac:dyDescent="0.25">
      <c r="A64">
        <v>30732</v>
      </c>
      <c r="B64" t="s">
        <v>32</v>
      </c>
      <c r="C64">
        <v>1</v>
      </c>
      <c r="D64" t="s">
        <v>6168</v>
      </c>
      <c r="E64" t="s">
        <v>70</v>
      </c>
      <c r="F64" t="s">
        <v>33</v>
      </c>
      <c r="G64" t="s">
        <v>71</v>
      </c>
      <c r="H64" t="s">
        <v>72</v>
      </c>
      <c r="I64" t="s">
        <v>6161</v>
      </c>
      <c r="J64" t="s">
        <v>6169</v>
      </c>
      <c r="K64" t="s">
        <v>36</v>
      </c>
      <c r="L64" t="s">
        <v>33</v>
      </c>
      <c r="M64">
        <v>20612459984</v>
      </c>
      <c r="N64" t="s">
        <v>2287</v>
      </c>
      <c r="O64" t="s">
        <v>76</v>
      </c>
      <c r="P64" t="s">
        <v>38</v>
      </c>
      <c r="Q64" t="s">
        <v>2288</v>
      </c>
      <c r="R64" t="s">
        <v>6170</v>
      </c>
      <c r="S64">
        <v>1056</v>
      </c>
      <c r="T64" t="s">
        <v>40</v>
      </c>
      <c r="U64">
        <f>+IF(Tabla1[[#This Row],[MONEDA]]="PEN",Tabla1[[#This Row],[MONTO]],Tabla1[[#This Row],[MONTO]]*3.56)</f>
        <v>1056</v>
      </c>
      <c r="X64" t="s">
        <v>81</v>
      </c>
      <c r="Y64" t="s">
        <v>42</v>
      </c>
      <c r="Z64" t="s">
        <v>43</v>
      </c>
      <c r="AA64" t="s">
        <v>6171</v>
      </c>
      <c r="AB64" t="s">
        <v>6172</v>
      </c>
      <c r="AC64" t="s">
        <v>6173</v>
      </c>
      <c r="AD64" t="s">
        <v>6174</v>
      </c>
      <c r="AE64">
        <v>1024.32</v>
      </c>
      <c r="AF64" t="s">
        <v>87</v>
      </c>
      <c r="AG64" t="s">
        <v>169</v>
      </c>
    </row>
    <row r="65" spans="1:33" hidden="1" x14ac:dyDescent="0.25">
      <c r="A65">
        <v>30806</v>
      </c>
      <c r="B65" t="s">
        <v>32</v>
      </c>
      <c r="C65">
        <v>1</v>
      </c>
      <c r="D65" t="s">
        <v>6175</v>
      </c>
      <c r="E65" t="s">
        <v>70</v>
      </c>
      <c r="F65" t="s">
        <v>33</v>
      </c>
      <c r="G65" t="s">
        <v>71</v>
      </c>
      <c r="H65" t="s">
        <v>72</v>
      </c>
      <c r="I65" t="s">
        <v>6161</v>
      </c>
      <c r="J65" t="s">
        <v>6176</v>
      </c>
      <c r="K65" t="s">
        <v>36</v>
      </c>
      <c r="L65" t="s">
        <v>33</v>
      </c>
      <c r="M65">
        <v>20612459984</v>
      </c>
      <c r="N65" t="s">
        <v>2287</v>
      </c>
      <c r="O65" t="s">
        <v>76</v>
      </c>
      <c r="P65" t="s">
        <v>38</v>
      </c>
      <c r="Q65" t="s">
        <v>2288</v>
      </c>
      <c r="R65" t="s">
        <v>6177</v>
      </c>
      <c r="S65">
        <v>3950</v>
      </c>
      <c r="T65" t="s">
        <v>40</v>
      </c>
      <c r="U65">
        <f>+IF(Tabla1[[#This Row],[MONEDA]]="PEN",Tabla1[[#This Row],[MONTO]],Tabla1[[#This Row],[MONTO]]*3.56)</f>
        <v>3950</v>
      </c>
      <c r="X65" t="s">
        <v>81</v>
      </c>
      <c r="Y65" t="s">
        <v>42</v>
      </c>
      <c r="Z65" t="s">
        <v>43</v>
      </c>
      <c r="AA65" t="s">
        <v>6178</v>
      </c>
      <c r="AB65" t="s">
        <v>6179</v>
      </c>
      <c r="AC65" t="s">
        <v>6180</v>
      </c>
      <c r="AD65" t="s">
        <v>6181</v>
      </c>
      <c r="AE65">
        <v>3831.5</v>
      </c>
      <c r="AF65" t="s">
        <v>87</v>
      </c>
      <c r="AG65" t="s">
        <v>169</v>
      </c>
    </row>
    <row r="66" spans="1:33" x14ac:dyDescent="0.25">
      <c r="A66">
        <v>28701</v>
      </c>
      <c r="B66" t="s">
        <v>32</v>
      </c>
      <c r="C66">
        <v>1</v>
      </c>
      <c r="D66" t="s">
        <v>7370</v>
      </c>
      <c r="E66" t="s">
        <v>70</v>
      </c>
      <c r="F66" t="s">
        <v>5328</v>
      </c>
      <c r="G66" t="s">
        <v>5329</v>
      </c>
      <c r="H66" t="s">
        <v>72</v>
      </c>
      <c r="I66" t="s">
        <v>7371</v>
      </c>
      <c r="J66" t="s">
        <v>7372</v>
      </c>
      <c r="K66" t="s">
        <v>36</v>
      </c>
      <c r="L66" t="s">
        <v>33</v>
      </c>
      <c r="M66">
        <v>20612459984</v>
      </c>
      <c r="N66" t="s">
        <v>2287</v>
      </c>
      <c r="O66" t="s">
        <v>6159</v>
      </c>
      <c r="P66" t="s">
        <v>38</v>
      </c>
      <c r="Q66" t="s">
        <v>2288</v>
      </c>
      <c r="R66" t="s">
        <v>7373</v>
      </c>
      <c r="S66">
        <v>14081</v>
      </c>
      <c r="T66" t="s">
        <v>40</v>
      </c>
      <c r="U66">
        <f>+IF(Tabla1[[#This Row],[MONEDA]]="PEN",Tabla1[[#This Row],[MONTO]],Tabla1[[#This Row],[MONTO]]*3.56)</f>
        <v>14081</v>
      </c>
      <c r="X66" t="s">
        <v>81</v>
      </c>
      <c r="Y66" t="s">
        <v>51</v>
      </c>
      <c r="Z66" t="s">
        <v>43</v>
      </c>
      <c r="AA66" t="s">
        <v>7374</v>
      </c>
      <c r="AB66" t="s">
        <v>7375</v>
      </c>
      <c r="AC66" t="s">
        <v>7376</v>
      </c>
      <c r="AD66" t="s">
        <v>7377</v>
      </c>
      <c r="AE66">
        <v>13658.57</v>
      </c>
      <c r="AF66" t="s">
        <v>87</v>
      </c>
      <c r="AG66" t="s">
        <v>169</v>
      </c>
    </row>
    <row r="67" spans="1:33" hidden="1" x14ac:dyDescent="0.25">
      <c r="A67">
        <v>28376</v>
      </c>
      <c r="B67" t="s">
        <v>32</v>
      </c>
      <c r="C67">
        <v>1</v>
      </c>
      <c r="D67" t="s">
        <v>7722</v>
      </c>
      <c r="E67" t="s">
        <v>70</v>
      </c>
      <c r="F67" t="s">
        <v>33</v>
      </c>
      <c r="G67" t="s">
        <v>71</v>
      </c>
      <c r="H67" t="s">
        <v>72</v>
      </c>
      <c r="I67" t="s">
        <v>7701</v>
      </c>
      <c r="J67" t="s">
        <v>7723</v>
      </c>
      <c r="K67" t="s">
        <v>36</v>
      </c>
      <c r="L67" t="s">
        <v>33</v>
      </c>
      <c r="M67">
        <v>20612459984</v>
      </c>
      <c r="N67" t="s">
        <v>2287</v>
      </c>
      <c r="O67" t="s">
        <v>76</v>
      </c>
      <c r="P67" t="s">
        <v>38</v>
      </c>
      <c r="Q67" t="s">
        <v>2288</v>
      </c>
      <c r="R67" t="s">
        <v>7724</v>
      </c>
      <c r="S67">
        <v>13902.88</v>
      </c>
      <c r="T67" t="s">
        <v>40</v>
      </c>
      <c r="U67">
        <f>+IF(Tabla1[[#This Row],[MONEDA]]="PEN",Tabla1[[#This Row],[MONTO]],Tabla1[[#This Row],[MONTO]]*3.56)</f>
        <v>13902.88</v>
      </c>
      <c r="X67" t="s">
        <v>81</v>
      </c>
      <c r="Y67" t="s">
        <v>42</v>
      </c>
      <c r="Z67" t="s">
        <v>82</v>
      </c>
      <c r="AA67" t="s">
        <v>7725</v>
      </c>
      <c r="AB67" t="s">
        <v>7726</v>
      </c>
      <c r="AC67" t="s">
        <v>7727</v>
      </c>
      <c r="AD67" t="s">
        <v>7728</v>
      </c>
      <c r="AE67">
        <v>13485.79</v>
      </c>
      <c r="AF67" t="s">
        <v>87</v>
      </c>
      <c r="AG67" t="s">
        <v>169</v>
      </c>
    </row>
    <row r="68" spans="1:33" hidden="1" x14ac:dyDescent="0.25">
      <c r="A68">
        <v>28382</v>
      </c>
      <c r="B68" t="s">
        <v>32</v>
      </c>
      <c r="C68">
        <v>1</v>
      </c>
      <c r="D68" t="s">
        <v>7729</v>
      </c>
      <c r="E68" t="s">
        <v>70</v>
      </c>
      <c r="F68" t="s">
        <v>33</v>
      </c>
      <c r="G68" t="s">
        <v>71</v>
      </c>
      <c r="H68" t="s">
        <v>72</v>
      </c>
      <c r="I68" t="s">
        <v>7701</v>
      </c>
      <c r="J68" t="s">
        <v>7730</v>
      </c>
      <c r="K68" t="s">
        <v>36</v>
      </c>
      <c r="L68" t="s">
        <v>33</v>
      </c>
      <c r="M68">
        <v>20612459984</v>
      </c>
      <c r="N68" t="s">
        <v>2287</v>
      </c>
      <c r="O68" t="s">
        <v>76</v>
      </c>
      <c r="P68" t="s">
        <v>38</v>
      </c>
      <c r="Q68" t="s">
        <v>2288</v>
      </c>
      <c r="R68" t="s">
        <v>7731</v>
      </c>
      <c r="S68">
        <v>2563.4</v>
      </c>
      <c r="T68" t="s">
        <v>40</v>
      </c>
      <c r="U68">
        <f>+IF(Tabla1[[#This Row],[MONEDA]]="PEN",Tabla1[[#This Row],[MONTO]],Tabla1[[#This Row],[MONTO]]*3.56)</f>
        <v>2563.4</v>
      </c>
      <c r="X68" t="s">
        <v>81</v>
      </c>
      <c r="Y68" t="s">
        <v>42</v>
      </c>
      <c r="Z68" t="s">
        <v>43</v>
      </c>
      <c r="AA68" t="s">
        <v>7732</v>
      </c>
      <c r="AB68" t="s">
        <v>7733</v>
      </c>
      <c r="AC68" t="s">
        <v>7734</v>
      </c>
      <c r="AD68" t="s">
        <v>7735</v>
      </c>
      <c r="AE68">
        <v>2486.5</v>
      </c>
      <c r="AF68" t="s">
        <v>87</v>
      </c>
      <c r="AG68" t="s">
        <v>169</v>
      </c>
    </row>
    <row r="69" spans="1:33" hidden="1" x14ac:dyDescent="0.25">
      <c r="A69">
        <v>28117</v>
      </c>
      <c r="B69" t="s">
        <v>32</v>
      </c>
      <c r="C69">
        <v>1</v>
      </c>
      <c r="D69" t="s">
        <v>7932</v>
      </c>
      <c r="E69" t="s">
        <v>70</v>
      </c>
      <c r="F69" t="s">
        <v>33</v>
      </c>
      <c r="G69" t="s">
        <v>71</v>
      </c>
      <c r="H69" t="s">
        <v>72</v>
      </c>
      <c r="I69" t="s">
        <v>7918</v>
      </c>
      <c r="J69" t="s">
        <v>7933</v>
      </c>
      <c r="K69" t="s">
        <v>36</v>
      </c>
      <c r="L69" t="s">
        <v>33</v>
      </c>
      <c r="M69">
        <v>20612459984</v>
      </c>
      <c r="N69" t="s">
        <v>2287</v>
      </c>
      <c r="O69" t="s">
        <v>76</v>
      </c>
      <c r="P69" t="s">
        <v>38</v>
      </c>
      <c r="Q69" t="s">
        <v>2288</v>
      </c>
      <c r="R69" t="s">
        <v>7934</v>
      </c>
      <c r="S69">
        <v>2402</v>
      </c>
      <c r="T69" t="s">
        <v>40</v>
      </c>
      <c r="U69">
        <f>+IF(Tabla1[[#This Row],[MONEDA]]="PEN",Tabla1[[#This Row],[MONTO]],Tabla1[[#This Row],[MONTO]]*3.56)</f>
        <v>2402</v>
      </c>
      <c r="X69" t="s">
        <v>81</v>
      </c>
      <c r="Y69" t="s">
        <v>42</v>
      </c>
      <c r="Z69" t="s">
        <v>43</v>
      </c>
      <c r="AA69" t="s">
        <v>7935</v>
      </c>
      <c r="AB69" t="s">
        <v>7936</v>
      </c>
      <c r="AC69" t="s">
        <v>7937</v>
      </c>
      <c r="AD69" t="s">
        <v>7938</v>
      </c>
      <c r="AE69">
        <v>2329.94</v>
      </c>
      <c r="AF69" t="s">
        <v>87</v>
      </c>
      <c r="AG69" t="s">
        <v>169</v>
      </c>
    </row>
    <row r="70" spans="1:33" hidden="1" x14ac:dyDescent="0.25">
      <c r="A70">
        <v>27691</v>
      </c>
      <c r="B70" t="s">
        <v>32</v>
      </c>
      <c r="C70">
        <v>2</v>
      </c>
      <c r="D70" t="s">
        <v>8197</v>
      </c>
      <c r="E70" t="s">
        <v>70</v>
      </c>
      <c r="F70" t="s">
        <v>33</v>
      </c>
      <c r="G70" t="s">
        <v>71</v>
      </c>
      <c r="H70" t="s">
        <v>72</v>
      </c>
      <c r="I70" t="s">
        <v>8189</v>
      </c>
      <c r="J70" t="s">
        <v>8198</v>
      </c>
      <c r="K70" t="s">
        <v>36</v>
      </c>
      <c r="L70" t="s">
        <v>33</v>
      </c>
      <c r="M70">
        <v>20612459984</v>
      </c>
      <c r="N70" t="s">
        <v>2287</v>
      </c>
      <c r="O70" t="s">
        <v>76</v>
      </c>
      <c r="P70" t="s">
        <v>38</v>
      </c>
      <c r="Q70" t="s">
        <v>2288</v>
      </c>
      <c r="R70" t="s">
        <v>8199</v>
      </c>
      <c r="S70">
        <v>8699</v>
      </c>
      <c r="T70" t="s">
        <v>40</v>
      </c>
      <c r="U70">
        <f>+IF(Tabla1[[#This Row],[MONEDA]]="PEN",Tabla1[[#This Row],[MONTO]],Tabla1[[#This Row],[MONTO]]*3.56)</f>
        <v>8699</v>
      </c>
      <c r="X70" t="s">
        <v>81</v>
      </c>
      <c r="Y70" t="s">
        <v>42</v>
      </c>
      <c r="Z70" t="s">
        <v>43</v>
      </c>
      <c r="AA70" t="s">
        <v>8200</v>
      </c>
      <c r="AB70" t="s">
        <v>8201</v>
      </c>
      <c r="AC70" t="s">
        <v>8202</v>
      </c>
      <c r="AD70" t="s">
        <v>8203</v>
      </c>
      <c r="AE70">
        <v>8438.0300000000007</v>
      </c>
      <c r="AF70" t="s">
        <v>87</v>
      </c>
      <c r="AG70" t="s">
        <v>169</v>
      </c>
    </row>
    <row r="71" spans="1:33" hidden="1" x14ac:dyDescent="0.25">
      <c r="A71">
        <v>27692</v>
      </c>
      <c r="B71" t="s">
        <v>32</v>
      </c>
      <c r="C71">
        <v>2</v>
      </c>
      <c r="D71" t="s">
        <v>8204</v>
      </c>
      <c r="E71" t="s">
        <v>70</v>
      </c>
      <c r="F71" t="s">
        <v>33</v>
      </c>
      <c r="G71" t="s">
        <v>71</v>
      </c>
      <c r="H71" t="s">
        <v>72</v>
      </c>
      <c r="I71" t="s">
        <v>8189</v>
      </c>
      <c r="J71" t="s">
        <v>8205</v>
      </c>
      <c r="K71" t="s">
        <v>36</v>
      </c>
      <c r="L71" t="s">
        <v>33</v>
      </c>
      <c r="M71">
        <v>20612459984</v>
      </c>
      <c r="N71" t="s">
        <v>2287</v>
      </c>
      <c r="O71" t="s">
        <v>76</v>
      </c>
      <c r="P71" t="s">
        <v>38</v>
      </c>
      <c r="Q71" t="s">
        <v>2288</v>
      </c>
      <c r="R71" t="s">
        <v>8206</v>
      </c>
      <c r="S71">
        <v>4961.3999999999996</v>
      </c>
      <c r="T71" t="s">
        <v>40</v>
      </c>
      <c r="U71">
        <f>+IF(Tabla1[[#This Row],[MONEDA]]="PEN",Tabla1[[#This Row],[MONTO]],Tabla1[[#This Row],[MONTO]]*3.56)</f>
        <v>4961.3999999999996</v>
      </c>
      <c r="X71" t="s">
        <v>81</v>
      </c>
      <c r="Y71" t="s">
        <v>42</v>
      </c>
      <c r="Z71" t="s">
        <v>43</v>
      </c>
      <c r="AA71" t="s">
        <v>8207</v>
      </c>
      <c r="AB71" t="s">
        <v>8208</v>
      </c>
      <c r="AC71" t="s">
        <v>8209</v>
      </c>
      <c r="AD71" t="s">
        <v>8210</v>
      </c>
      <c r="AE71">
        <v>4812.5600000000004</v>
      </c>
      <c r="AF71" t="s">
        <v>87</v>
      </c>
      <c r="AG71" t="s">
        <v>169</v>
      </c>
    </row>
    <row r="72" spans="1:33" hidden="1" x14ac:dyDescent="0.25">
      <c r="A72">
        <v>37835</v>
      </c>
      <c r="B72" t="s">
        <v>32</v>
      </c>
      <c r="C72">
        <v>1</v>
      </c>
      <c r="D72" t="s">
        <v>3043</v>
      </c>
      <c r="E72" t="s">
        <v>70</v>
      </c>
      <c r="F72" t="s">
        <v>33</v>
      </c>
      <c r="G72" t="s">
        <v>71</v>
      </c>
      <c r="H72" t="s">
        <v>35</v>
      </c>
      <c r="I72" t="s">
        <v>3036</v>
      </c>
      <c r="J72" t="s">
        <v>3044</v>
      </c>
      <c r="K72" t="s">
        <v>36</v>
      </c>
      <c r="L72" t="s">
        <v>33</v>
      </c>
      <c r="M72">
        <v>20455977330</v>
      </c>
      <c r="N72" t="s">
        <v>3045</v>
      </c>
      <c r="O72" t="s">
        <v>76</v>
      </c>
      <c r="P72" t="s">
        <v>38</v>
      </c>
      <c r="Q72" t="s">
        <v>3046</v>
      </c>
      <c r="R72" t="s">
        <v>3047</v>
      </c>
      <c r="S72">
        <v>5037.42</v>
      </c>
      <c r="T72" t="s">
        <v>40</v>
      </c>
      <c r="U72">
        <f>+IF(Tabla1[[#This Row],[MONEDA]]="PEN",Tabla1[[#This Row],[MONTO]],Tabla1[[#This Row],[MONTO]]*3.56)</f>
        <v>5037.42</v>
      </c>
      <c r="X72" t="s">
        <v>81</v>
      </c>
      <c r="Y72" t="s">
        <v>42</v>
      </c>
      <c r="Z72" t="s">
        <v>82</v>
      </c>
      <c r="AA72" t="s">
        <v>3048</v>
      </c>
      <c r="AB72" t="s">
        <v>3049</v>
      </c>
      <c r="AC72" t="s">
        <v>3050</v>
      </c>
      <c r="AD72" t="s">
        <v>3051</v>
      </c>
      <c r="AE72">
        <v>4886.3</v>
      </c>
      <c r="AF72" t="s">
        <v>87</v>
      </c>
      <c r="AG72" t="s">
        <v>169</v>
      </c>
    </row>
    <row r="73" spans="1:33" hidden="1" x14ac:dyDescent="0.25">
      <c r="A73">
        <v>33884</v>
      </c>
      <c r="B73" t="s">
        <v>32</v>
      </c>
      <c r="C73">
        <v>1</v>
      </c>
      <c r="D73" t="s">
        <v>4808</v>
      </c>
      <c r="E73" t="s">
        <v>70</v>
      </c>
      <c r="F73" t="s">
        <v>33</v>
      </c>
      <c r="G73" t="s">
        <v>71</v>
      </c>
      <c r="H73" t="s">
        <v>72</v>
      </c>
      <c r="I73" t="s">
        <v>4781</v>
      </c>
      <c r="J73" t="s">
        <v>4809</v>
      </c>
      <c r="K73" t="s">
        <v>36</v>
      </c>
      <c r="L73" t="s">
        <v>33</v>
      </c>
      <c r="M73">
        <v>20455977330</v>
      </c>
      <c r="N73" t="s">
        <v>3045</v>
      </c>
      <c r="O73" t="s">
        <v>76</v>
      </c>
      <c r="P73" t="s">
        <v>38</v>
      </c>
      <c r="Q73" t="s">
        <v>3046</v>
      </c>
      <c r="R73" t="s">
        <v>4810</v>
      </c>
      <c r="S73">
        <v>3652.1</v>
      </c>
      <c r="T73" t="s">
        <v>40</v>
      </c>
      <c r="U73">
        <f>+IF(Tabla1[[#This Row],[MONEDA]]="PEN",Tabla1[[#This Row],[MONTO]],Tabla1[[#This Row],[MONTO]]*3.56)</f>
        <v>3652.1</v>
      </c>
      <c r="X73" t="s">
        <v>81</v>
      </c>
      <c r="Y73" t="s">
        <v>42</v>
      </c>
      <c r="Z73" t="s">
        <v>43</v>
      </c>
      <c r="AA73" t="s">
        <v>4811</v>
      </c>
      <c r="AB73" t="s">
        <v>4812</v>
      </c>
      <c r="AC73" t="s">
        <v>4813</v>
      </c>
      <c r="AD73" t="s">
        <v>4814</v>
      </c>
      <c r="AE73">
        <v>3542.54</v>
      </c>
      <c r="AG73" t="s">
        <v>169</v>
      </c>
    </row>
    <row r="74" spans="1:33" x14ac:dyDescent="0.25">
      <c r="A74">
        <v>38990</v>
      </c>
      <c r="B74" t="s">
        <v>32</v>
      </c>
      <c r="C74">
        <v>1</v>
      </c>
      <c r="D74" t="s">
        <v>2679</v>
      </c>
      <c r="E74" t="s">
        <v>70</v>
      </c>
      <c r="F74" t="s">
        <v>90</v>
      </c>
      <c r="G74" t="s">
        <v>91</v>
      </c>
      <c r="H74" t="s">
        <v>35</v>
      </c>
      <c r="I74" t="s">
        <v>2624</v>
      </c>
      <c r="J74" t="s">
        <v>2680</v>
      </c>
      <c r="K74" t="s">
        <v>36</v>
      </c>
      <c r="L74" t="s">
        <v>33</v>
      </c>
      <c r="M74">
        <v>10420657264</v>
      </c>
      <c r="N74" t="s">
        <v>2681</v>
      </c>
      <c r="P74" t="s">
        <v>38</v>
      </c>
      <c r="Q74" t="s">
        <v>2682</v>
      </c>
      <c r="R74" t="s">
        <v>2683</v>
      </c>
      <c r="S74">
        <v>4295</v>
      </c>
      <c r="T74" t="s">
        <v>40</v>
      </c>
      <c r="U74">
        <f>+IF(Tabla1[[#This Row],[MONEDA]]="PEN",Tabla1[[#This Row],[MONTO]],Tabla1[[#This Row],[MONTO]]*3.56)</f>
        <v>4295</v>
      </c>
      <c r="X74" t="s">
        <v>41</v>
      </c>
      <c r="Y74" t="s">
        <v>42</v>
      </c>
      <c r="Z74" t="s">
        <v>43</v>
      </c>
      <c r="AA74" t="s">
        <v>2684</v>
      </c>
      <c r="AB74" t="s">
        <v>2685</v>
      </c>
      <c r="AC74" t="s">
        <v>2686</v>
      </c>
      <c r="AD74" t="s">
        <v>2687</v>
      </c>
      <c r="AE74">
        <v>4295</v>
      </c>
      <c r="AF74" t="s">
        <v>87</v>
      </c>
      <c r="AG74" t="s">
        <v>169</v>
      </c>
    </row>
    <row r="75" spans="1:33" hidden="1" x14ac:dyDescent="0.25">
      <c r="A75">
        <v>29050</v>
      </c>
      <c r="B75" t="s">
        <v>32</v>
      </c>
      <c r="C75">
        <v>2</v>
      </c>
      <c r="D75" t="s">
        <v>7243</v>
      </c>
      <c r="E75" t="s">
        <v>70</v>
      </c>
      <c r="F75" t="s">
        <v>33</v>
      </c>
      <c r="G75" t="s">
        <v>71</v>
      </c>
      <c r="H75" t="s">
        <v>72</v>
      </c>
      <c r="I75" t="s">
        <v>7244</v>
      </c>
      <c r="J75" t="s">
        <v>7268</v>
      </c>
      <c r="K75" t="s">
        <v>36</v>
      </c>
      <c r="L75" t="s">
        <v>33</v>
      </c>
      <c r="M75">
        <v>20119207992</v>
      </c>
      <c r="N75" t="s">
        <v>7269</v>
      </c>
      <c r="O75" t="s">
        <v>76</v>
      </c>
      <c r="R75" t="s">
        <v>7270</v>
      </c>
      <c r="S75">
        <v>161</v>
      </c>
      <c r="T75" t="s">
        <v>40</v>
      </c>
      <c r="U75">
        <f>+IF(Tabla1[[#This Row],[MONEDA]]="PEN",Tabla1[[#This Row],[MONTO]],Tabla1[[#This Row],[MONTO]]*3.56)</f>
        <v>161</v>
      </c>
      <c r="V75" t="s">
        <v>190</v>
      </c>
      <c r="W75">
        <v>27036</v>
      </c>
      <c r="X75" t="s">
        <v>81</v>
      </c>
      <c r="Y75" t="s">
        <v>42</v>
      </c>
      <c r="Z75" t="s">
        <v>43</v>
      </c>
      <c r="AA75" t="s">
        <v>7240</v>
      </c>
      <c r="AC75" t="s">
        <v>7271</v>
      </c>
      <c r="AD75" t="s">
        <v>7272</v>
      </c>
    </row>
    <row r="76" spans="1:33" hidden="1" x14ac:dyDescent="0.25">
      <c r="A76">
        <v>26840</v>
      </c>
      <c r="B76" t="s">
        <v>32</v>
      </c>
      <c r="C76">
        <v>2</v>
      </c>
      <c r="D76" t="s">
        <v>8892</v>
      </c>
      <c r="E76" t="s">
        <v>70</v>
      </c>
      <c r="F76" t="s">
        <v>33</v>
      </c>
      <c r="G76" t="s">
        <v>71</v>
      </c>
      <c r="H76" t="s">
        <v>72</v>
      </c>
      <c r="I76" t="s">
        <v>8893</v>
      </c>
      <c r="J76" t="s">
        <v>8894</v>
      </c>
      <c r="K76" t="s">
        <v>36</v>
      </c>
      <c r="L76" t="s">
        <v>33</v>
      </c>
      <c r="M76">
        <v>20119207992</v>
      </c>
      <c r="N76" t="s">
        <v>7269</v>
      </c>
      <c r="O76" t="s">
        <v>76</v>
      </c>
      <c r="R76" t="s">
        <v>8895</v>
      </c>
      <c r="S76">
        <v>177</v>
      </c>
      <c r="T76" t="s">
        <v>40</v>
      </c>
      <c r="U76">
        <f>+IF(Tabla1[[#This Row],[MONEDA]]="PEN",Tabla1[[#This Row],[MONTO]],Tabla1[[#This Row],[MONTO]]*3.56)</f>
        <v>177</v>
      </c>
      <c r="V76" t="s">
        <v>190</v>
      </c>
      <c r="W76">
        <v>26301</v>
      </c>
      <c r="X76" t="s">
        <v>81</v>
      </c>
      <c r="Y76" t="s">
        <v>42</v>
      </c>
      <c r="Z76" t="s">
        <v>43</v>
      </c>
      <c r="AA76" t="s">
        <v>8896</v>
      </c>
      <c r="AC76" t="s">
        <v>8897</v>
      </c>
      <c r="AD76" t="s">
        <v>8898</v>
      </c>
    </row>
    <row r="77" spans="1:33" hidden="1" x14ac:dyDescent="0.25">
      <c r="A77">
        <v>26738</v>
      </c>
      <c r="B77" t="s">
        <v>32</v>
      </c>
      <c r="C77">
        <v>1</v>
      </c>
      <c r="D77" t="s">
        <v>9074</v>
      </c>
      <c r="E77" t="s">
        <v>70</v>
      </c>
      <c r="F77" t="s">
        <v>33</v>
      </c>
      <c r="G77" t="s">
        <v>71</v>
      </c>
      <c r="H77" t="s">
        <v>72</v>
      </c>
      <c r="I77" t="s">
        <v>9075</v>
      </c>
      <c r="J77" t="s">
        <v>9076</v>
      </c>
      <c r="K77" t="s">
        <v>36</v>
      </c>
      <c r="L77" t="s">
        <v>33</v>
      </c>
      <c r="M77">
        <v>20119207992</v>
      </c>
      <c r="N77" t="s">
        <v>7269</v>
      </c>
      <c r="O77" t="s">
        <v>76</v>
      </c>
      <c r="R77" t="s">
        <v>5532</v>
      </c>
      <c r="S77">
        <v>50</v>
      </c>
      <c r="T77" t="s">
        <v>40</v>
      </c>
      <c r="U77">
        <f>+IF(Tabla1[[#This Row],[MONEDA]]="PEN",Tabla1[[#This Row],[MONTO]],Tabla1[[#This Row],[MONTO]]*3.56)</f>
        <v>50</v>
      </c>
      <c r="V77" t="s">
        <v>190</v>
      </c>
      <c r="W77">
        <v>25908</v>
      </c>
      <c r="X77" t="s">
        <v>81</v>
      </c>
      <c r="Y77" t="s">
        <v>42</v>
      </c>
      <c r="Z77" t="s">
        <v>82</v>
      </c>
      <c r="AA77" t="s">
        <v>9077</v>
      </c>
      <c r="AC77" t="s">
        <v>9078</v>
      </c>
      <c r="AD77" t="s">
        <v>9079</v>
      </c>
    </row>
    <row r="78" spans="1:33" hidden="1" x14ac:dyDescent="0.25">
      <c r="A78">
        <v>26730</v>
      </c>
      <c r="B78" t="s">
        <v>32</v>
      </c>
      <c r="C78">
        <v>1</v>
      </c>
      <c r="D78" t="s">
        <v>9125</v>
      </c>
      <c r="E78" t="s">
        <v>70</v>
      </c>
      <c r="F78" t="s">
        <v>33</v>
      </c>
      <c r="G78" t="s">
        <v>71</v>
      </c>
      <c r="H78" t="s">
        <v>72</v>
      </c>
      <c r="I78" t="s">
        <v>9126</v>
      </c>
      <c r="J78" t="s">
        <v>9127</v>
      </c>
      <c r="K78" t="s">
        <v>36</v>
      </c>
      <c r="L78" t="s">
        <v>33</v>
      </c>
      <c r="M78">
        <v>20119207992</v>
      </c>
      <c r="N78" t="s">
        <v>7269</v>
      </c>
      <c r="O78" t="s">
        <v>76</v>
      </c>
      <c r="R78" t="s">
        <v>9128</v>
      </c>
      <c r="S78">
        <v>80</v>
      </c>
      <c r="T78" t="s">
        <v>40</v>
      </c>
      <c r="U78">
        <f>+IF(Tabla1[[#This Row],[MONEDA]]="PEN",Tabla1[[#This Row],[MONTO]],Tabla1[[#This Row],[MONTO]]*3.56)</f>
        <v>80</v>
      </c>
      <c r="V78" t="s">
        <v>190</v>
      </c>
      <c r="W78">
        <v>25908</v>
      </c>
      <c r="X78" t="s">
        <v>81</v>
      </c>
      <c r="Y78" t="s">
        <v>42</v>
      </c>
      <c r="Z78" t="s">
        <v>82</v>
      </c>
      <c r="AA78" t="s">
        <v>9129</v>
      </c>
      <c r="AC78" t="s">
        <v>9130</v>
      </c>
      <c r="AD78" t="s">
        <v>9131</v>
      </c>
    </row>
    <row r="79" spans="1:33" hidden="1" x14ac:dyDescent="0.25">
      <c r="A79">
        <v>26726</v>
      </c>
      <c r="B79" t="s">
        <v>32</v>
      </c>
      <c r="C79">
        <v>1</v>
      </c>
      <c r="D79" t="s">
        <v>9154</v>
      </c>
      <c r="E79" t="s">
        <v>70</v>
      </c>
      <c r="F79" t="s">
        <v>33</v>
      </c>
      <c r="G79" t="s">
        <v>71</v>
      </c>
      <c r="H79" t="s">
        <v>72</v>
      </c>
      <c r="I79" t="s">
        <v>9155</v>
      </c>
      <c r="J79" t="s">
        <v>9156</v>
      </c>
      <c r="K79" t="s">
        <v>36</v>
      </c>
      <c r="L79" t="s">
        <v>33</v>
      </c>
      <c r="M79">
        <v>20119207992</v>
      </c>
      <c r="N79" t="s">
        <v>7269</v>
      </c>
      <c r="O79" t="s">
        <v>76</v>
      </c>
      <c r="R79" t="s">
        <v>9128</v>
      </c>
      <c r="S79">
        <v>50</v>
      </c>
      <c r="T79" t="s">
        <v>40</v>
      </c>
      <c r="U79">
        <f>+IF(Tabla1[[#This Row],[MONEDA]]="PEN",Tabla1[[#This Row],[MONTO]],Tabla1[[#This Row],[MONTO]]*3.56)</f>
        <v>50</v>
      </c>
      <c r="V79" t="s">
        <v>190</v>
      </c>
      <c r="W79">
        <v>25908</v>
      </c>
      <c r="X79" t="s">
        <v>81</v>
      </c>
      <c r="Y79" t="s">
        <v>42</v>
      </c>
      <c r="Z79" t="s">
        <v>82</v>
      </c>
      <c r="AA79" t="s">
        <v>9157</v>
      </c>
      <c r="AC79" t="s">
        <v>9158</v>
      </c>
      <c r="AD79" t="s">
        <v>9159</v>
      </c>
    </row>
    <row r="80" spans="1:33" hidden="1" x14ac:dyDescent="0.25">
      <c r="A80">
        <v>41411</v>
      </c>
      <c r="B80" t="s">
        <v>32</v>
      </c>
      <c r="C80">
        <v>1</v>
      </c>
      <c r="D80" t="s">
        <v>1469</v>
      </c>
      <c r="E80" t="s">
        <v>70</v>
      </c>
      <c r="F80" t="s">
        <v>33</v>
      </c>
      <c r="G80" t="s">
        <v>71</v>
      </c>
      <c r="H80" t="s">
        <v>35</v>
      </c>
      <c r="I80" t="s">
        <v>1469</v>
      </c>
      <c r="J80" t="s">
        <v>1470</v>
      </c>
      <c r="K80" t="s">
        <v>36</v>
      </c>
      <c r="L80" t="s">
        <v>33</v>
      </c>
      <c r="M80">
        <v>20600704231</v>
      </c>
      <c r="N80" t="s">
        <v>1471</v>
      </c>
      <c r="O80" t="s">
        <v>76</v>
      </c>
      <c r="R80" t="s">
        <v>1472</v>
      </c>
      <c r="S80">
        <v>55</v>
      </c>
      <c r="T80" t="s">
        <v>40</v>
      </c>
      <c r="U80">
        <f>+IF(Tabla1[[#This Row],[MONEDA]]="PEN",Tabla1[[#This Row],[MONTO]],Tabla1[[#This Row],[MONTO]]*3.56)</f>
        <v>55</v>
      </c>
      <c r="V80" t="s">
        <v>190</v>
      </c>
      <c r="W80">
        <v>39699</v>
      </c>
      <c r="X80" t="s">
        <v>81</v>
      </c>
      <c r="Y80" t="s">
        <v>42</v>
      </c>
      <c r="Z80" t="s">
        <v>43</v>
      </c>
      <c r="AA80" t="s">
        <v>1473</v>
      </c>
      <c r="AC80" t="s">
        <v>1474</v>
      </c>
      <c r="AD80" t="s">
        <v>1475</v>
      </c>
    </row>
    <row r="81" spans="1:33" hidden="1" x14ac:dyDescent="0.25">
      <c r="A81">
        <v>38408</v>
      </c>
      <c r="B81" t="s">
        <v>32</v>
      </c>
      <c r="C81">
        <v>1</v>
      </c>
      <c r="D81" t="s">
        <v>2884</v>
      </c>
      <c r="E81" t="s">
        <v>70</v>
      </c>
      <c r="F81" t="s">
        <v>33</v>
      </c>
      <c r="G81" t="s">
        <v>71</v>
      </c>
      <c r="H81" t="s">
        <v>35</v>
      </c>
      <c r="I81" t="s">
        <v>2884</v>
      </c>
      <c r="J81" t="s">
        <v>2890</v>
      </c>
      <c r="K81" t="s">
        <v>36</v>
      </c>
      <c r="L81" t="s">
        <v>33</v>
      </c>
      <c r="M81">
        <v>20600704231</v>
      </c>
      <c r="N81" t="s">
        <v>1471</v>
      </c>
      <c r="O81" t="s">
        <v>76</v>
      </c>
      <c r="R81" t="s">
        <v>2891</v>
      </c>
      <c r="S81">
        <v>23.5</v>
      </c>
      <c r="T81" t="s">
        <v>40</v>
      </c>
      <c r="U81">
        <f>+IF(Tabla1[[#This Row],[MONEDA]]="PEN",Tabla1[[#This Row],[MONTO]],Tabla1[[#This Row],[MONTO]]*3.56)</f>
        <v>23.5</v>
      </c>
      <c r="V81" t="s">
        <v>190</v>
      </c>
      <c r="W81">
        <v>34656</v>
      </c>
      <c r="X81" t="s">
        <v>81</v>
      </c>
      <c r="Y81" t="s">
        <v>42</v>
      </c>
      <c r="Z81" t="s">
        <v>43</v>
      </c>
      <c r="AA81" t="s">
        <v>2892</v>
      </c>
      <c r="AC81" t="s">
        <v>2893</v>
      </c>
      <c r="AD81" t="s">
        <v>2894</v>
      </c>
    </row>
    <row r="82" spans="1:33" hidden="1" x14ac:dyDescent="0.25">
      <c r="A82">
        <v>38410</v>
      </c>
      <c r="B82" t="s">
        <v>32</v>
      </c>
      <c r="C82">
        <v>1</v>
      </c>
      <c r="D82" t="s">
        <v>2884</v>
      </c>
      <c r="E82" t="s">
        <v>70</v>
      </c>
      <c r="F82" t="s">
        <v>33</v>
      </c>
      <c r="G82" t="s">
        <v>71</v>
      </c>
      <c r="H82" t="s">
        <v>35</v>
      </c>
      <c r="I82" t="s">
        <v>2884</v>
      </c>
      <c r="J82" t="s">
        <v>2900</v>
      </c>
      <c r="K82" t="s">
        <v>36</v>
      </c>
      <c r="L82" t="s">
        <v>33</v>
      </c>
      <c r="M82">
        <v>20600704231</v>
      </c>
      <c r="N82" t="s">
        <v>1471</v>
      </c>
      <c r="O82" t="s">
        <v>76</v>
      </c>
      <c r="R82" t="s">
        <v>2901</v>
      </c>
      <c r="S82">
        <v>42</v>
      </c>
      <c r="T82" t="s">
        <v>40</v>
      </c>
      <c r="U82">
        <f>+IF(Tabla1[[#This Row],[MONEDA]]="PEN",Tabla1[[#This Row],[MONTO]],Tabla1[[#This Row],[MONTO]]*3.56)</f>
        <v>42</v>
      </c>
      <c r="V82" t="s">
        <v>190</v>
      </c>
      <c r="W82">
        <v>34656</v>
      </c>
      <c r="X82" t="s">
        <v>81</v>
      </c>
      <c r="Y82" t="s">
        <v>42</v>
      </c>
      <c r="Z82" t="s">
        <v>43</v>
      </c>
      <c r="AA82" t="s">
        <v>2902</v>
      </c>
      <c r="AC82" t="s">
        <v>2903</v>
      </c>
      <c r="AD82" t="s">
        <v>2904</v>
      </c>
    </row>
    <row r="83" spans="1:33" hidden="1" x14ac:dyDescent="0.25">
      <c r="A83">
        <v>30094</v>
      </c>
      <c r="B83" t="s">
        <v>32</v>
      </c>
      <c r="C83">
        <v>1</v>
      </c>
      <c r="D83" t="s">
        <v>6444</v>
      </c>
      <c r="E83" t="s">
        <v>70</v>
      </c>
      <c r="F83" t="s">
        <v>33</v>
      </c>
      <c r="G83" t="s">
        <v>71</v>
      </c>
      <c r="H83" t="s">
        <v>72</v>
      </c>
      <c r="I83" t="s">
        <v>6445</v>
      </c>
      <c r="J83" t="s">
        <v>6446</v>
      </c>
      <c r="K83" t="s">
        <v>36</v>
      </c>
      <c r="L83" t="s">
        <v>33</v>
      </c>
      <c r="M83">
        <v>20600704231</v>
      </c>
      <c r="N83" t="s">
        <v>1471</v>
      </c>
      <c r="O83" t="s">
        <v>76</v>
      </c>
      <c r="R83" t="s">
        <v>6447</v>
      </c>
      <c r="S83">
        <v>37</v>
      </c>
      <c r="T83" t="s">
        <v>40</v>
      </c>
      <c r="U83">
        <f>+IF(Tabla1[[#This Row],[MONEDA]]="PEN",Tabla1[[#This Row],[MONTO]],Tabla1[[#This Row],[MONTO]]*3.56)</f>
        <v>37</v>
      </c>
      <c r="V83" t="s">
        <v>190</v>
      </c>
      <c r="W83">
        <v>28316</v>
      </c>
      <c r="X83" t="s">
        <v>81</v>
      </c>
      <c r="Y83" t="s">
        <v>42</v>
      </c>
      <c r="Z83" t="s">
        <v>43</v>
      </c>
      <c r="AA83" t="s">
        <v>6448</v>
      </c>
      <c r="AC83" t="s">
        <v>6449</v>
      </c>
      <c r="AD83" t="s">
        <v>6450</v>
      </c>
    </row>
    <row r="84" spans="1:33" hidden="1" x14ac:dyDescent="0.25">
      <c r="A84">
        <v>29121</v>
      </c>
      <c r="B84" t="s">
        <v>32</v>
      </c>
      <c r="C84">
        <v>2</v>
      </c>
      <c r="D84" t="s">
        <v>7129</v>
      </c>
      <c r="E84" t="s">
        <v>70</v>
      </c>
      <c r="F84" t="s">
        <v>33</v>
      </c>
      <c r="G84" t="s">
        <v>71</v>
      </c>
      <c r="H84" t="s">
        <v>72</v>
      </c>
      <c r="I84" t="s">
        <v>7130</v>
      </c>
      <c r="J84" t="s">
        <v>7131</v>
      </c>
      <c r="K84" t="s">
        <v>36</v>
      </c>
      <c r="L84" t="s">
        <v>33</v>
      </c>
      <c r="M84">
        <v>20600704231</v>
      </c>
      <c r="N84" t="s">
        <v>1471</v>
      </c>
      <c r="O84" t="s">
        <v>76</v>
      </c>
      <c r="R84" t="s">
        <v>7132</v>
      </c>
      <c r="S84">
        <v>55.5</v>
      </c>
      <c r="T84" t="s">
        <v>40</v>
      </c>
      <c r="U84">
        <f>+IF(Tabla1[[#This Row],[MONEDA]]="PEN",Tabla1[[#This Row],[MONTO]],Tabla1[[#This Row],[MONTO]]*3.56)</f>
        <v>55.5</v>
      </c>
      <c r="V84" t="s">
        <v>190</v>
      </c>
      <c r="W84">
        <v>27036</v>
      </c>
      <c r="X84" t="s">
        <v>81</v>
      </c>
      <c r="Y84" t="s">
        <v>42</v>
      </c>
      <c r="Z84" t="s">
        <v>43</v>
      </c>
      <c r="AA84" t="s">
        <v>7133</v>
      </c>
      <c r="AC84" t="s">
        <v>7134</v>
      </c>
      <c r="AD84" t="s">
        <v>7135</v>
      </c>
    </row>
    <row r="85" spans="1:33" hidden="1" x14ac:dyDescent="0.25">
      <c r="A85">
        <v>24081</v>
      </c>
      <c r="B85" t="s">
        <v>32</v>
      </c>
      <c r="C85">
        <v>1</v>
      </c>
      <c r="D85" t="s">
        <v>10859</v>
      </c>
      <c r="E85" t="s">
        <v>70</v>
      </c>
      <c r="F85" t="s">
        <v>33</v>
      </c>
      <c r="G85" t="s">
        <v>71</v>
      </c>
      <c r="H85" t="s">
        <v>72</v>
      </c>
      <c r="I85" t="s">
        <v>10860</v>
      </c>
      <c r="J85" t="s">
        <v>10861</v>
      </c>
      <c r="K85" t="s">
        <v>36</v>
      </c>
      <c r="L85" t="s">
        <v>33</v>
      </c>
      <c r="M85">
        <v>20600704231</v>
      </c>
      <c r="N85" t="s">
        <v>1471</v>
      </c>
      <c r="O85" t="s">
        <v>76</v>
      </c>
      <c r="R85" t="s">
        <v>10862</v>
      </c>
      <c r="S85">
        <v>18.5</v>
      </c>
      <c r="T85" t="s">
        <v>40</v>
      </c>
      <c r="U85">
        <f>+IF(Tabla1[[#This Row],[MONEDA]]="PEN",Tabla1[[#This Row],[MONTO]],Tabla1[[#This Row],[MONTO]]*3.56)</f>
        <v>18.5</v>
      </c>
      <c r="V85" t="s">
        <v>190</v>
      </c>
      <c r="W85">
        <v>21787</v>
      </c>
      <c r="X85" t="s">
        <v>81</v>
      </c>
      <c r="Y85" t="s">
        <v>42</v>
      </c>
      <c r="Z85" t="s">
        <v>82</v>
      </c>
      <c r="AA85" t="s">
        <v>10863</v>
      </c>
      <c r="AC85" t="s">
        <v>10864</v>
      </c>
      <c r="AD85" t="s">
        <v>10865</v>
      </c>
    </row>
    <row r="86" spans="1:33" x14ac:dyDescent="0.25">
      <c r="A86">
        <v>27377</v>
      </c>
      <c r="B86" t="s">
        <v>32</v>
      </c>
      <c r="C86">
        <v>1</v>
      </c>
      <c r="D86" t="s">
        <v>8498</v>
      </c>
      <c r="E86" t="s">
        <v>70</v>
      </c>
      <c r="F86" t="s">
        <v>3256</v>
      </c>
      <c r="G86" t="s">
        <v>3257</v>
      </c>
      <c r="H86" t="s">
        <v>8233</v>
      </c>
      <c r="I86" t="s">
        <v>8499</v>
      </c>
      <c r="J86" t="s">
        <v>8500</v>
      </c>
      <c r="K86" t="s">
        <v>36</v>
      </c>
      <c r="L86" t="s">
        <v>33</v>
      </c>
      <c r="M86">
        <v>20481703744</v>
      </c>
      <c r="N86" t="s">
        <v>8501</v>
      </c>
      <c r="P86" t="s">
        <v>38</v>
      </c>
      <c r="Q86">
        <v>57071140407051</v>
      </c>
      <c r="R86" t="s">
        <v>8502</v>
      </c>
      <c r="S86">
        <v>219.48</v>
      </c>
      <c r="T86" t="s">
        <v>40</v>
      </c>
      <c r="U86">
        <f>+IF(Tabla1[[#This Row],[MONEDA]]="PEN",Tabla1[[#This Row],[MONTO]],Tabla1[[#This Row],[MONTO]]*3.56)</f>
        <v>219.48</v>
      </c>
      <c r="X86" t="s">
        <v>41</v>
      </c>
      <c r="Y86" t="s">
        <v>42</v>
      </c>
      <c r="Z86" t="s">
        <v>82</v>
      </c>
      <c r="AA86" t="s">
        <v>8503</v>
      </c>
      <c r="AB86" t="s">
        <v>8504</v>
      </c>
      <c r="AC86" t="s">
        <v>8505</v>
      </c>
      <c r="AD86" t="s">
        <v>8506</v>
      </c>
      <c r="AE86">
        <v>219.48</v>
      </c>
      <c r="AF86" t="s">
        <v>87</v>
      </c>
      <c r="AG86" t="s">
        <v>169</v>
      </c>
    </row>
    <row r="87" spans="1:33" hidden="1" x14ac:dyDescent="0.25">
      <c r="A87">
        <v>37800</v>
      </c>
      <c r="B87" t="s">
        <v>32</v>
      </c>
      <c r="C87">
        <v>2</v>
      </c>
      <c r="D87" t="s">
        <v>3116</v>
      </c>
      <c r="E87" t="s">
        <v>70</v>
      </c>
      <c r="F87" t="s">
        <v>33</v>
      </c>
      <c r="G87" t="s">
        <v>71</v>
      </c>
      <c r="H87" t="s">
        <v>35</v>
      </c>
      <c r="I87" t="s">
        <v>3117</v>
      </c>
      <c r="J87" t="s">
        <v>3118</v>
      </c>
      <c r="K87" t="s">
        <v>36</v>
      </c>
      <c r="L87" t="s">
        <v>33</v>
      </c>
      <c r="M87">
        <v>20608918281</v>
      </c>
      <c r="N87" t="s">
        <v>3119</v>
      </c>
      <c r="O87" t="s">
        <v>76</v>
      </c>
      <c r="P87" t="s">
        <v>38</v>
      </c>
      <c r="Q87" t="s">
        <v>3120</v>
      </c>
      <c r="R87" t="s">
        <v>3121</v>
      </c>
      <c r="S87">
        <v>2024</v>
      </c>
      <c r="T87" t="s">
        <v>40</v>
      </c>
      <c r="U87">
        <f>+IF(Tabla1[[#This Row],[MONEDA]]="PEN",Tabla1[[#This Row],[MONTO]],Tabla1[[#This Row],[MONTO]]*3.56)</f>
        <v>2024</v>
      </c>
      <c r="X87" t="s">
        <v>81</v>
      </c>
      <c r="Y87" t="s">
        <v>42</v>
      </c>
      <c r="Z87" t="s">
        <v>82</v>
      </c>
      <c r="AA87" t="s">
        <v>3122</v>
      </c>
      <c r="AB87" t="s">
        <v>3123</v>
      </c>
      <c r="AC87" t="s">
        <v>3124</v>
      </c>
      <c r="AD87" t="s">
        <v>3125</v>
      </c>
      <c r="AE87">
        <v>1963.28</v>
      </c>
      <c r="AF87" t="s">
        <v>87</v>
      </c>
      <c r="AG87" t="s">
        <v>169</v>
      </c>
    </row>
    <row r="88" spans="1:33" hidden="1" x14ac:dyDescent="0.25">
      <c r="A88">
        <v>36983</v>
      </c>
      <c r="B88" t="s">
        <v>32</v>
      </c>
      <c r="C88">
        <v>1</v>
      </c>
      <c r="D88" t="s">
        <v>3582</v>
      </c>
      <c r="E88" t="s">
        <v>70</v>
      </c>
      <c r="F88" t="s">
        <v>33</v>
      </c>
      <c r="G88" t="s">
        <v>71</v>
      </c>
      <c r="H88" t="s">
        <v>35</v>
      </c>
      <c r="I88" t="s">
        <v>3561</v>
      </c>
      <c r="J88" t="s">
        <v>3583</v>
      </c>
      <c r="K88" t="s">
        <v>36</v>
      </c>
      <c r="L88" t="s">
        <v>33</v>
      </c>
      <c r="M88">
        <v>20608918281</v>
      </c>
      <c r="N88" t="s">
        <v>3119</v>
      </c>
      <c r="O88" t="s">
        <v>76</v>
      </c>
      <c r="P88" t="s">
        <v>38</v>
      </c>
      <c r="Q88" t="s">
        <v>3120</v>
      </c>
      <c r="R88" t="s">
        <v>3584</v>
      </c>
      <c r="S88">
        <v>1495</v>
      </c>
      <c r="T88" t="s">
        <v>40</v>
      </c>
      <c r="U88">
        <f>+IF(Tabla1[[#This Row],[MONEDA]]="PEN",Tabla1[[#This Row],[MONTO]],Tabla1[[#This Row],[MONTO]]*3.56)</f>
        <v>1495</v>
      </c>
      <c r="X88" t="s">
        <v>81</v>
      </c>
      <c r="Y88" t="s">
        <v>42</v>
      </c>
      <c r="Z88" t="s">
        <v>82</v>
      </c>
      <c r="AA88" t="s">
        <v>3585</v>
      </c>
      <c r="AB88" t="s">
        <v>3586</v>
      </c>
      <c r="AC88" t="s">
        <v>3587</v>
      </c>
      <c r="AD88" t="s">
        <v>3588</v>
      </c>
      <c r="AE88">
        <v>1450.15</v>
      </c>
      <c r="AF88" t="s">
        <v>87</v>
      </c>
      <c r="AG88" t="s">
        <v>169</v>
      </c>
    </row>
    <row r="89" spans="1:33" hidden="1" x14ac:dyDescent="0.25">
      <c r="A89">
        <v>34649</v>
      </c>
      <c r="B89" t="s">
        <v>32</v>
      </c>
      <c r="C89">
        <v>1</v>
      </c>
      <c r="D89" t="s">
        <v>4221</v>
      </c>
      <c r="E89" t="s">
        <v>70</v>
      </c>
      <c r="F89" t="s">
        <v>33</v>
      </c>
      <c r="G89" t="s">
        <v>71</v>
      </c>
      <c r="H89" t="s">
        <v>72</v>
      </c>
      <c r="I89" t="s">
        <v>4222</v>
      </c>
      <c r="J89" t="s">
        <v>4223</v>
      </c>
      <c r="K89" t="s">
        <v>36</v>
      </c>
      <c r="L89" t="s">
        <v>33</v>
      </c>
      <c r="M89">
        <v>20608918281</v>
      </c>
      <c r="N89" t="s">
        <v>3119</v>
      </c>
      <c r="O89" t="s">
        <v>76</v>
      </c>
      <c r="P89" t="s">
        <v>38</v>
      </c>
      <c r="Q89" t="s">
        <v>3120</v>
      </c>
      <c r="R89" t="s">
        <v>4224</v>
      </c>
      <c r="S89">
        <v>4450</v>
      </c>
      <c r="T89" t="s">
        <v>40</v>
      </c>
      <c r="U89">
        <f>+IF(Tabla1[[#This Row],[MONEDA]]="PEN",Tabla1[[#This Row],[MONTO]],Tabla1[[#This Row],[MONTO]]*3.56)</f>
        <v>4450</v>
      </c>
      <c r="X89" t="s">
        <v>81</v>
      </c>
      <c r="Y89" t="s">
        <v>42</v>
      </c>
      <c r="Z89" t="s">
        <v>43</v>
      </c>
      <c r="AA89" t="s">
        <v>4225</v>
      </c>
      <c r="AB89" t="s">
        <v>4226</v>
      </c>
      <c r="AC89" t="s">
        <v>4227</v>
      </c>
      <c r="AD89" t="s">
        <v>4228</v>
      </c>
      <c r="AE89">
        <v>4316.5</v>
      </c>
      <c r="AF89" t="s">
        <v>87</v>
      </c>
      <c r="AG89" t="s">
        <v>169</v>
      </c>
    </row>
    <row r="90" spans="1:33" hidden="1" x14ac:dyDescent="0.25">
      <c r="A90">
        <v>33469</v>
      </c>
      <c r="B90" t="s">
        <v>32</v>
      </c>
      <c r="C90">
        <v>1</v>
      </c>
      <c r="D90" t="s">
        <v>4780</v>
      </c>
      <c r="E90" t="s">
        <v>70</v>
      </c>
      <c r="F90" t="s">
        <v>33</v>
      </c>
      <c r="G90" t="s">
        <v>71</v>
      </c>
      <c r="H90" t="s">
        <v>72</v>
      </c>
      <c r="I90" t="s">
        <v>4781</v>
      </c>
      <c r="J90" t="s">
        <v>4782</v>
      </c>
      <c r="K90" t="s">
        <v>36</v>
      </c>
      <c r="L90" t="s">
        <v>33</v>
      </c>
      <c r="M90">
        <v>20608918281</v>
      </c>
      <c r="N90" t="s">
        <v>3119</v>
      </c>
      <c r="O90" t="s">
        <v>76</v>
      </c>
      <c r="P90" t="s">
        <v>38</v>
      </c>
      <c r="Q90" t="s">
        <v>3120</v>
      </c>
      <c r="R90" t="s">
        <v>4783</v>
      </c>
      <c r="S90">
        <v>2310</v>
      </c>
      <c r="T90" t="s">
        <v>40</v>
      </c>
      <c r="U90">
        <f>+IF(Tabla1[[#This Row],[MONEDA]]="PEN",Tabla1[[#This Row],[MONTO]],Tabla1[[#This Row],[MONTO]]*3.56)</f>
        <v>2310</v>
      </c>
      <c r="X90" t="s">
        <v>81</v>
      </c>
      <c r="Y90" t="s">
        <v>42</v>
      </c>
      <c r="Z90" t="s">
        <v>43</v>
      </c>
      <c r="AA90" t="s">
        <v>4784</v>
      </c>
      <c r="AB90" t="s">
        <v>4785</v>
      </c>
      <c r="AC90" t="s">
        <v>4786</v>
      </c>
      <c r="AD90" t="s">
        <v>4787</v>
      </c>
      <c r="AE90">
        <v>2240.6999999999998</v>
      </c>
      <c r="AF90" t="s">
        <v>87</v>
      </c>
      <c r="AG90" t="s">
        <v>169</v>
      </c>
    </row>
    <row r="91" spans="1:33" hidden="1" x14ac:dyDescent="0.25">
      <c r="A91">
        <v>33684</v>
      </c>
      <c r="B91" t="s">
        <v>32</v>
      </c>
      <c r="C91">
        <v>1</v>
      </c>
      <c r="D91" t="s">
        <v>4827</v>
      </c>
      <c r="E91" t="s">
        <v>70</v>
      </c>
      <c r="F91" t="s">
        <v>33</v>
      </c>
      <c r="G91" t="s">
        <v>71</v>
      </c>
      <c r="H91" t="s">
        <v>35</v>
      </c>
      <c r="I91" t="s">
        <v>4828</v>
      </c>
      <c r="J91" t="s">
        <v>4829</v>
      </c>
      <c r="K91" t="s">
        <v>36</v>
      </c>
      <c r="L91" t="s">
        <v>33</v>
      </c>
      <c r="M91">
        <v>20608918281</v>
      </c>
      <c r="N91" t="s">
        <v>3119</v>
      </c>
      <c r="O91" t="s">
        <v>76</v>
      </c>
      <c r="P91" t="s">
        <v>38</v>
      </c>
      <c r="Q91" t="s">
        <v>3120</v>
      </c>
      <c r="R91" t="s">
        <v>4830</v>
      </c>
      <c r="S91">
        <v>1375</v>
      </c>
      <c r="T91" t="s">
        <v>40</v>
      </c>
      <c r="U91">
        <f>+IF(Tabla1[[#This Row],[MONEDA]]="PEN",Tabla1[[#This Row],[MONTO]],Tabla1[[#This Row],[MONTO]]*3.56)</f>
        <v>1375</v>
      </c>
      <c r="X91" t="s">
        <v>41</v>
      </c>
      <c r="Y91" t="s">
        <v>42</v>
      </c>
      <c r="Z91" t="s">
        <v>43</v>
      </c>
      <c r="AA91" t="s">
        <v>4831</v>
      </c>
      <c r="AB91" t="s">
        <v>4832</v>
      </c>
      <c r="AC91" t="s">
        <v>4833</v>
      </c>
      <c r="AD91" t="s">
        <v>4834</v>
      </c>
      <c r="AE91">
        <v>1333.75</v>
      </c>
      <c r="AF91" t="s">
        <v>87</v>
      </c>
      <c r="AG91" t="s">
        <v>169</v>
      </c>
    </row>
    <row r="92" spans="1:33" hidden="1" x14ac:dyDescent="0.25">
      <c r="A92">
        <v>33238</v>
      </c>
      <c r="B92" t="s">
        <v>32</v>
      </c>
      <c r="C92">
        <v>1</v>
      </c>
      <c r="D92" t="s">
        <v>5078</v>
      </c>
      <c r="E92" t="s">
        <v>70</v>
      </c>
      <c r="F92" t="s">
        <v>33</v>
      </c>
      <c r="G92" t="s">
        <v>71</v>
      </c>
      <c r="H92" t="s">
        <v>35</v>
      </c>
      <c r="I92" t="s">
        <v>5079</v>
      </c>
      <c r="J92" t="s">
        <v>5080</v>
      </c>
      <c r="K92" t="s">
        <v>36</v>
      </c>
      <c r="L92" t="s">
        <v>33</v>
      </c>
      <c r="M92">
        <v>20608918281</v>
      </c>
      <c r="N92" t="s">
        <v>3119</v>
      </c>
      <c r="O92" t="s">
        <v>76</v>
      </c>
      <c r="P92" t="s">
        <v>38</v>
      </c>
      <c r="Q92" t="s">
        <v>3120</v>
      </c>
      <c r="R92" t="s">
        <v>5081</v>
      </c>
      <c r="S92">
        <v>1400</v>
      </c>
      <c r="T92" t="s">
        <v>40</v>
      </c>
      <c r="U92">
        <f>+IF(Tabla1[[#This Row],[MONEDA]]="PEN",Tabla1[[#This Row],[MONTO]],Tabla1[[#This Row],[MONTO]]*3.56)</f>
        <v>1400</v>
      </c>
      <c r="X92" t="s">
        <v>81</v>
      </c>
      <c r="Y92" t="s">
        <v>42</v>
      </c>
      <c r="Z92" t="s">
        <v>43</v>
      </c>
      <c r="AA92" t="s">
        <v>5082</v>
      </c>
      <c r="AB92" t="s">
        <v>5083</v>
      </c>
      <c r="AC92" t="s">
        <v>5084</v>
      </c>
      <c r="AD92" t="s">
        <v>5085</v>
      </c>
      <c r="AE92">
        <v>1358</v>
      </c>
      <c r="AF92" t="s">
        <v>87</v>
      </c>
      <c r="AG92" t="s">
        <v>169</v>
      </c>
    </row>
    <row r="93" spans="1:33" hidden="1" x14ac:dyDescent="0.25">
      <c r="A93">
        <v>29978</v>
      </c>
      <c r="B93" t="s">
        <v>32</v>
      </c>
      <c r="C93">
        <v>2</v>
      </c>
      <c r="D93" t="s">
        <v>6402</v>
      </c>
      <c r="E93" t="s">
        <v>70</v>
      </c>
      <c r="F93" t="s">
        <v>33</v>
      </c>
      <c r="G93" t="s">
        <v>71</v>
      </c>
      <c r="H93" t="s">
        <v>72</v>
      </c>
      <c r="I93" t="s">
        <v>6379</v>
      </c>
      <c r="J93" t="s">
        <v>6403</v>
      </c>
      <c r="K93" t="s">
        <v>36</v>
      </c>
      <c r="L93" t="s">
        <v>33</v>
      </c>
      <c r="M93">
        <v>20608918281</v>
      </c>
      <c r="N93" t="s">
        <v>3119</v>
      </c>
      <c r="O93" t="s">
        <v>76</v>
      </c>
      <c r="P93" t="s">
        <v>38</v>
      </c>
      <c r="Q93" t="s">
        <v>3120</v>
      </c>
      <c r="R93" t="s">
        <v>6404</v>
      </c>
      <c r="S93">
        <v>2967</v>
      </c>
      <c r="T93" t="s">
        <v>40</v>
      </c>
      <c r="U93">
        <f>+IF(Tabla1[[#This Row],[MONEDA]]="PEN",Tabla1[[#This Row],[MONTO]],Tabla1[[#This Row],[MONTO]]*3.56)</f>
        <v>2967</v>
      </c>
      <c r="X93" t="s">
        <v>81</v>
      </c>
      <c r="Y93" t="s">
        <v>42</v>
      </c>
      <c r="Z93" t="s">
        <v>43</v>
      </c>
      <c r="AA93" t="s">
        <v>6405</v>
      </c>
      <c r="AB93" t="s">
        <v>6406</v>
      </c>
      <c r="AC93" t="s">
        <v>6407</v>
      </c>
      <c r="AD93" t="s">
        <v>6408</v>
      </c>
      <c r="AE93">
        <v>2877.99</v>
      </c>
      <c r="AF93" t="s">
        <v>87</v>
      </c>
      <c r="AG93" t="s">
        <v>169</v>
      </c>
    </row>
    <row r="94" spans="1:33" x14ac:dyDescent="0.25">
      <c r="A94">
        <v>27538</v>
      </c>
      <c r="B94" t="s">
        <v>32</v>
      </c>
      <c r="C94">
        <v>1</v>
      </c>
      <c r="D94" t="s">
        <v>8302</v>
      </c>
      <c r="E94" t="s">
        <v>70</v>
      </c>
      <c r="F94" t="s">
        <v>5328</v>
      </c>
      <c r="G94" t="s">
        <v>5329</v>
      </c>
      <c r="H94" t="s">
        <v>72</v>
      </c>
      <c r="I94" t="s">
        <v>8258</v>
      </c>
      <c r="J94" t="s">
        <v>8303</v>
      </c>
      <c r="K94" t="s">
        <v>36</v>
      </c>
      <c r="L94" t="s">
        <v>33</v>
      </c>
      <c r="M94">
        <v>10010467719</v>
      </c>
      <c r="N94" t="s">
        <v>8304</v>
      </c>
      <c r="O94" t="s">
        <v>6159</v>
      </c>
      <c r="P94" t="s">
        <v>38</v>
      </c>
      <c r="Q94">
        <v>43095074128085</v>
      </c>
      <c r="R94" t="s">
        <v>8305</v>
      </c>
      <c r="S94">
        <v>140</v>
      </c>
      <c r="T94" t="s">
        <v>40</v>
      </c>
      <c r="U94">
        <f>+IF(Tabla1[[#This Row],[MONEDA]]="PEN",Tabla1[[#This Row],[MONTO]],Tabla1[[#This Row],[MONTO]]*3.56)</f>
        <v>140</v>
      </c>
      <c r="X94" t="s">
        <v>81</v>
      </c>
      <c r="Y94" t="s">
        <v>42</v>
      </c>
      <c r="Z94" t="s">
        <v>43</v>
      </c>
      <c r="AA94" t="s">
        <v>8306</v>
      </c>
      <c r="AB94" t="s">
        <v>8307</v>
      </c>
      <c r="AC94" t="s">
        <v>8308</v>
      </c>
      <c r="AD94" t="s">
        <v>8309</v>
      </c>
      <c r="AE94">
        <v>140</v>
      </c>
      <c r="AF94" t="s">
        <v>87</v>
      </c>
      <c r="AG94" t="s">
        <v>169</v>
      </c>
    </row>
    <row r="95" spans="1:33" hidden="1" x14ac:dyDescent="0.25">
      <c r="A95">
        <v>27038</v>
      </c>
      <c r="B95" t="s">
        <v>32</v>
      </c>
      <c r="C95">
        <v>2</v>
      </c>
      <c r="D95" t="s">
        <v>8725</v>
      </c>
      <c r="E95" t="s">
        <v>70</v>
      </c>
      <c r="F95" t="s">
        <v>33</v>
      </c>
      <c r="G95" t="s">
        <v>71</v>
      </c>
      <c r="H95" t="s">
        <v>72</v>
      </c>
      <c r="I95" t="s">
        <v>8711</v>
      </c>
      <c r="J95" t="s">
        <v>8726</v>
      </c>
      <c r="K95" t="s">
        <v>36</v>
      </c>
      <c r="L95" t="s">
        <v>33</v>
      </c>
      <c r="M95">
        <v>10010467719</v>
      </c>
      <c r="N95" t="s">
        <v>8304</v>
      </c>
      <c r="O95" t="s">
        <v>76</v>
      </c>
      <c r="P95" t="s">
        <v>38</v>
      </c>
      <c r="Q95">
        <v>43095074128085</v>
      </c>
      <c r="R95" t="s">
        <v>8727</v>
      </c>
      <c r="S95">
        <v>380</v>
      </c>
      <c r="T95" t="s">
        <v>40</v>
      </c>
      <c r="U95">
        <f>+IF(Tabla1[[#This Row],[MONEDA]]="PEN",Tabla1[[#This Row],[MONTO]],Tabla1[[#This Row],[MONTO]]*3.56)</f>
        <v>380</v>
      </c>
      <c r="X95" t="s">
        <v>81</v>
      </c>
      <c r="Y95" t="s">
        <v>42</v>
      </c>
      <c r="Z95" t="s">
        <v>82</v>
      </c>
      <c r="AA95" t="s">
        <v>8728</v>
      </c>
      <c r="AB95" t="s">
        <v>8729</v>
      </c>
      <c r="AC95" t="s">
        <v>8730</v>
      </c>
      <c r="AD95" t="s">
        <v>8731</v>
      </c>
      <c r="AE95">
        <v>380</v>
      </c>
      <c r="AF95" t="s">
        <v>87</v>
      </c>
      <c r="AG95" t="s">
        <v>169</v>
      </c>
    </row>
    <row r="96" spans="1:33" hidden="1" x14ac:dyDescent="0.25">
      <c r="A96">
        <v>25416</v>
      </c>
      <c r="B96" t="s">
        <v>32</v>
      </c>
      <c r="C96">
        <v>1</v>
      </c>
      <c r="D96" t="s">
        <v>9779</v>
      </c>
      <c r="E96" t="s">
        <v>70</v>
      </c>
      <c r="F96" t="s">
        <v>33</v>
      </c>
      <c r="G96" t="s">
        <v>71</v>
      </c>
      <c r="H96" t="s">
        <v>72</v>
      </c>
      <c r="I96" t="s">
        <v>9780</v>
      </c>
      <c r="J96" t="s">
        <v>9781</v>
      </c>
      <c r="K96" t="s">
        <v>36</v>
      </c>
      <c r="L96" t="s">
        <v>33</v>
      </c>
      <c r="M96">
        <v>10476522094</v>
      </c>
      <c r="N96" t="s">
        <v>9782</v>
      </c>
      <c r="O96" t="s">
        <v>76</v>
      </c>
      <c r="R96" t="s">
        <v>9783</v>
      </c>
      <c r="S96">
        <v>50</v>
      </c>
      <c r="T96" t="s">
        <v>40</v>
      </c>
      <c r="U96">
        <f>+IF(Tabla1[[#This Row],[MONEDA]]="PEN",Tabla1[[#This Row],[MONTO]],Tabla1[[#This Row],[MONTO]]*3.56)</f>
        <v>50</v>
      </c>
      <c r="V96" t="s">
        <v>190</v>
      </c>
      <c r="W96">
        <v>25256</v>
      </c>
      <c r="X96" t="s">
        <v>81</v>
      </c>
      <c r="Y96" t="s">
        <v>42</v>
      </c>
      <c r="Z96" t="s">
        <v>82</v>
      </c>
      <c r="AA96" t="s">
        <v>9784</v>
      </c>
      <c r="AD96" t="s">
        <v>9785</v>
      </c>
    </row>
    <row r="97" spans="1:33" hidden="1" x14ac:dyDescent="0.25">
      <c r="A97">
        <v>46035</v>
      </c>
      <c r="B97" t="s">
        <v>32</v>
      </c>
      <c r="C97">
        <v>1</v>
      </c>
      <c r="D97" t="s">
        <v>69</v>
      </c>
      <c r="E97" t="s">
        <v>70</v>
      </c>
      <c r="F97" t="s">
        <v>33</v>
      </c>
      <c r="G97" t="s">
        <v>71</v>
      </c>
      <c r="H97" t="s">
        <v>72</v>
      </c>
      <c r="I97" t="s">
        <v>73</v>
      </c>
      <c r="J97" t="s">
        <v>74</v>
      </c>
      <c r="K97" t="s">
        <v>36</v>
      </c>
      <c r="L97" t="s">
        <v>33</v>
      </c>
      <c r="M97">
        <v>20608272730</v>
      </c>
      <c r="N97" t="s">
        <v>75</v>
      </c>
      <c r="O97" t="s">
        <v>76</v>
      </c>
      <c r="P97" t="s">
        <v>77</v>
      </c>
      <c r="Q97" t="s">
        <v>78</v>
      </c>
      <c r="R97" t="s">
        <v>79</v>
      </c>
      <c r="S97">
        <v>177</v>
      </c>
      <c r="T97" t="s">
        <v>80</v>
      </c>
      <c r="U97">
        <f>+IF(Tabla1[[#This Row],[MONEDA]]="PEN",Tabla1[[#This Row],[MONTO]],Tabla1[[#This Row],[MONTO]]*3.56)</f>
        <v>630.12</v>
      </c>
      <c r="X97" t="s">
        <v>81</v>
      </c>
      <c r="Y97" t="s">
        <v>42</v>
      </c>
      <c r="Z97" t="s">
        <v>82</v>
      </c>
      <c r="AA97" t="s">
        <v>83</v>
      </c>
      <c r="AB97" t="s">
        <v>84</v>
      </c>
      <c r="AC97" t="s">
        <v>85</v>
      </c>
      <c r="AD97" t="s">
        <v>86</v>
      </c>
      <c r="AE97">
        <v>177</v>
      </c>
      <c r="AF97" t="s">
        <v>87</v>
      </c>
      <c r="AG97" t="s">
        <v>88</v>
      </c>
    </row>
    <row r="98" spans="1:33" hidden="1" x14ac:dyDescent="0.25">
      <c r="A98">
        <v>44895</v>
      </c>
      <c r="B98" t="s">
        <v>32</v>
      </c>
      <c r="C98">
        <v>2</v>
      </c>
      <c r="D98" t="s">
        <v>443</v>
      </c>
      <c r="E98" t="s">
        <v>70</v>
      </c>
      <c r="F98" t="s">
        <v>33</v>
      </c>
      <c r="G98" t="s">
        <v>71</v>
      </c>
      <c r="H98" t="s">
        <v>72</v>
      </c>
      <c r="I98" t="s">
        <v>437</v>
      </c>
      <c r="J98" t="s">
        <v>444</v>
      </c>
      <c r="K98" t="s">
        <v>36</v>
      </c>
      <c r="L98" t="s">
        <v>33</v>
      </c>
      <c r="M98">
        <v>20524021316</v>
      </c>
      <c r="N98" t="s">
        <v>445</v>
      </c>
      <c r="O98" t="s">
        <v>76</v>
      </c>
      <c r="P98" t="s">
        <v>38</v>
      </c>
      <c r="Q98" t="s">
        <v>446</v>
      </c>
      <c r="R98" t="s">
        <v>447</v>
      </c>
      <c r="S98">
        <v>4366</v>
      </c>
      <c r="T98" t="s">
        <v>40</v>
      </c>
      <c r="U98">
        <f>+IF(Tabla1[[#This Row],[MONEDA]]="PEN",Tabla1[[#This Row],[MONTO]],Tabla1[[#This Row],[MONTO]]*3.56)</f>
        <v>4366</v>
      </c>
      <c r="X98" t="s">
        <v>81</v>
      </c>
      <c r="Y98" t="s">
        <v>51</v>
      </c>
      <c r="Z98" t="s">
        <v>43</v>
      </c>
      <c r="AA98" t="s">
        <v>448</v>
      </c>
      <c r="AB98" t="s">
        <v>449</v>
      </c>
      <c r="AC98" t="s">
        <v>450</v>
      </c>
      <c r="AE98">
        <v>4235.0200000000004</v>
      </c>
      <c r="AF98" t="s">
        <v>87</v>
      </c>
      <c r="AG98" t="s">
        <v>169</v>
      </c>
    </row>
    <row r="99" spans="1:33" hidden="1" x14ac:dyDescent="0.25">
      <c r="A99">
        <v>41419</v>
      </c>
      <c r="B99" t="s">
        <v>32</v>
      </c>
      <c r="C99">
        <v>1</v>
      </c>
      <c r="D99" t="s">
        <v>1401</v>
      </c>
      <c r="E99" t="s">
        <v>70</v>
      </c>
      <c r="F99" t="s">
        <v>33</v>
      </c>
      <c r="G99" t="s">
        <v>71</v>
      </c>
      <c r="H99" t="s">
        <v>35</v>
      </c>
      <c r="I99" t="s">
        <v>1380</v>
      </c>
      <c r="J99" t="s">
        <v>1402</v>
      </c>
      <c r="K99" t="s">
        <v>36</v>
      </c>
      <c r="L99" t="s">
        <v>33</v>
      </c>
      <c r="M99">
        <v>10440698030</v>
      </c>
      <c r="N99" t="s">
        <v>1403</v>
      </c>
      <c r="O99" t="s">
        <v>76</v>
      </c>
      <c r="P99" t="s">
        <v>38</v>
      </c>
      <c r="Q99">
        <v>43005479316075</v>
      </c>
      <c r="R99" t="s">
        <v>1404</v>
      </c>
      <c r="S99">
        <v>143</v>
      </c>
      <c r="T99" t="s">
        <v>40</v>
      </c>
      <c r="U99">
        <f>+IF(Tabla1[[#This Row],[MONEDA]]="PEN",Tabla1[[#This Row],[MONTO]],Tabla1[[#This Row],[MONTO]]*3.56)</f>
        <v>143</v>
      </c>
      <c r="X99" t="s">
        <v>81</v>
      </c>
      <c r="Y99" t="s">
        <v>42</v>
      </c>
      <c r="Z99" t="s">
        <v>82</v>
      </c>
      <c r="AA99" t="s">
        <v>1405</v>
      </c>
      <c r="AB99" t="s">
        <v>1406</v>
      </c>
      <c r="AC99" t="s">
        <v>1407</v>
      </c>
      <c r="AD99" t="s">
        <v>1408</v>
      </c>
      <c r="AE99">
        <v>143</v>
      </c>
      <c r="AF99" t="s">
        <v>87</v>
      </c>
      <c r="AG99" t="s">
        <v>169</v>
      </c>
    </row>
    <row r="100" spans="1:33" x14ac:dyDescent="0.25">
      <c r="A100">
        <v>21438</v>
      </c>
      <c r="B100" t="s">
        <v>32</v>
      </c>
      <c r="C100">
        <v>1</v>
      </c>
      <c r="D100" t="s">
        <v>12478</v>
      </c>
      <c r="E100" t="s">
        <v>70</v>
      </c>
      <c r="F100" t="s">
        <v>3256</v>
      </c>
      <c r="G100" t="s">
        <v>3257</v>
      </c>
      <c r="H100" t="s">
        <v>8233</v>
      </c>
      <c r="I100" t="s">
        <v>12479</v>
      </c>
      <c r="J100" t="s">
        <v>12480</v>
      </c>
      <c r="K100" t="s">
        <v>36</v>
      </c>
      <c r="L100" t="s">
        <v>33</v>
      </c>
      <c r="M100">
        <v>20561129283</v>
      </c>
      <c r="N100" t="s">
        <v>12481</v>
      </c>
      <c r="P100" t="s">
        <v>38</v>
      </c>
      <c r="Q100" t="s">
        <v>12482</v>
      </c>
      <c r="R100" t="s">
        <v>12483</v>
      </c>
      <c r="S100">
        <v>212.4</v>
      </c>
      <c r="T100" t="s">
        <v>40</v>
      </c>
      <c r="U100">
        <f>+IF(Tabla1[[#This Row],[MONEDA]]="PEN",Tabla1[[#This Row],[MONTO]],Tabla1[[#This Row],[MONTO]]*3.56)</f>
        <v>212.4</v>
      </c>
      <c r="X100" t="s">
        <v>41</v>
      </c>
      <c r="Y100" t="s">
        <v>42</v>
      </c>
      <c r="Z100" t="s">
        <v>82</v>
      </c>
      <c r="AA100" t="s">
        <v>12484</v>
      </c>
      <c r="AB100" t="s">
        <v>12485</v>
      </c>
      <c r="AC100" t="s">
        <v>12486</v>
      </c>
      <c r="AD100" t="s">
        <v>12487</v>
      </c>
      <c r="AE100">
        <v>212.4</v>
      </c>
      <c r="AF100" t="s">
        <v>87</v>
      </c>
      <c r="AG100" t="s">
        <v>169</v>
      </c>
    </row>
    <row r="101" spans="1:33" x14ac:dyDescent="0.25">
      <c r="A101">
        <v>21295</v>
      </c>
      <c r="B101" t="s">
        <v>32</v>
      </c>
      <c r="C101">
        <v>1</v>
      </c>
      <c r="D101" t="s">
        <v>12560</v>
      </c>
      <c r="E101" t="s">
        <v>70</v>
      </c>
      <c r="F101" t="s">
        <v>3256</v>
      </c>
      <c r="G101" t="s">
        <v>3257</v>
      </c>
      <c r="H101" t="s">
        <v>8233</v>
      </c>
      <c r="I101" t="s">
        <v>12546</v>
      </c>
      <c r="J101" t="s">
        <v>12561</v>
      </c>
      <c r="K101" t="s">
        <v>36</v>
      </c>
      <c r="L101" t="s">
        <v>33</v>
      </c>
      <c r="M101">
        <v>20479548511</v>
      </c>
      <c r="N101" t="s">
        <v>12562</v>
      </c>
      <c r="P101" t="s">
        <v>38</v>
      </c>
      <c r="Q101" t="s">
        <v>12563</v>
      </c>
      <c r="R101" t="s">
        <v>12564</v>
      </c>
      <c r="S101">
        <v>810</v>
      </c>
      <c r="T101" t="s">
        <v>40</v>
      </c>
      <c r="U101">
        <f>+IF(Tabla1[[#This Row],[MONEDA]]="PEN",Tabla1[[#This Row],[MONTO]],Tabla1[[#This Row],[MONTO]]*3.56)</f>
        <v>810</v>
      </c>
      <c r="X101" t="s">
        <v>41</v>
      </c>
      <c r="Y101" t="s">
        <v>42</v>
      </c>
      <c r="Z101" t="s">
        <v>82</v>
      </c>
      <c r="AA101" t="s">
        <v>12565</v>
      </c>
      <c r="AB101" t="s">
        <v>12566</v>
      </c>
      <c r="AC101" t="s">
        <v>12567</v>
      </c>
      <c r="AD101" t="s">
        <v>12568</v>
      </c>
      <c r="AE101">
        <v>810</v>
      </c>
      <c r="AF101" t="s">
        <v>87</v>
      </c>
      <c r="AG101" t="s">
        <v>169</v>
      </c>
    </row>
    <row r="102" spans="1:33" hidden="1" x14ac:dyDescent="0.25">
      <c r="A102">
        <v>36647</v>
      </c>
      <c r="B102" t="s">
        <v>32</v>
      </c>
      <c r="C102">
        <v>1</v>
      </c>
      <c r="D102" t="s">
        <v>3865</v>
      </c>
      <c r="E102" t="s">
        <v>70</v>
      </c>
      <c r="F102" t="s">
        <v>33</v>
      </c>
      <c r="G102" t="s">
        <v>71</v>
      </c>
      <c r="H102" t="s">
        <v>35</v>
      </c>
      <c r="I102" t="s">
        <v>3865</v>
      </c>
      <c r="J102" t="s">
        <v>3871</v>
      </c>
      <c r="K102" t="s">
        <v>36</v>
      </c>
      <c r="L102" t="s">
        <v>33</v>
      </c>
      <c r="M102">
        <v>10418186408</v>
      </c>
      <c r="N102" t="s">
        <v>3872</v>
      </c>
      <c r="O102" t="s">
        <v>76</v>
      </c>
      <c r="R102" t="s">
        <v>3873</v>
      </c>
      <c r="S102">
        <v>150</v>
      </c>
      <c r="T102" t="s">
        <v>40</v>
      </c>
      <c r="U102">
        <f>+IF(Tabla1[[#This Row],[MONEDA]]="PEN",Tabla1[[#This Row],[MONTO]],Tabla1[[#This Row],[MONTO]]*3.56)</f>
        <v>150</v>
      </c>
      <c r="V102" t="s">
        <v>190</v>
      </c>
      <c r="W102">
        <v>33331</v>
      </c>
      <c r="X102" t="s">
        <v>41</v>
      </c>
      <c r="Y102" t="s">
        <v>42</v>
      </c>
      <c r="Z102" t="s">
        <v>43</v>
      </c>
      <c r="AA102" t="s">
        <v>3874</v>
      </c>
      <c r="AC102" t="s">
        <v>3875</v>
      </c>
      <c r="AD102" t="s">
        <v>3876</v>
      </c>
    </row>
    <row r="103" spans="1:33" hidden="1" x14ac:dyDescent="0.25">
      <c r="A103">
        <v>33305</v>
      </c>
      <c r="B103" t="s">
        <v>32</v>
      </c>
      <c r="C103">
        <v>1</v>
      </c>
      <c r="D103" t="s">
        <v>5041</v>
      </c>
      <c r="E103" t="s">
        <v>70</v>
      </c>
      <c r="F103" t="s">
        <v>33</v>
      </c>
      <c r="G103" t="s">
        <v>71</v>
      </c>
      <c r="H103" t="s">
        <v>35</v>
      </c>
      <c r="I103" t="s">
        <v>5041</v>
      </c>
      <c r="J103" t="s">
        <v>5042</v>
      </c>
      <c r="K103" t="s">
        <v>36</v>
      </c>
      <c r="L103" t="s">
        <v>33</v>
      </c>
      <c r="M103">
        <v>10418186408</v>
      </c>
      <c r="N103" t="s">
        <v>3872</v>
      </c>
      <c r="O103" t="s">
        <v>76</v>
      </c>
      <c r="R103" t="s">
        <v>5043</v>
      </c>
      <c r="S103">
        <v>60</v>
      </c>
      <c r="T103" t="s">
        <v>40</v>
      </c>
      <c r="U103">
        <f>+IF(Tabla1[[#This Row],[MONEDA]]="PEN",Tabla1[[#This Row],[MONTO]],Tabla1[[#This Row],[MONTO]]*3.56)</f>
        <v>60</v>
      </c>
      <c r="V103" t="s">
        <v>190</v>
      </c>
      <c r="W103">
        <v>32138</v>
      </c>
      <c r="X103" t="s">
        <v>81</v>
      </c>
      <c r="Y103" t="s">
        <v>42</v>
      </c>
      <c r="Z103" t="s">
        <v>43</v>
      </c>
      <c r="AA103" t="s">
        <v>5044</v>
      </c>
      <c r="AC103" t="s">
        <v>5045</v>
      </c>
      <c r="AD103" t="s">
        <v>5046</v>
      </c>
    </row>
    <row r="104" spans="1:33" hidden="1" x14ac:dyDescent="0.25">
      <c r="A104">
        <v>33303</v>
      </c>
      <c r="B104" t="s">
        <v>32</v>
      </c>
      <c r="C104">
        <v>1</v>
      </c>
      <c r="D104" t="s">
        <v>5053</v>
      </c>
      <c r="E104" t="s">
        <v>70</v>
      </c>
      <c r="F104" t="s">
        <v>33</v>
      </c>
      <c r="G104" t="s">
        <v>71</v>
      </c>
      <c r="H104" t="s">
        <v>35</v>
      </c>
      <c r="I104" t="s">
        <v>5053</v>
      </c>
      <c r="J104" t="s">
        <v>5054</v>
      </c>
      <c r="K104" t="s">
        <v>36</v>
      </c>
      <c r="L104" t="s">
        <v>33</v>
      </c>
      <c r="M104">
        <v>10418186408</v>
      </c>
      <c r="N104" t="s">
        <v>3872</v>
      </c>
      <c r="O104" t="s">
        <v>76</v>
      </c>
      <c r="R104" t="s">
        <v>5055</v>
      </c>
      <c r="S104">
        <v>150</v>
      </c>
      <c r="T104" t="s">
        <v>40</v>
      </c>
      <c r="U104">
        <f>+IF(Tabla1[[#This Row],[MONEDA]]="PEN",Tabla1[[#This Row],[MONTO]],Tabla1[[#This Row],[MONTO]]*3.56)</f>
        <v>150</v>
      </c>
      <c r="V104" t="s">
        <v>190</v>
      </c>
      <c r="W104">
        <v>32138</v>
      </c>
      <c r="X104" t="s">
        <v>81</v>
      </c>
      <c r="Y104" t="s">
        <v>42</v>
      </c>
      <c r="Z104" t="s">
        <v>43</v>
      </c>
      <c r="AA104" t="s">
        <v>5056</v>
      </c>
      <c r="AC104" t="s">
        <v>5057</v>
      </c>
      <c r="AD104" t="s">
        <v>5058</v>
      </c>
    </row>
    <row r="105" spans="1:33" hidden="1" x14ac:dyDescent="0.25">
      <c r="A105">
        <v>31648</v>
      </c>
      <c r="B105" t="s">
        <v>32</v>
      </c>
      <c r="C105">
        <v>1</v>
      </c>
      <c r="D105" t="s">
        <v>5691</v>
      </c>
      <c r="E105" t="s">
        <v>70</v>
      </c>
      <c r="F105" t="s">
        <v>33</v>
      </c>
      <c r="G105" t="s">
        <v>71</v>
      </c>
      <c r="H105" t="s">
        <v>35</v>
      </c>
      <c r="I105" t="s">
        <v>5692</v>
      </c>
      <c r="J105" t="s">
        <v>5693</v>
      </c>
      <c r="K105" t="s">
        <v>36</v>
      </c>
      <c r="L105" t="s">
        <v>33</v>
      </c>
      <c r="M105">
        <v>10418186408</v>
      </c>
      <c r="N105" t="s">
        <v>3872</v>
      </c>
      <c r="O105" t="s">
        <v>76</v>
      </c>
      <c r="P105" t="s">
        <v>38</v>
      </c>
      <c r="Q105" t="s">
        <v>5694</v>
      </c>
      <c r="R105" t="s">
        <v>5695</v>
      </c>
      <c r="S105">
        <v>550</v>
      </c>
      <c r="T105" t="s">
        <v>40</v>
      </c>
      <c r="U105">
        <f>+IF(Tabla1[[#This Row],[MONEDA]]="PEN",Tabla1[[#This Row],[MONTO]],Tabla1[[#This Row],[MONTO]]*3.56)</f>
        <v>550</v>
      </c>
      <c r="X105" t="s">
        <v>81</v>
      </c>
      <c r="Y105" t="s">
        <v>42</v>
      </c>
      <c r="Z105" t="s">
        <v>43</v>
      </c>
      <c r="AA105" t="s">
        <v>5696</v>
      </c>
      <c r="AB105" t="s">
        <v>5697</v>
      </c>
      <c r="AC105" t="s">
        <v>5698</v>
      </c>
      <c r="AD105" t="s">
        <v>5699</v>
      </c>
      <c r="AE105">
        <v>550</v>
      </c>
      <c r="AF105" t="s">
        <v>87</v>
      </c>
      <c r="AG105" t="s">
        <v>169</v>
      </c>
    </row>
    <row r="106" spans="1:33" x14ac:dyDescent="0.25">
      <c r="A106">
        <v>27687</v>
      </c>
      <c r="B106" t="s">
        <v>32</v>
      </c>
      <c r="C106">
        <v>1</v>
      </c>
      <c r="D106" t="s">
        <v>8175</v>
      </c>
      <c r="E106" t="s">
        <v>70</v>
      </c>
      <c r="F106" t="s">
        <v>5328</v>
      </c>
      <c r="G106" t="s">
        <v>5329</v>
      </c>
      <c r="H106" t="s">
        <v>72</v>
      </c>
      <c r="I106" t="s">
        <v>8168</v>
      </c>
      <c r="J106" t="s">
        <v>8176</v>
      </c>
      <c r="K106" t="s">
        <v>36</v>
      </c>
      <c r="L106" t="s">
        <v>33</v>
      </c>
      <c r="M106">
        <v>10047442074</v>
      </c>
      <c r="N106" t="s">
        <v>8177</v>
      </c>
      <c r="O106" t="s">
        <v>6159</v>
      </c>
      <c r="P106" t="s">
        <v>38</v>
      </c>
      <c r="Q106">
        <v>43040035873088</v>
      </c>
      <c r="R106" t="s">
        <v>8178</v>
      </c>
      <c r="S106">
        <v>2400</v>
      </c>
      <c r="T106" t="s">
        <v>40</v>
      </c>
      <c r="U106">
        <f>+IF(Tabla1[[#This Row],[MONEDA]]="PEN",Tabla1[[#This Row],[MONTO]],Tabla1[[#This Row],[MONTO]]*3.56)</f>
        <v>2400</v>
      </c>
      <c r="X106" t="s">
        <v>81</v>
      </c>
      <c r="Y106" t="s">
        <v>51</v>
      </c>
      <c r="Z106" t="s">
        <v>43</v>
      </c>
      <c r="AA106" t="s">
        <v>8179</v>
      </c>
      <c r="AB106" t="s">
        <v>8180</v>
      </c>
      <c r="AC106" t="s">
        <v>8181</v>
      </c>
      <c r="AE106">
        <v>2400</v>
      </c>
      <c r="AF106" t="s">
        <v>87</v>
      </c>
      <c r="AG106" t="s">
        <v>169</v>
      </c>
    </row>
    <row r="107" spans="1:33" hidden="1" x14ac:dyDescent="0.25">
      <c r="A107">
        <v>24863</v>
      </c>
      <c r="B107" t="s">
        <v>32</v>
      </c>
      <c r="C107">
        <v>1</v>
      </c>
      <c r="D107" t="s">
        <v>10125</v>
      </c>
      <c r="E107" t="s">
        <v>70</v>
      </c>
      <c r="F107" t="s">
        <v>33</v>
      </c>
      <c r="G107" t="s">
        <v>71</v>
      </c>
      <c r="H107" t="s">
        <v>72</v>
      </c>
      <c r="I107" t="s">
        <v>10076</v>
      </c>
      <c r="J107" t="s">
        <v>10126</v>
      </c>
      <c r="K107" t="s">
        <v>36</v>
      </c>
      <c r="L107" t="s">
        <v>33</v>
      </c>
      <c r="M107">
        <v>10047442074</v>
      </c>
      <c r="N107" t="s">
        <v>8177</v>
      </c>
      <c r="O107" t="s">
        <v>76</v>
      </c>
      <c r="P107" t="s">
        <v>38</v>
      </c>
      <c r="Q107">
        <v>43040035873088</v>
      </c>
      <c r="R107" t="s">
        <v>10127</v>
      </c>
      <c r="S107">
        <v>2400</v>
      </c>
      <c r="T107" t="s">
        <v>40</v>
      </c>
      <c r="U107">
        <f>+IF(Tabla1[[#This Row],[MONEDA]]="PEN",Tabla1[[#This Row],[MONTO]],Tabla1[[#This Row],[MONTO]]*3.56)</f>
        <v>2400</v>
      </c>
      <c r="X107" t="s">
        <v>81</v>
      </c>
      <c r="Y107" t="s">
        <v>42</v>
      </c>
      <c r="Z107" t="s">
        <v>43</v>
      </c>
      <c r="AA107" t="s">
        <v>10128</v>
      </c>
      <c r="AB107" t="s">
        <v>10129</v>
      </c>
      <c r="AC107" t="s">
        <v>10130</v>
      </c>
      <c r="AD107" t="s">
        <v>10131</v>
      </c>
      <c r="AE107">
        <v>2400</v>
      </c>
      <c r="AF107" t="s">
        <v>87</v>
      </c>
      <c r="AG107" t="s">
        <v>169</v>
      </c>
    </row>
    <row r="108" spans="1:33" hidden="1" x14ac:dyDescent="0.25">
      <c r="A108">
        <v>25383</v>
      </c>
      <c r="B108" t="s">
        <v>32</v>
      </c>
      <c r="C108">
        <v>1</v>
      </c>
      <c r="D108" t="s">
        <v>9840</v>
      </c>
      <c r="E108" t="s">
        <v>70</v>
      </c>
      <c r="F108" t="s">
        <v>33</v>
      </c>
      <c r="G108" t="s">
        <v>71</v>
      </c>
      <c r="H108" t="s">
        <v>72</v>
      </c>
      <c r="I108" t="s">
        <v>9841</v>
      </c>
      <c r="J108" t="s">
        <v>9842</v>
      </c>
      <c r="K108" t="s">
        <v>36</v>
      </c>
      <c r="L108" t="s">
        <v>33</v>
      </c>
      <c r="M108">
        <v>10044292021</v>
      </c>
      <c r="N108" t="s">
        <v>9843</v>
      </c>
      <c r="O108" t="s">
        <v>76</v>
      </c>
      <c r="R108" t="s">
        <v>9844</v>
      </c>
      <c r="S108">
        <v>90</v>
      </c>
      <c r="T108" t="s">
        <v>40</v>
      </c>
      <c r="U108">
        <f>+IF(Tabla1[[#This Row],[MONEDA]]="PEN",Tabla1[[#This Row],[MONTO]],Tabla1[[#This Row],[MONTO]]*3.56)</f>
        <v>90</v>
      </c>
      <c r="V108" t="s">
        <v>190</v>
      </c>
      <c r="W108">
        <v>25256</v>
      </c>
      <c r="X108" t="s">
        <v>81</v>
      </c>
      <c r="Y108" t="s">
        <v>42</v>
      </c>
      <c r="Z108" t="s">
        <v>82</v>
      </c>
      <c r="AA108" t="s">
        <v>9837</v>
      </c>
      <c r="AC108" t="s">
        <v>9845</v>
      </c>
      <c r="AD108" t="s">
        <v>9846</v>
      </c>
    </row>
    <row r="109" spans="1:33" x14ac:dyDescent="0.25">
      <c r="A109">
        <v>39119</v>
      </c>
      <c r="B109" t="s">
        <v>32</v>
      </c>
      <c r="C109">
        <v>1</v>
      </c>
      <c r="D109" t="s">
        <v>2514</v>
      </c>
      <c r="E109" t="s">
        <v>70</v>
      </c>
      <c r="F109" t="s">
        <v>90</v>
      </c>
      <c r="G109" t="s">
        <v>91</v>
      </c>
      <c r="H109" t="s">
        <v>35</v>
      </c>
      <c r="I109" t="s">
        <v>2515</v>
      </c>
      <c r="J109" t="s">
        <v>2516</v>
      </c>
      <c r="K109" t="s">
        <v>36</v>
      </c>
      <c r="L109" t="s">
        <v>33</v>
      </c>
      <c r="M109">
        <v>20608026968</v>
      </c>
      <c r="N109" t="s">
        <v>2517</v>
      </c>
      <c r="P109" t="s">
        <v>224</v>
      </c>
      <c r="Q109" t="s">
        <v>2518</v>
      </c>
      <c r="R109" t="s">
        <v>2519</v>
      </c>
      <c r="S109">
        <v>1274.4000000000001</v>
      </c>
      <c r="T109" t="s">
        <v>80</v>
      </c>
      <c r="U109">
        <f>+IF(Tabla1[[#This Row],[MONEDA]]="PEN",Tabla1[[#This Row],[MONTO]],Tabla1[[#This Row],[MONTO]]*3.56)</f>
        <v>4536.8640000000005</v>
      </c>
      <c r="X109" t="s">
        <v>41</v>
      </c>
      <c r="Y109" t="s">
        <v>42</v>
      </c>
      <c r="Z109" t="s">
        <v>82</v>
      </c>
      <c r="AA109" t="s">
        <v>2520</v>
      </c>
      <c r="AB109" t="s">
        <v>2521</v>
      </c>
      <c r="AC109" t="s">
        <v>2522</v>
      </c>
      <c r="AD109" t="s">
        <v>2523</v>
      </c>
      <c r="AE109">
        <v>1121.47</v>
      </c>
      <c r="AF109" t="s">
        <v>87</v>
      </c>
      <c r="AG109" t="s">
        <v>88</v>
      </c>
    </row>
    <row r="110" spans="1:33" x14ac:dyDescent="0.25">
      <c r="A110">
        <v>39227</v>
      </c>
      <c r="B110" t="s">
        <v>32</v>
      </c>
      <c r="C110">
        <v>1</v>
      </c>
      <c r="D110" t="s">
        <v>2524</v>
      </c>
      <c r="E110" t="s">
        <v>70</v>
      </c>
      <c r="F110" t="s">
        <v>90</v>
      </c>
      <c r="G110" t="s">
        <v>91</v>
      </c>
      <c r="H110" t="s">
        <v>35</v>
      </c>
      <c r="I110" t="s">
        <v>2525</v>
      </c>
      <c r="J110" t="s">
        <v>2526</v>
      </c>
      <c r="K110" t="s">
        <v>36</v>
      </c>
      <c r="L110" t="s">
        <v>33</v>
      </c>
      <c r="M110">
        <v>20608026968</v>
      </c>
      <c r="N110" t="s">
        <v>2517</v>
      </c>
      <c r="P110" t="s">
        <v>224</v>
      </c>
      <c r="Q110" t="s">
        <v>2518</v>
      </c>
      <c r="R110" s="3" t="s">
        <v>2527</v>
      </c>
      <c r="S110">
        <v>649</v>
      </c>
      <c r="T110" t="s">
        <v>80</v>
      </c>
      <c r="U110">
        <f>+IF(Tabla1[[#This Row],[MONEDA]]="PEN",Tabla1[[#This Row],[MONTO]],Tabla1[[#This Row],[MONTO]]*3.56)</f>
        <v>2310.44</v>
      </c>
      <c r="X110" t="s">
        <v>41</v>
      </c>
      <c r="Y110" t="s">
        <v>42</v>
      </c>
      <c r="Z110" t="s">
        <v>82</v>
      </c>
      <c r="AA110" t="s">
        <v>2520</v>
      </c>
      <c r="AB110" t="s">
        <v>2528</v>
      </c>
      <c r="AC110" t="s">
        <v>2529</v>
      </c>
      <c r="AD110" t="s">
        <v>2530</v>
      </c>
      <c r="AE110">
        <v>571.12</v>
      </c>
      <c r="AF110" t="s">
        <v>87</v>
      </c>
      <c r="AG110" t="s">
        <v>2531</v>
      </c>
    </row>
    <row r="111" spans="1:33" hidden="1" x14ac:dyDescent="0.25">
      <c r="A111">
        <v>26827</v>
      </c>
      <c r="B111" t="s">
        <v>32</v>
      </c>
      <c r="C111">
        <v>1</v>
      </c>
      <c r="D111" t="s">
        <v>9002</v>
      </c>
      <c r="E111" t="s">
        <v>70</v>
      </c>
      <c r="F111" t="s">
        <v>33</v>
      </c>
      <c r="G111" t="s">
        <v>71</v>
      </c>
      <c r="H111" t="s">
        <v>72</v>
      </c>
      <c r="I111" t="s">
        <v>8972</v>
      </c>
      <c r="J111" t="s">
        <v>9003</v>
      </c>
      <c r="K111" t="s">
        <v>36</v>
      </c>
      <c r="L111" t="s">
        <v>33</v>
      </c>
      <c r="M111">
        <v>10746908992</v>
      </c>
      <c r="N111" t="s">
        <v>9004</v>
      </c>
      <c r="O111" t="s">
        <v>76</v>
      </c>
      <c r="P111" t="s">
        <v>38</v>
      </c>
      <c r="Q111" t="s">
        <v>9005</v>
      </c>
      <c r="R111" t="s">
        <v>9006</v>
      </c>
      <c r="S111">
        <v>5240</v>
      </c>
      <c r="T111" t="s">
        <v>40</v>
      </c>
      <c r="U111">
        <f>+IF(Tabla1[[#This Row],[MONEDA]]="PEN",Tabla1[[#This Row],[MONTO]],Tabla1[[#This Row],[MONTO]]*3.56)</f>
        <v>5240</v>
      </c>
      <c r="X111" t="s">
        <v>81</v>
      </c>
      <c r="Y111" t="s">
        <v>42</v>
      </c>
      <c r="Z111" t="s">
        <v>82</v>
      </c>
      <c r="AA111" t="s">
        <v>8910</v>
      </c>
      <c r="AB111" t="s">
        <v>9007</v>
      </c>
      <c r="AC111" t="s">
        <v>9008</v>
      </c>
      <c r="AD111" t="s">
        <v>9009</v>
      </c>
      <c r="AE111">
        <v>5082.8</v>
      </c>
      <c r="AF111" t="s">
        <v>87</v>
      </c>
      <c r="AG111" t="s">
        <v>169</v>
      </c>
    </row>
    <row r="112" spans="1:33" hidden="1" x14ac:dyDescent="0.25">
      <c r="A112">
        <v>26304</v>
      </c>
      <c r="B112" t="s">
        <v>32</v>
      </c>
      <c r="C112">
        <v>2</v>
      </c>
      <c r="D112" t="s">
        <v>9329</v>
      </c>
      <c r="E112" t="s">
        <v>70</v>
      </c>
      <c r="F112" t="s">
        <v>33</v>
      </c>
      <c r="G112" t="s">
        <v>71</v>
      </c>
      <c r="H112" t="s">
        <v>72</v>
      </c>
      <c r="I112" t="s">
        <v>9308</v>
      </c>
      <c r="J112" t="s">
        <v>9330</v>
      </c>
      <c r="K112" t="s">
        <v>36</v>
      </c>
      <c r="L112" t="s">
        <v>33</v>
      </c>
      <c r="M112">
        <v>10746908992</v>
      </c>
      <c r="N112" t="s">
        <v>9004</v>
      </c>
      <c r="O112" t="s">
        <v>76</v>
      </c>
      <c r="P112" t="s">
        <v>38</v>
      </c>
      <c r="Q112" t="s">
        <v>9005</v>
      </c>
      <c r="R112" t="s">
        <v>9331</v>
      </c>
      <c r="S112">
        <v>3411.5</v>
      </c>
      <c r="T112" t="s">
        <v>40</v>
      </c>
      <c r="U112">
        <f>+IF(Tabla1[[#This Row],[MONEDA]]="PEN",Tabla1[[#This Row],[MONTO]],Tabla1[[#This Row],[MONTO]]*3.56)</f>
        <v>3411.5</v>
      </c>
      <c r="X112" t="s">
        <v>81</v>
      </c>
      <c r="Y112" t="s">
        <v>42</v>
      </c>
      <c r="Z112" t="s">
        <v>82</v>
      </c>
      <c r="AA112" t="s">
        <v>9332</v>
      </c>
      <c r="AB112" t="s">
        <v>9333</v>
      </c>
      <c r="AC112" t="s">
        <v>9334</v>
      </c>
      <c r="AD112" t="s">
        <v>9335</v>
      </c>
      <c r="AE112">
        <v>3309.16</v>
      </c>
      <c r="AF112" t="s">
        <v>87</v>
      </c>
      <c r="AG112" t="s">
        <v>169</v>
      </c>
    </row>
    <row r="113" spans="1:33" hidden="1" x14ac:dyDescent="0.25">
      <c r="A113">
        <v>25672</v>
      </c>
      <c r="B113" t="s">
        <v>32</v>
      </c>
      <c r="C113">
        <v>1</v>
      </c>
      <c r="D113" t="s">
        <v>9681</v>
      </c>
      <c r="E113" t="s">
        <v>70</v>
      </c>
      <c r="F113" t="s">
        <v>33</v>
      </c>
      <c r="G113" t="s">
        <v>71</v>
      </c>
      <c r="H113" t="s">
        <v>72</v>
      </c>
      <c r="I113" t="s">
        <v>9631</v>
      </c>
      <c r="J113" t="s">
        <v>9682</v>
      </c>
      <c r="K113" t="s">
        <v>36</v>
      </c>
      <c r="L113" t="s">
        <v>33</v>
      </c>
      <c r="M113">
        <v>10746908992</v>
      </c>
      <c r="N113" t="s">
        <v>9004</v>
      </c>
      <c r="O113" t="s">
        <v>76</v>
      </c>
      <c r="P113" t="s">
        <v>38</v>
      </c>
      <c r="Q113" t="s">
        <v>9005</v>
      </c>
      <c r="R113" t="s">
        <v>9683</v>
      </c>
      <c r="S113">
        <v>1810</v>
      </c>
      <c r="T113" t="s">
        <v>40</v>
      </c>
      <c r="U113">
        <f>+IF(Tabla1[[#This Row],[MONEDA]]="PEN",Tabla1[[#This Row],[MONTO]],Tabla1[[#This Row],[MONTO]]*3.56)</f>
        <v>1810</v>
      </c>
      <c r="X113" t="s">
        <v>81</v>
      </c>
      <c r="Y113" t="s">
        <v>42</v>
      </c>
      <c r="Z113" t="s">
        <v>82</v>
      </c>
      <c r="AA113" t="s">
        <v>9684</v>
      </c>
      <c r="AB113" t="s">
        <v>9685</v>
      </c>
      <c r="AC113" t="s">
        <v>9686</v>
      </c>
      <c r="AD113" t="s">
        <v>9687</v>
      </c>
      <c r="AE113">
        <v>1755.7</v>
      </c>
      <c r="AF113" t="s">
        <v>87</v>
      </c>
      <c r="AG113" t="s">
        <v>169</v>
      </c>
    </row>
    <row r="114" spans="1:33" hidden="1" x14ac:dyDescent="0.25">
      <c r="A114">
        <v>24422</v>
      </c>
      <c r="B114" t="s">
        <v>32</v>
      </c>
      <c r="C114">
        <v>1</v>
      </c>
      <c r="D114" t="s">
        <v>10178</v>
      </c>
      <c r="E114" t="s">
        <v>70</v>
      </c>
      <c r="F114" t="s">
        <v>33</v>
      </c>
      <c r="G114" t="s">
        <v>71</v>
      </c>
      <c r="H114" t="s">
        <v>72</v>
      </c>
      <c r="I114" t="s">
        <v>10164</v>
      </c>
      <c r="J114" t="s">
        <v>10179</v>
      </c>
      <c r="K114" t="s">
        <v>36</v>
      </c>
      <c r="L114" t="s">
        <v>33</v>
      </c>
      <c r="M114">
        <v>10746908992</v>
      </c>
      <c r="N114" t="s">
        <v>9004</v>
      </c>
      <c r="O114" t="s">
        <v>76</v>
      </c>
      <c r="P114" t="s">
        <v>38</v>
      </c>
      <c r="Q114" t="s">
        <v>9005</v>
      </c>
      <c r="R114" t="s">
        <v>10180</v>
      </c>
      <c r="S114">
        <v>1649</v>
      </c>
      <c r="T114" t="s">
        <v>40</v>
      </c>
      <c r="U114">
        <f>+IF(Tabla1[[#This Row],[MONEDA]]="PEN",Tabla1[[#This Row],[MONTO]],Tabla1[[#This Row],[MONTO]]*3.56)</f>
        <v>1649</v>
      </c>
      <c r="X114" t="s">
        <v>81</v>
      </c>
      <c r="Y114" t="s">
        <v>42</v>
      </c>
      <c r="Z114" t="s">
        <v>82</v>
      </c>
      <c r="AA114" t="s">
        <v>10181</v>
      </c>
      <c r="AB114" t="s">
        <v>10182</v>
      </c>
      <c r="AC114" t="s">
        <v>10183</v>
      </c>
      <c r="AD114" t="s">
        <v>10184</v>
      </c>
      <c r="AE114">
        <v>1599.53</v>
      </c>
      <c r="AF114" t="s">
        <v>87</v>
      </c>
      <c r="AG114" t="s">
        <v>169</v>
      </c>
    </row>
    <row r="115" spans="1:33" hidden="1" x14ac:dyDescent="0.25">
      <c r="A115">
        <v>23604</v>
      </c>
      <c r="B115" t="s">
        <v>32</v>
      </c>
      <c r="C115">
        <v>1</v>
      </c>
      <c r="D115" t="s">
        <v>11061</v>
      </c>
      <c r="E115" t="s">
        <v>70</v>
      </c>
      <c r="F115" t="s">
        <v>33</v>
      </c>
      <c r="G115" t="s">
        <v>9422</v>
      </c>
      <c r="H115" t="s">
        <v>72</v>
      </c>
      <c r="I115" t="s">
        <v>11041</v>
      </c>
      <c r="J115" t="s">
        <v>11062</v>
      </c>
      <c r="K115" t="s">
        <v>36</v>
      </c>
      <c r="L115" t="s">
        <v>33</v>
      </c>
      <c r="M115">
        <v>10746908992</v>
      </c>
      <c r="N115" t="s">
        <v>9004</v>
      </c>
      <c r="O115" t="s">
        <v>9423</v>
      </c>
      <c r="P115" t="s">
        <v>38</v>
      </c>
      <c r="Q115" t="s">
        <v>9005</v>
      </c>
      <c r="R115" t="s">
        <v>11063</v>
      </c>
      <c r="S115">
        <v>1208</v>
      </c>
      <c r="T115" t="s">
        <v>40</v>
      </c>
      <c r="U115">
        <f>+IF(Tabla1[[#This Row],[MONEDA]]="PEN",Tabla1[[#This Row],[MONTO]],Tabla1[[#This Row],[MONTO]]*3.56)</f>
        <v>1208</v>
      </c>
      <c r="X115" t="s">
        <v>41</v>
      </c>
      <c r="Y115" t="s">
        <v>42</v>
      </c>
      <c r="Z115" t="s">
        <v>43</v>
      </c>
      <c r="AA115" t="s">
        <v>11064</v>
      </c>
      <c r="AB115" t="s">
        <v>11065</v>
      </c>
      <c r="AC115" t="s">
        <v>11066</v>
      </c>
      <c r="AD115" t="s">
        <v>11067</v>
      </c>
      <c r="AE115">
        <v>1171.76</v>
      </c>
      <c r="AF115" t="s">
        <v>87</v>
      </c>
      <c r="AG115" t="s">
        <v>169</v>
      </c>
    </row>
    <row r="116" spans="1:33" hidden="1" x14ac:dyDescent="0.25">
      <c r="A116">
        <v>23412</v>
      </c>
      <c r="B116" t="s">
        <v>32</v>
      </c>
      <c r="C116">
        <v>1</v>
      </c>
      <c r="D116" t="s">
        <v>11207</v>
      </c>
      <c r="E116" t="s">
        <v>70</v>
      </c>
      <c r="F116" t="s">
        <v>33</v>
      </c>
      <c r="G116" t="s">
        <v>71</v>
      </c>
      <c r="H116" t="s">
        <v>72</v>
      </c>
      <c r="I116" t="s">
        <v>11200</v>
      </c>
      <c r="J116" t="s">
        <v>11208</v>
      </c>
      <c r="K116" t="s">
        <v>36</v>
      </c>
      <c r="L116" t="s">
        <v>33</v>
      </c>
      <c r="M116">
        <v>10746908992</v>
      </c>
      <c r="N116" t="s">
        <v>9004</v>
      </c>
      <c r="O116" t="s">
        <v>76</v>
      </c>
      <c r="P116" t="s">
        <v>38</v>
      </c>
      <c r="Q116" t="s">
        <v>9005</v>
      </c>
      <c r="R116" t="s">
        <v>11209</v>
      </c>
      <c r="S116">
        <v>3226</v>
      </c>
      <c r="T116" t="s">
        <v>40</v>
      </c>
      <c r="U116">
        <f>+IF(Tabla1[[#This Row],[MONEDA]]="PEN",Tabla1[[#This Row],[MONTO]],Tabla1[[#This Row],[MONTO]]*3.56)</f>
        <v>3226</v>
      </c>
      <c r="X116" t="s">
        <v>81</v>
      </c>
      <c r="Y116" t="s">
        <v>42</v>
      </c>
      <c r="Z116" t="s">
        <v>43</v>
      </c>
      <c r="AA116" t="s">
        <v>11210</v>
      </c>
      <c r="AB116" t="s">
        <v>11211</v>
      </c>
      <c r="AC116" t="s">
        <v>11212</v>
      </c>
      <c r="AD116" t="s">
        <v>11213</v>
      </c>
      <c r="AE116">
        <v>3129.22</v>
      </c>
      <c r="AF116" t="s">
        <v>87</v>
      </c>
      <c r="AG116" t="s">
        <v>169</v>
      </c>
    </row>
    <row r="117" spans="1:33" hidden="1" x14ac:dyDescent="0.25">
      <c r="A117">
        <v>21802</v>
      </c>
      <c r="B117" t="s">
        <v>32</v>
      </c>
      <c r="C117">
        <v>1</v>
      </c>
      <c r="D117" t="s">
        <v>12176</v>
      </c>
      <c r="E117" t="s">
        <v>70</v>
      </c>
      <c r="F117" t="s">
        <v>33</v>
      </c>
      <c r="G117" t="s">
        <v>71</v>
      </c>
      <c r="H117" t="s">
        <v>72</v>
      </c>
      <c r="I117" t="s">
        <v>12177</v>
      </c>
      <c r="J117" t="s">
        <v>12178</v>
      </c>
      <c r="K117" t="s">
        <v>36</v>
      </c>
      <c r="L117" t="s">
        <v>33</v>
      </c>
      <c r="M117">
        <v>10746908992</v>
      </c>
      <c r="N117" t="s">
        <v>9004</v>
      </c>
      <c r="O117" t="s">
        <v>76</v>
      </c>
      <c r="P117" t="s">
        <v>38</v>
      </c>
      <c r="Q117" t="s">
        <v>9005</v>
      </c>
      <c r="R117" t="s">
        <v>12179</v>
      </c>
      <c r="S117">
        <v>3692.5</v>
      </c>
      <c r="T117" t="s">
        <v>40</v>
      </c>
      <c r="U117">
        <f>+IF(Tabla1[[#This Row],[MONEDA]]="PEN",Tabla1[[#This Row],[MONTO]],Tabla1[[#This Row],[MONTO]]*3.56)</f>
        <v>3692.5</v>
      </c>
      <c r="X117" t="s">
        <v>81</v>
      </c>
      <c r="Y117" t="s">
        <v>42</v>
      </c>
      <c r="Z117" t="s">
        <v>43</v>
      </c>
      <c r="AA117" t="s">
        <v>12180</v>
      </c>
      <c r="AB117" t="s">
        <v>12181</v>
      </c>
      <c r="AC117" t="s">
        <v>12182</v>
      </c>
      <c r="AD117" t="s">
        <v>12183</v>
      </c>
      <c r="AE117">
        <v>3581.72</v>
      </c>
      <c r="AF117" t="s">
        <v>87</v>
      </c>
      <c r="AG117" t="s">
        <v>12184</v>
      </c>
    </row>
    <row r="118" spans="1:33" hidden="1" x14ac:dyDescent="0.25">
      <c r="A118">
        <v>21681</v>
      </c>
      <c r="B118" t="s">
        <v>32</v>
      </c>
      <c r="C118">
        <v>1</v>
      </c>
      <c r="D118" t="s">
        <v>12266</v>
      </c>
      <c r="E118" t="s">
        <v>70</v>
      </c>
      <c r="F118" t="s">
        <v>33</v>
      </c>
      <c r="G118" t="s">
        <v>71</v>
      </c>
      <c r="H118" t="s">
        <v>72</v>
      </c>
      <c r="I118" t="s">
        <v>12267</v>
      </c>
      <c r="J118" t="s">
        <v>12268</v>
      </c>
      <c r="K118" t="s">
        <v>36</v>
      </c>
      <c r="L118" t="s">
        <v>33</v>
      </c>
      <c r="M118">
        <v>10746908992</v>
      </c>
      <c r="N118" t="s">
        <v>9004</v>
      </c>
      <c r="O118" t="s">
        <v>76</v>
      </c>
      <c r="P118" t="s">
        <v>38</v>
      </c>
      <c r="Q118" t="s">
        <v>9005</v>
      </c>
      <c r="R118" t="s">
        <v>12269</v>
      </c>
      <c r="S118">
        <v>2120</v>
      </c>
      <c r="T118" t="s">
        <v>40</v>
      </c>
      <c r="U118">
        <f>+IF(Tabla1[[#This Row],[MONEDA]]="PEN",Tabla1[[#This Row],[MONTO]],Tabla1[[#This Row],[MONTO]]*3.56)</f>
        <v>2120</v>
      </c>
      <c r="X118" t="s">
        <v>81</v>
      </c>
      <c r="Y118" t="s">
        <v>42</v>
      </c>
      <c r="Z118" t="s">
        <v>82</v>
      </c>
      <c r="AA118" t="s">
        <v>12270</v>
      </c>
      <c r="AB118" t="s">
        <v>12271</v>
      </c>
      <c r="AC118" t="s">
        <v>12272</v>
      </c>
      <c r="AD118" t="s">
        <v>12273</v>
      </c>
      <c r="AE118">
        <v>2056.4</v>
      </c>
      <c r="AF118" t="s">
        <v>87</v>
      </c>
      <c r="AG118" t="s">
        <v>169</v>
      </c>
    </row>
    <row r="119" spans="1:33" hidden="1" x14ac:dyDescent="0.25">
      <c r="A119">
        <v>21495</v>
      </c>
      <c r="B119" t="s">
        <v>32</v>
      </c>
      <c r="C119">
        <v>1</v>
      </c>
      <c r="D119" t="s">
        <v>12413</v>
      </c>
      <c r="E119" t="s">
        <v>70</v>
      </c>
      <c r="F119" t="s">
        <v>33</v>
      </c>
      <c r="G119" t="s">
        <v>71</v>
      </c>
      <c r="H119" t="s">
        <v>72</v>
      </c>
      <c r="I119" t="s">
        <v>12414</v>
      </c>
      <c r="J119" t="s">
        <v>12415</v>
      </c>
      <c r="K119" t="s">
        <v>36</v>
      </c>
      <c r="L119" t="s">
        <v>33</v>
      </c>
      <c r="M119">
        <v>10746908992</v>
      </c>
      <c r="N119" t="s">
        <v>9004</v>
      </c>
      <c r="O119" t="s">
        <v>76</v>
      </c>
      <c r="P119" t="s">
        <v>38</v>
      </c>
      <c r="Q119" t="s">
        <v>9005</v>
      </c>
      <c r="R119" t="s">
        <v>12416</v>
      </c>
      <c r="S119">
        <v>4693</v>
      </c>
      <c r="T119" t="s">
        <v>40</v>
      </c>
      <c r="U119">
        <f>+IF(Tabla1[[#This Row],[MONEDA]]="PEN",Tabla1[[#This Row],[MONTO]],Tabla1[[#This Row],[MONTO]]*3.56)</f>
        <v>4693</v>
      </c>
      <c r="X119" t="s">
        <v>81</v>
      </c>
      <c r="Y119" t="s">
        <v>42</v>
      </c>
      <c r="Z119" t="s">
        <v>43</v>
      </c>
      <c r="AA119" t="s">
        <v>12417</v>
      </c>
      <c r="AB119" t="s">
        <v>12418</v>
      </c>
      <c r="AC119" t="s">
        <v>12419</v>
      </c>
      <c r="AD119" t="s">
        <v>12420</v>
      </c>
      <c r="AE119">
        <v>4552.21</v>
      </c>
      <c r="AF119" t="s">
        <v>87</v>
      </c>
      <c r="AG119" t="s">
        <v>169</v>
      </c>
    </row>
    <row r="120" spans="1:33" x14ac:dyDescent="0.25">
      <c r="A120">
        <v>45870</v>
      </c>
      <c r="B120" t="s">
        <v>32</v>
      </c>
      <c r="C120">
        <v>1</v>
      </c>
      <c r="D120" t="s">
        <v>156</v>
      </c>
      <c r="E120" t="s">
        <v>70</v>
      </c>
      <c r="F120" t="s">
        <v>157</v>
      </c>
      <c r="G120" t="s">
        <v>158</v>
      </c>
      <c r="H120" t="s">
        <v>159</v>
      </c>
      <c r="I120" t="s">
        <v>160</v>
      </c>
      <c r="J120" t="s">
        <v>161</v>
      </c>
      <c r="K120" t="s">
        <v>36</v>
      </c>
      <c r="L120" t="s">
        <v>33</v>
      </c>
      <c r="M120">
        <v>20606572922</v>
      </c>
      <c r="N120" t="s">
        <v>162</v>
      </c>
      <c r="P120" t="s">
        <v>38</v>
      </c>
      <c r="Q120" t="s">
        <v>163</v>
      </c>
      <c r="R120" t="s">
        <v>164</v>
      </c>
      <c r="S120">
        <v>194.7</v>
      </c>
      <c r="T120" t="s">
        <v>40</v>
      </c>
      <c r="U120">
        <f>+IF(Tabla1[[#This Row],[MONEDA]]="PEN",Tabla1[[#This Row],[MONTO]],Tabla1[[#This Row],[MONTO]]*3.56)</f>
        <v>194.7</v>
      </c>
      <c r="X120" t="s">
        <v>41</v>
      </c>
      <c r="Y120" t="s">
        <v>42</v>
      </c>
      <c r="Z120" t="s">
        <v>82</v>
      </c>
      <c r="AA120" t="s">
        <v>165</v>
      </c>
      <c r="AB120" t="s">
        <v>166</v>
      </c>
      <c r="AC120" t="s">
        <v>167</v>
      </c>
      <c r="AD120" t="s">
        <v>168</v>
      </c>
      <c r="AE120">
        <v>194.7</v>
      </c>
      <c r="AF120" t="s">
        <v>87</v>
      </c>
      <c r="AG120" t="s">
        <v>169</v>
      </c>
    </row>
    <row r="121" spans="1:33" x14ac:dyDescent="0.25">
      <c r="A121">
        <v>45870</v>
      </c>
      <c r="B121" t="s">
        <v>32</v>
      </c>
      <c r="C121">
        <v>1</v>
      </c>
      <c r="D121" t="s">
        <v>156</v>
      </c>
      <c r="E121" t="s">
        <v>70</v>
      </c>
      <c r="F121" t="s">
        <v>157</v>
      </c>
      <c r="G121" t="s">
        <v>158</v>
      </c>
      <c r="H121" t="s">
        <v>159</v>
      </c>
      <c r="I121" t="s">
        <v>160</v>
      </c>
      <c r="J121" t="s">
        <v>161</v>
      </c>
      <c r="K121" t="s">
        <v>36</v>
      </c>
      <c r="L121" t="s">
        <v>33</v>
      </c>
      <c r="M121">
        <v>20606572922</v>
      </c>
      <c r="N121" t="s">
        <v>162</v>
      </c>
      <c r="P121" t="s">
        <v>38</v>
      </c>
      <c r="Q121" t="s">
        <v>163</v>
      </c>
      <c r="R121" t="s">
        <v>164</v>
      </c>
      <c r="S121">
        <v>194.7</v>
      </c>
      <c r="T121" t="s">
        <v>40</v>
      </c>
      <c r="U121">
        <f>+IF(Tabla1[[#This Row],[MONEDA]]="PEN",Tabla1[[#This Row],[MONTO]],Tabla1[[#This Row],[MONTO]]*3.56)</f>
        <v>194.7</v>
      </c>
      <c r="X121" t="s">
        <v>41</v>
      </c>
      <c r="Y121" t="s">
        <v>42</v>
      </c>
      <c r="Z121" t="s">
        <v>82</v>
      </c>
      <c r="AA121" t="s">
        <v>165</v>
      </c>
      <c r="AB121" t="s">
        <v>166</v>
      </c>
      <c r="AC121" t="s">
        <v>167</v>
      </c>
      <c r="AD121" t="s">
        <v>168</v>
      </c>
      <c r="AE121">
        <v>194.7</v>
      </c>
      <c r="AF121" t="s">
        <v>87</v>
      </c>
      <c r="AG121" t="s">
        <v>169</v>
      </c>
    </row>
    <row r="122" spans="1:33" x14ac:dyDescent="0.25">
      <c r="A122">
        <v>45151</v>
      </c>
      <c r="B122" t="s">
        <v>32</v>
      </c>
      <c r="C122">
        <v>1</v>
      </c>
      <c r="D122" t="s">
        <v>348</v>
      </c>
      <c r="E122" t="s">
        <v>70</v>
      </c>
      <c r="F122" t="s">
        <v>157</v>
      </c>
      <c r="G122" t="s">
        <v>158</v>
      </c>
      <c r="H122" t="s">
        <v>159</v>
      </c>
      <c r="I122" t="s">
        <v>349</v>
      </c>
      <c r="J122" t="s">
        <v>350</v>
      </c>
      <c r="K122" t="s">
        <v>36</v>
      </c>
      <c r="L122" t="s">
        <v>33</v>
      </c>
      <c r="M122">
        <v>20606572922</v>
      </c>
      <c r="N122" t="s">
        <v>162</v>
      </c>
      <c r="P122" t="s">
        <v>38</v>
      </c>
      <c r="Q122" t="s">
        <v>163</v>
      </c>
      <c r="R122" t="s">
        <v>351</v>
      </c>
      <c r="S122">
        <v>194.7</v>
      </c>
      <c r="T122" t="s">
        <v>40</v>
      </c>
      <c r="U122">
        <f>+IF(Tabla1[[#This Row],[MONEDA]]="PEN",Tabla1[[#This Row],[MONTO]],Tabla1[[#This Row],[MONTO]]*3.56)</f>
        <v>194.7</v>
      </c>
      <c r="X122" t="s">
        <v>41</v>
      </c>
      <c r="Y122" t="s">
        <v>42</v>
      </c>
      <c r="Z122" t="s">
        <v>82</v>
      </c>
      <c r="AA122" t="s">
        <v>352</v>
      </c>
      <c r="AB122" t="s">
        <v>353</v>
      </c>
      <c r="AC122" t="s">
        <v>354</v>
      </c>
      <c r="AD122" t="s">
        <v>355</v>
      </c>
      <c r="AE122">
        <v>194.7</v>
      </c>
      <c r="AF122" t="s">
        <v>87</v>
      </c>
      <c r="AG122" t="s">
        <v>169</v>
      </c>
    </row>
    <row r="123" spans="1:33" x14ac:dyDescent="0.25">
      <c r="A123">
        <v>45151</v>
      </c>
      <c r="B123" t="s">
        <v>32</v>
      </c>
      <c r="C123">
        <v>1</v>
      </c>
      <c r="D123" t="s">
        <v>348</v>
      </c>
      <c r="E123" t="s">
        <v>70</v>
      </c>
      <c r="F123" t="s">
        <v>157</v>
      </c>
      <c r="G123" t="s">
        <v>158</v>
      </c>
      <c r="H123" t="s">
        <v>159</v>
      </c>
      <c r="I123" t="s">
        <v>349</v>
      </c>
      <c r="J123" t="s">
        <v>350</v>
      </c>
      <c r="K123" t="s">
        <v>36</v>
      </c>
      <c r="L123" t="s">
        <v>33</v>
      </c>
      <c r="M123">
        <v>20606572922</v>
      </c>
      <c r="N123" t="s">
        <v>162</v>
      </c>
      <c r="P123" t="s">
        <v>38</v>
      </c>
      <c r="Q123" t="s">
        <v>163</v>
      </c>
      <c r="R123" t="s">
        <v>351</v>
      </c>
      <c r="S123">
        <v>194.7</v>
      </c>
      <c r="T123" t="s">
        <v>40</v>
      </c>
      <c r="U123">
        <f>+IF(Tabla1[[#This Row],[MONEDA]]="PEN",Tabla1[[#This Row],[MONTO]],Tabla1[[#This Row],[MONTO]]*3.56)</f>
        <v>194.7</v>
      </c>
      <c r="X123" t="s">
        <v>41</v>
      </c>
      <c r="Y123" t="s">
        <v>42</v>
      </c>
      <c r="Z123" t="s">
        <v>82</v>
      </c>
      <c r="AA123" t="s">
        <v>352</v>
      </c>
      <c r="AB123" t="s">
        <v>353</v>
      </c>
      <c r="AC123" t="s">
        <v>354</v>
      </c>
      <c r="AD123" t="s">
        <v>355</v>
      </c>
      <c r="AE123">
        <v>194.7</v>
      </c>
      <c r="AF123" t="s">
        <v>87</v>
      </c>
      <c r="AG123" t="s">
        <v>169</v>
      </c>
    </row>
    <row r="124" spans="1:33" x14ac:dyDescent="0.25">
      <c r="A124">
        <v>43947</v>
      </c>
      <c r="B124" t="s">
        <v>32</v>
      </c>
      <c r="C124">
        <v>1</v>
      </c>
      <c r="D124" t="s">
        <v>640</v>
      </c>
      <c r="E124" t="s">
        <v>70</v>
      </c>
      <c r="F124" t="s">
        <v>157</v>
      </c>
      <c r="G124" t="s">
        <v>158</v>
      </c>
      <c r="H124" t="s">
        <v>159</v>
      </c>
      <c r="I124" t="s">
        <v>641</v>
      </c>
      <c r="J124" t="s">
        <v>642</v>
      </c>
      <c r="K124" t="s">
        <v>36</v>
      </c>
      <c r="L124" t="s">
        <v>33</v>
      </c>
      <c r="M124">
        <v>20606572922</v>
      </c>
      <c r="N124" t="s">
        <v>162</v>
      </c>
      <c r="P124" t="s">
        <v>38</v>
      </c>
      <c r="Q124" t="s">
        <v>163</v>
      </c>
      <c r="R124" t="s">
        <v>643</v>
      </c>
      <c r="S124">
        <v>194.7</v>
      </c>
      <c r="T124" t="s">
        <v>40</v>
      </c>
      <c r="U124">
        <f>+IF(Tabla1[[#This Row],[MONEDA]]="PEN",Tabla1[[#This Row],[MONTO]],Tabla1[[#This Row],[MONTO]]*3.56)</f>
        <v>194.7</v>
      </c>
      <c r="X124" t="s">
        <v>41</v>
      </c>
      <c r="Y124" t="s">
        <v>42</v>
      </c>
      <c r="Z124" t="s">
        <v>82</v>
      </c>
      <c r="AA124" t="s">
        <v>644</v>
      </c>
      <c r="AB124" t="s">
        <v>645</v>
      </c>
      <c r="AC124" t="s">
        <v>646</v>
      </c>
      <c r="AD124" t="s">
        <v>647</v>
      </c>
      <c r="AE124">
        <v>194.7</v>
      </c>
      <c r="AF124" t="s">
        <v>87</v>
      </c>
      <c r="AG124" t="s">
        <v>169</v>
      </c>
    </row>
    <row r="125" spans="1:33" x14ac:dyDescent="0.25">
      <c r="A125">
        <v>43947</v>
      </c>
      <c r="B125" t="s">
        <v>32</v>
      </c>
      <c r="C125">
        <v>1</v>
      </c>
      <c r="D125" t="s">
        <v>640</v>
      </c>
      <c r="E125" t="s">
        <v>70</v>
      </c>
      <c r="F125" t="s">
        <v>157</v>
      </c>
      <c r="G125" t="s">
        <v>158</v>
      </c>
      <c r="H125" t="s">
        <v>159</v>
      </c>
      <c r="I125" t="s">
        <v>641</v>
      </c>
      <c r="J125" t="s">
        <v>642</v>
      </c>
      <c r="K125" t="s">
        <v>36</v>
      </c>
      <c r="L125" t="s">
        <v>33</v>
      </c>
      <c r="M125">
        <v>20606572922</v>
      </c>
      <c r="N125" t="s">
        <v>162</v>
      </c>
      <c r="P125" t="s">
        <v>38</v>
      </c>
      <c r="Q125" t="s">
        <v>163</v>
      </c>
      <c r="R125" t="s">
        <v>643</v>
      </c>
      <c r="S125">
        <v>194.7</v>
      </c>
      <c r="T125" t="s">
        <v>40</v>
      </c>
      <c r="U125">
        <f>+IF(Tabla1[[#This Row],[MONEDA]]="PEN",Tabla1[[#This Row],[MONTO]],Tabla1[[#This Row],[MONTO]]*3.56)</f>
        <v>194.7</v>
      </c>
      <c r="X125" t="s">
        <v>41</v>
      </c>
      <c r="Y125" t="s">
        <v>42</v>
      </c>
      <c r="Z125" t="s">
        <v>82</v>
      </c>
      <c r="AA125" t="s">
        <v>644</v>
      </c>
      <c r="AB125" t="s">
        <v>645</v>
      </c>
      <c r="AC125" t="s">
        <v>646</v>
      </c>
      <c r="AD125" t="s">
        <v>647</v>
      </c>
      <c r="AE125">
        <v>194.7</v>
      </c>
      <c r="AF125" t="s">
        <v>87</v>
      </c>
      <c r="AG125" t="s">
        <v>169</v>
      </c>
    </row>
    <row r="126" spans="1:33" x14ac:dyDescent="0.25">
      <c r="A126">
        <v>43156</v>
      </c>
      <c r="B126" t="s">
        <v>32</v>
      </c>
      <c r="C126">
        <v>1</v>
      </c>
      <c r="D126" t="s">
        <v>897</v>
      </c>
      <c r="E126" t="s">
        <v>70</v>
      </c>
      <c r="F126" t="s">
        <v>157</v>
      </c>
      <c r="G126" t="s">
        <v>158</v>
      </c>
      <c r="H126" t="s">
        <v>159</v>
      </c>
      <c r="I126" t="s">
        <v>898</v>
      </c>
      <c r="J126" t="s">
        <v>899</v>
      </c>
      <c r="K126" t="s">
        <v>36</v>
      </c>
      <c r="L126" t="s">
        <v>33</v>
      </c>
      <c r="M126">
        <v>20606572922</v>
      </c>
      <c r="N126" t="s">
        <v>162</v>
      </c>
      <c r="P126" t="s">
        <v>38</v>
      </c>
      <c r="Q126" t="s">
        <v>163</v>
      </c>
      <c r="R126" t="s">
        <v>900</v>
      </c>
      <c r="S126">
        <v>194.7</v>
      </c>
      <c r="T126" t="s">
        <v>40</v>
      </c>
      <c r="U126">
        <f>+IF(Tabla1[[#This Row],[MONEDA]]="PEN",Tabla1[[#This Row],[MONTO]],Tabla1[[#This Row],[MONTO]]*3.56)</f>
        <v>194.7</v>
      </c>
      <c r="X126" t="s">
        <v>41</v>
      </c>
      <c r="Y126" t="s">
        <v>42</v>
      </c>
      <c r="Z126" t="s">
        <v>82</v>
      </c>
      <c r="AA126" t="s">
        <v>901</v>
      </c>
      <c r="AB126" t="s">
        <v>902</v>
      </c>
      <c r="AC126" t="s">
        <v>903</v>
      </c>
      <c r="AD126" t="s">
        <v>904</v>
      </c>
      <c r="AE126">
        <v>194.7</v>
      </c>
      <c r="AF126" t="s">
        <v>87</v>
      </c>
      <c r="AG126" t="s">
        <v>169</v>
      </c>
    </row>
    <row r="127" spans="1:33" x14ac:dyDescent="0.25">
      <c r="A127">
        <v>43156</v>
      </c>
      <c r="B127" t="s">
        <v>32</v>
      </c>
      <c r="C127">
        <v>1</v>
      </c>
      <c r="D127" t="s">
        <v>897</v>
      </c>
      <c r="E127" t="s">
        <v>70</v>
      </c>
      <c r="F127" t="s">
        <v>157</v>
      </c>
      <c r="G127" t="s">
        <v>158</v>
      </c>
      <c r="H127" t="s">
        <v>159</v>
      </c>
      <c r="I127" t="s">
        <v>898</v>
      </c>
      <c r="J127" t="s">
        <v>899</v>
      </c>
      <c r="K127" t="s">
        <v>36</v>
      </c>
      <c r="L127" t="s">
        <v>33</v>
      </c>
      <c r="M127">
        <v>20606572922</v>
      </c>
      <c r="N127" t="s">
        <v>162</v>
      </c>
      <c r="P127" t="s">
        <v>38</v>
      </c>
      <c r="Q127" t="s">
        <v>163</v>
      </c>
      <c r="R127" t="s">
        <v>900</v>
      </c>
      <c r="S127">
        <v>194.7</v>
      </c>
      <c r="T127" t="s">
        <v>40</v>
      </c>
      <c r="U127">
        <f>+IF(Tabla1[[#This Row],[MONEDA]]="PEN",Tabla1[[#This Row],[MONTO]],Tabla1[[#This Row],[MONTO]]*3.56)</f>
        <v>194.7</v>
      </c>
      <c r="X127" t="s">
        <v>41</v>
      </c>
      <c r="Y127" t="s">
        <v>42</v>
      </c>
      <c r="Z127" t="s">
        <v>82</v>
      </c>
      <c r="AA127" t="s">
        <v>901</v>
      </c>
      <c r="AB127" t="s">
        <v>902</v>
      </c>
      <c r="AC127" t="s">
        <v>903</v>
      </c>
      <c r="AD127" t="s">
        <v>904</v>
      </c>
      <c r="AE127">
        <v>194.7</v>
      </c>
      <c r="AF127" t="s">
        <v>87</v>
      </c>
      <c r="AG127" t="s">
        <v>169</v>
      </c>
    </row>
    <row r="128" spans="1:33" x14ac:dyDescent="0.25">
      <c r="A128">
        <v>42960</v>
      </c>
      <c r="B128" t="s">
        <v>32</v>
      </c>
      <c r="C128">
        <v>1</v>
      </c>
      <c r="D128" t="s">
        <v>955</v>
      </c>
      <c r="E128" t="s">
        <v>70</v>
      </c>
      <c r="F128" t="s">
        <v>157</v>
      </c>
      <c r="G128" t="s">
        <v>158</v>
      </c>
      <c r="H128" t="s">
        <v>159</v>
      </c>
      <c r="I128" t="s">
        <v>941</v>
      </c>
      <c r="J128" t="s">
        <v>956</v>
      </c>
      <c r="K128" t="s">
        <v>36</v>
      </c>
      <c r="L128" t="s">
        <v>33</v>
      </c>
      <c r="M128">
        <v>20606572922</v>
      </c>
      <c r="N128" t="s">
        <v>162</v>
      </c>
      <c r="P128" t="s">
        <v>38</v>
      </c>
      <c r="Q128" t="s">
        <v>163</v>
      </c>
      <c r="R128" t="s">
        <v>957</v>
      </c>
      <c r="S128">
        <v>194.7</v>
      </c>
      <c r="T128" t="s">
        <v>40</v>
      </c>
      <c r="U128">
        <f>+IF(Tabla1[[#This Row],[MONEDA]]="PEN",Tabla1[[#This Row],[MONTO]],Tabla1[[#This Row],[MONTO]]*3.56)</f>
        <v>194.7</v>
      </c>
      <c r="X128" t="s">
        <v>41</v>
      </c>
      <c r="Y128" t="s">
        <v>42</v>
      </c>
      <c r="Z128" t="s">
        <v>82</v>
      </c>
      <c r="AA128" t="s">
        <v>958</v>
      </c>
      <c r="AB128" t="s">
        <v>959</v>
      </c>
      <c r="AC128" t="s">
        <v>960</v>
      </c>
      <c r="AD128" t="s">
        <v>961</v>
      </c>
      <c r="AE128">
        <v>194.7</v>
      </c>
      <c r="AF128" t="s">
        <v>87</v>
      </c>
      <c r="AG128" t="s">
        <v>169</v>
      </c>
    </row>
    <row r="129" spans="1:33" x14ac:dyDescent="0.25">
      <c r="A129">
        <v>42960</v>
      </c>
      <c r="B129" t="s">
        <v>32</v>
      </c>
      <c r="C129">
        <v>1</v>
      </c>
      <c r="D129" t="s">
        <v>955</v>
      </c>
      <c r="E129" t="s">
        <v>70</v>
      </c>
      <c r="F129" t="s">
        <v>157</v>
      </c>
      <c r="G129" t="s">
        <v>158</v>
      </c>
      <c r="H129" t="s">
        <v>159</v>
      </c>
      <c r="I129" t="s">
        <v>941</v>
      </c>
      <c r="J129" t="s">
        <v>956</v>
      </c>
      <c r="K129" t="s">
        <v>36</v>
      </c>
      <c r="L129" t="s">
        <v>33</v>
      </c>
      <c r="M129">
        <v>20606572922</v>
      </c>
      <c r="N129" t="s">
        <v>162</v>
      </c>
      <c r="P129" t="s">
        <v>38</v>
      </c>
      <c r="Q129" t="s">
        <v>163</v>
      </c>
      <c r="R129" t="s">
        <v>957</v>
      </c>
      <c r="S129">
        <v>194.7</v>
      </c>
      <c r="T129" t="s">
        <v>40</v>
      </c>
      <c r="U129">
        <f>+IF(Tabla1[[#This Row],[MONEDA]]="PEN",Tabla1[[#This Row],[MONTO]],Tabla1[[#This Row],[MONTO]]*3.56)</f>
        <v>194.7</v>
      </c>
      <c r="X129" t="s">
        <v>41</v>
      </c>
      <c r="Y129" t="s">
        <v>42</v>
      </c>
      <c r="Z129" t="s">
        <v>82</v>
      </c>
      <c r="AA129" t="s">
        <v>958</v>
      </c>
      <c r="AB129" t="s">
        <v>959</v>
      </c>
      <c r="AC129" t="s">
        <v>960</v>
      </c>
      <c r="AD129" t="s">
        <v>961</v>
      </c>
      <c r="AE129">
        <v>194.7</v>
      </c>
      <c r="AF129" t="s">
        <v>87</v>
      </c>
      <c r="AG129" t="s">
        <v>169</v>
      </c>
    </row>
    <row r="130" spans="1:33" x14ac:dyDescent="0.25">
      <c r="A130">
        <v>42964</v>
      </c>
      <c r="B130" t="s">
        <v>32</v>
      </c>
      <c r="C130">
        <v>1</v>
      </c>
      <c r="D130" t="s">
        <v>962</v>
      </c>
      <c r="E130" t="s">
        <v>70</v>
      </c>
      <c r="F130" t="s">
        <v>157</v>
      </c>
      <c r="G130" t="s">
        <v>158</v>
      </c>
      <c r="H130" t="s">
        <v>159</v>
      </c>
      <c r="I130" t="s">
        <v>941</v>
      </c>
      <c r="J130" t="s">
        <v>963</v>
      </c>
      <c r="K130" t="s">
        <v>36</v>
      </c>
      <c r="L130" t="s">
        <v>33</v>
      </c>
      <c r="M130">
        <v>20606572922</v>
      </c>
      <c r="N130" t="s">
        <v>162</v>
      </c>
      <c r="P130" t="s">
        <v>38</v>
      </c>
      <c r="Q130" t="s">
        <v>163</v>
      </c>
      <c r="R130" t="s">
        <v>964</v>
      </c>
      <c r="S130">
        <v>194.7</v>
      </c>
      <c r="T130" t="s">
        <v>40</v>
      </c>
      <c r="U130">
        <f>+IF(Tabla1[[#This Row],[MONEDA]]="PEN",Tabla1[[#This Row],[MONTO]],Tabla1[[#This Row],[MONTO]]*3.56)</f>
        <v>194.7</v>
      </c>
      <c r="X130" t="s">
        <v>41</v>
      </c>
      <c r="Y130" t="s">
        <v>42</v>
      </c>
      <c r="Z130" t="s">
        <v>82</v>
      </c>
      <c r="AA130" t="s">
        <v>965</v>
      </c>
      <c r="AB130" t="s">
        <v>966</v>
      </c>
      <c r="AC130" t="s">
        <v>967</v>
      </c>
      <c r="AD130" t="s">
        <v>968</v>
      </c>
      <c r="AE130">
        <v>194.7</v>
      </c>
      <c r="AF130" t="s">
        <v>87</v>
      </c>
      <c r="AG130" t="s">
        <v>169</v>
      </c>
    </row>
    <row r="131" spans="1:33" x14ac:dyDescent="0.25">
      <c r="A131">
        <v>42964</v>
      </c>
      <c r="B131" t="s">
        <v>32</v>
      </c>
      <c r="C131">
        <v>1</v>
      </c>
      <c r="D131" t="s">
        <v>962</v>
      </c>
      <c r="E131" t="s">
        <v>70</v>
      </c>
      <c r="F131" t="s">
        <v>157</v>
      </c>
      <c r="G131" t="s">
        <v>158</v>
      </c>
      <c r="H131" t="s">
        <v>159</v>
      </c>
      <c r="I131" t="s">
        <v>941</v>
      </c>
      <c r="J131" t="s">
        <v>963</v>
      </c>
      <c r="K131" t="s">
        <v>36</v>
      </c>
      <c r="L131" t="s">
        <v>33</v>
      </c>
      <c r="M131">
        <v>20606572922</v>
      </c>
      <c r="N131" t="s">
        <v>162</v>
      </c>
      <c r="P131" t="s">
        <v>38</v>
      </c>
      <c r="Q131" t="s">
        <v>163</v>
      </c>
      <c r="R131" t="s">
        <v>964</v>
      </c>
      <c r="S131">
        <v>194.7</v>
      </c>
      <c r="T131" t="s">
        <v>40</v>
      </c>
      <c r="U131">
        <f>+IF(Tabla1[[#This Row],[MONEDA]]="PEN",Tabla1[[#This Row],[MONTO]],Tabla1[[#This Row],[MONTO]]*3.56)</f>
        <v>194.7</v>
      </c>
      <c r="X131" t="s">
        <v>41</v>
      </c>
      <c r="Y131" t="s">
        <v>42</v>
      </c>
      <c r="Z131" t="s">
        <v>82</v>
      </c>
      <c r="AA131" t="s">
        <v>965</v>
      </c>
      <c r="AB131" t="s">
        <v>966</v>
      </c>
      <c r="AC131" t="s">
        <v>967</v>
      </c>
      <c r="AD131" t="s">
        <v>968</v>
      </c>
      <c r="AE131">
        <v>194.7</v>
      </c>
      <c r="AF131" t="s">
        <v>87</v>
      </c>
      <c r="AG131" t="s">
        <v>169</v>
      </c>
    </row>
    <row r="132" spans="1:33" x14ac:dyDescent="0.25">
      <c r="A132">
        <v>40609</v>
      </c>
      <c r="B132" t="s">
        <v>32</v>
      </c>
      <c r="C132">
        <v>1</v>
      </c>
      <c r="D132" t="s">
        <v>2013</v>
      </c>
      <c r="E132" t="s">
        <v>70</v>
      </c>
      <c r="F132" t="s">
        <v>157</v>
      </c>
      <c r="G132" t="s">
        <v>158</v>
      </c>
      <c r="H132" t="s">
        <v>159</v>
      </c>
      <c r="I132" t="s">
        <v>2014</v>
      </c>
      <c r="J132" t="s">
        <v>2015</v>
      </c>
      <c r="K132" t="s">
        <v>36</v>
      </c>
      <c r="L132" t="s">
        <v>33</v>
      </c>
      <c r="M132">
        <v>20603147970</v>
      </c>
      <c r="N132" t="s">
        <v>2016</v>
      </c>
      <c r="P132" t="s">
        <v>38</v>
      </c>
      <c r="Q132" t="s">
        <v>2017</v>
      </c>
      <c r="R132" t="s">
        <v>2018</v>
      </c>
      <c r="S132">
        <v>430</v>
      </c>
      <c r="T132" t="s">
        <v>40</v>
      </c>
      <c r="U132">
        <f>+IF(Tabla1[[#This Row],[MONEDA]]="PEN",Tabla1[[#This Row],[MONTO]],Tabla1[[#This Row],[MONTO]]*3.56)</f>
        <v>430</v>
      </c>
      <c r="X132" t="s">
        <v>41</v>
      </c>
      <c r="Y132" t="s">
        <v>42</v>
      </c>
      <c r="Z132" t="s">
        <v>82</v>
      </c>
      <c r="AA132" t="s">
        <v>2019</v>
      </c>
      <c r="AB132" t="s">
        <v>2020</v>
      </c>
      <c r="AC132" t="s">
        <v>2021</v>
      </c>
      <c r="AD132" t="s">
        <v>2022</v>
      </c>
      <c r="AE132">
        <v>430</v>
      </c>
      <c r="AF132" t="s">
        <v>87</v>
      </c>
      <c r="AG132" t="s">
        <v>169</v>
      </c>
    </row>
    <row r="133" spans="1:33" x14ac:dyDescent="0.25">
      <c r="A133">
        <v>35234</v>
      </c>
      <c r="B133" t="s">
        <v>32</v>
      </c>
      <c r="C133">
        <v>1</v>
      </c>
      <c r="D133" t="s">
        <v>4377</v>
      </c>
      <c r="E133" t="s">
        <v>70</v>
      </c>
      <c r="F133" t="s">
        <v>3256</v>
      </c>
      <c r="G133" t="s">
        <v>3257</v>
      </c>
      <c r="H133" t="s">
        <v>159</v>
      </c>
      <c r="I133" t="s">
        <v>4378</v>
      </c>
      <c r="J133" t="s">
        <v>4379</v>
      </c>
      <c r="K133" t="s">
        <v>36</v>
      </c>
      <c r="L133" t="s">
        <v>33</v>
      </c>
      <c r="M133">
        <v>20603147970</v>
      </c>
      <c r="N133" t="s">
        <v>2016</v>
      </c>
      <c r="P133" t="s">
        <v>38</v>
      </c>
      <c r="Q133" t="s">
        <v>2017</v>
      </c>
      <c r="R133" t="s">
        <v>4380</v>
      </c>
      <c r="S133">
        <v>250</v>
      </c>
      <c r="T133" t="s">
        <v>40</v>
      </c>
      <c r="U133">
        <f>+IF(Tabla1[[#This Row],[MONEDA]]="PEN",Tabla1[[#This Row],[MONTO]],Tabla1[[#This Row],[MONTO]]*3.56)</f>
        <v>250</v>
      </c>
      <c r="X133" t="s">
        <v>41</v>
      </c>
      <c r="Y133" t="s">
        <v>42</v>
      </c>
      <c r="Z133" t="s">
        <v>82</v>
      </c>
      <c r="AA133" t="s">
        <v>4381</v>
      </c>
      <c r="AB133" t="s">
        <v>4382</v>
      </c>
      <c r="AC133" t="s">
        <v>4383</v>
      </c>
      <c r="AD133" t="s">
        <v>4384</v>
      </c>
      <c r="AE133">
        <v>250</v>
      </c>
      <c r="AG133" t="s">
        <v>169</v>
      </c>
    </row>
    <row r="134" spans="1:33" x14ac:dyDescent="0.25">
      <c r="A134">
        <v>35235</v>
      </c>
      <c r="B134" t="s">
        <v>32</v>
      </c>
      <c r="C134">
        <v>1</v>
      </c>
      <c r="D134" t="s">
        <v>4385</v>
      </c>
      <c r="E134" t="s">
        <v>70</v>
      </c>
      <c r="F134" t="s">
        <v>3256</v>
      </c>
      <c r="G134" t="s">
        <v>3257</v>
      </c>
      <c r="H134" t="s">
        <v>159</v>
      </c>
      <c r="I134" t="s">
        <v>4378</v>
      </c>
      <c r="J134" t="s">
        <v>4386</v>
      </c>
      <c r="K134" t="s">
        <v>36</v>
      </c>
      <c r="L134" t="s">
        <v>33</v>
      </c>
      <c r="M134">
        <v>20603147970</v>
      </c>
      <c r="N134" t="s">
        <v>2016</v>
      </c>
      <c r="P134" t="s">
        <v>38</v>
      </c>
      <c r="Q134" t="s">
        <v>2017</v>
      </c>
      <c r="R134" t="s">
        <v>4387</v>
      </c>
      <c r="S134">
        <v>750</v>
      </c>
      <c r="T134" t="s">
        <v>40</v>
      </c>
      <c r="U134">
        <f>+IF(Tabla1[[#This Row],[MONEDA]]="PEN",Tabla1[[#This Row],[MONTO]],Tabla1[[#This Row],[MONTO]]*3.56)</f>
        <v>750</v>
      </c>
      <c r="X134" t="s">
        <v>41</v>
      </c>
      <c r="Y134" t="s">
        <v>42</v>
      </c>
      <c r="Z134" t="s">
        <v>82</v>
      </c>
      <c r="AA134" t="s">
        <v>4388</v>
      </c>
      <c r="AB134" t="s">
        <v>4389</v>
      </c>
      <c r="AC134" t="s">
        <v>4390</v>
      </c>
      <c r="AD134" t="s">
        <v>4391</v>
      </c>
      <c r="AE134">
        <v>660</v>
      </c>
      <c r="AG134" t="s">
        <v>169</v>
      </c>
    </row>
    <row r="135" spans="1:33" x14ac:dyDescent="0.25">
      <c r="A135">
        <v>35085</v>
      </c>
      <c r="B135" t="s">
        <v>32</v>
      </c>
      <c r="C135">
        <v>1</v>
      </c>
      <c r="D135" t="s">
        <v>4455</v>
      </c>
      <c r="E135" t="s">
        <v>70</v>
      </c>
      <c r="F135" t="s">
        <v>3256</v>
      </c>
      <c r="G135" t="s">
        <v>3257</v>
      </c>
      <c r="H135" t="s">
        <v>159</v>
      </c>
      <c r="I135" t="s">
        <v>4456</v>
      </c>
      <c r="J135" t="s">
        <v>4457</v>
      </c>
      <c r="K135" t="s">
        <v>36</v>
      </c>
      <c r="L135" t="s">
        <v>33</v>
      </c>
      <c r="M135">
        <v>20603147970</v>
      </c>
      <c r="N135" t="s">
        <v>2016</v>
      </c>
      <c r="P135" t="s">
        <v>38</v>
      </c>
      <c r="Q135" t="s">
        <v>2017</v>
      </c>
      <c r="R135" t="s">
        <v>4458</v>
      </c>
      <c r="S135">
        <v>250</v>
      </c>
      <c r="T135" t="s">
        <v>40</v>
      </c>
      <c r="U135">
        <f>+IF(Tabla1[[#This Row],[MONEDA]]="PEN",Tabla1[[#This Row],[MONTO]],Tabla1[[#This Row],[MONTO]]*3.56)</f>
        <v>250</v>
      </c>
      <c r="X135" t="s">
        <v>41</v>
      </c>
      <c r="Y135" t="s">
        <v>42</v>
      </c>
      <c r="Z135" t="s">
        <v>82</v>
      </c>
      <c r="AA135" t="s">
        <v>4459</v>
      </c>
      <c r="AB135" t="s">
        <v>4460</v>
      </c>
      <c r="AC135" t="s">
        <v>4461</v>
      </c>
      <c r="AD135" t="s">
        <v>4462</v>
      </c>
      <c r="AE135">
        <v>250</v>
      </c>
      <c r="AG135" t="s">
        <v>169</v>
      </c>
    </row>
    <row r="136" spans="1:33" x14ac:dyDescent="0.25">
      <c r="A136">
        <v>29812</v>
      </c>
      <c r="B136" t="s">
        <v>32</v>
      </c>
      <c r="C136">
        <v>1</v>
      </c>
      <c r="D136" t="s">
        <v>6831</v>
      </c>
      <c r="E136" t="s">
        <v>70</v>
      </c>
      <c r="F136" t="s">
        <v>3256</v>
      </c>
      <c r="G136" t="s">
        <v>3257</v>
      </c>
      <c r="H136" t="s">
        <v>159</v>
      </c>
      <c r="I136" t="s">
        <v>6832</v>
      </c>
      <c r="J136" t="s">
        <v>6833</v>
      </c>
      <c r="K136" t="s">
        <v>36</v>
      </c>
      <c r="L136" t="s">
        <v>33</v>
      </c>
      <c r="M136">
        <v>20603147970</v>
      </c>
      <c r="N136" t="s">
        <v>2016</v>
      </c>
      <c r="P136" t="s">
        <v>38</v>
      </c>
      <c r="Q136" t="s">
        <v>2017</v>
      </c>
      <c r="R136" t="s">
        <v>6834</v>
      </c>
      <c r="S136">
        <v>215</v>
      </c>
      <c r="T136" t="s">
        <v>40</v>
      </c>
      <c r="U136">
        <f>+IF(Tabla1[[#This Row],[MONEDA]]="PEN",Tabla1[[#This Row],[MONTO]],Tabla1[[#This Row],[MONTO]]*3.56)</f>
        <v>215</v>
      </c>
      <c r="X136" t="s">
        <v>41</v>
      </c>
      <c r="Y136" t="s">
        <v>42</v>
      </c>
      <c r="Z136" t="s">
        <v>82</v>
      </c>
      <c r="AA136" t="s">
        <v>6835</v>
      </c>
      <c r="AB136" t="s">
        <v>6836</v>
      </c>
      <c r="AC136" t="s">
        <v>6837</v>
      </c>
      <c r="AD136" t="s">
        <v>6838</v>
      </c>
      <c r="AE136">
        <v>215</v>
      </c>
      <c r="AF136" t="s">
        <v>87</v>
      </c>
      <c r="AG136" t="s">
        <v>169</v>
      </c>
    </row>
    <row r="137" spans="1:33" x14ac:dyDescent="0.25">
      <c r="A137">
        <v>28690</v>
      </c>
      <c r="B137" t="s">
        <v>32</v>
      </c>
      <c r="C137">
        <v>1</v>
      </c>
      <c r="D137" t="s">
        <v>7498</v>
      </c>
      <c r="E137" t="s">
        <v>70</v>
      </c>
      <c r="F137" t="s">
        <v>3256</v>
      </c>
      <c r="G137" t="s">
        <v>3257</v>
      </c>
      <c r="H137" t="s">
        <v>159</v>
      </c>
      <c r="I137" t="s">
        <v>7499</v>
      </c>
      <c r="J137" t="s">
        <v>7500</v>
      </c>
      <c r="K137" t="s">
        <v>36</v>
      </c>
      <c r="L137" t="s">
        <v>33</v>
      </c>
      <c r="M137">
        <v>20603147970</v>
      </c>
      <c r="N137" t="s">
        <v>2016</v>
      </c>
      <c r="P137" t="s">
        <v>38</v>
      </c>
      <c r="Q137" t="s">
        <v>2017</v>
      </c>
      <c r="R137" t="s">
        <v>7501</v>
      </c>
      <c r="S137">
        <v>215</v>
      </c>
      <c r="T137" t="s">
        <v>40</v>
      </c>
      <c r="U137">
        <f>+IF(Tabla1[[#This Row],[MONEDA]]="PEN",Tabla1[[#This Row],[MONTO]],Tabla1[[#This Row],[MONTO]]*3.56)</f>
        <v>215</v>
      </c>
      <c r="X137" t="s">
        <v>41</v>
      </c>
      <c r="Y137" t="s">
        <v>42</v>
      </c>
      <c r="Z137" t="s">
        <v>82</v>
      </c>
      <c r="AA137" t="s">
        <v>7502</v>
      </c>
      <c r="AB137" t="s">
        <v>7503</v>
      </c>
      <c r="AC137" t="s">
        <v>7504</v>
      </c>
      <c r="AD137" t="s">
        <v>7505</v>
      </c>
      <c r="AE137">
        <v>215</v>
      </c>
      <c r="AF137" t="s">
        <v>87</v>
      </c>
      <c r="AG137" t="s">
        <v>169</v>
      </c>
    </row>
    <row r="138" spans="1:33" x14ac:dyDescent="0.25">
      <c r="A138">
        <v>28513</v>
      </c>
      <c r="B138" t="s">
        <v>32</v>
      </c>
      <c r="C138">
        <v>1</v>
      </c>
      <c r="D138" t="s">
        <v>7669</v>
      </c>
      <c r="E138" t="s">
        <v>70</v>
      </c>
      <c r="F138" t="s">
        <v>3256</v>
      </c>
      <c r="G138" t="s">
        <v>3257</v>
      </c>
      <c r="H138" t="s">
        <v>159</v>
      </c>
      <c r="I138" t="s">
        <v>7670</v>
      </c>
      <c r="J138" t="s">
        <v>7671</v>
      </c>
      <c r="K138" t="s">
        <v>36</v>
      </c>
      <c r="L138" t="s">
        <v>33</v>
      </c>
      <c r="M138">
        <v>20603147970</v>
      </c>
      <c r="N138" t="s">
        <v>2016</v>
      </c>
      <c r="P138" t="s">
        <v>38</v>
      </c>
      <c r="Q138" t="s">
        <v>2017</v>
      </c>
      <c r="R138" t="s">
        <v>7672</v>
      </c>
      <c r="S138">
        <v>430</v>
      </c>
      <c r="T138" t="s">
        <v>40</v>
      </c>
      <c r="U138">
        <f>+IF(Tabla1[[#This Row],[MONEDA]]="PEN",Tabla1[[#This Row],[MONTO]],Tabla1[[#This Row],[MONTO]]*3.56)</f>
        <v>430</v>
      </c>
      <c r="X138" t="s">
        <v>41</v>
      </c>
      <c r="Y138" t="s">
        <v>42</v>
      </c>
      <c r="Z138" t="s">
        <v>82</v>
      </c>
      <c r="AA138" t="s">
        <v>7673</v>
      </c>
      <c r="AB138" t="s">
        <v>7674</v>
      </c>
      <c r="AC138" t="s">
        <v>7675</v>
      </c>
      <c r="AD138" t="s">
        <v>7676</v>
      </c>
      <c r="AE138">
        <v>430</v>
      </c>
      <c r="AF138" t="s">
        <v>87</v>
      </c>
      <c r="AG138" t="s">
        <v>169</v>
      </c>
    </row>
    <row r="139" spans="1:33" x14ac:dyDescent="0.25">
      <c r="A139">
        <v>27491</v>
      </c>
      <c r="B139" t="s">
        <v>32</v>
      </c>
      <c r="C139">
        <v>1</v>
      </c>
      <c r="D139" t="s">
        <v>8333</v>
      </c>
      <c r="E139" t="s">
        <v>70</v>
      </c>
      <c r="F139" t="s">
        <v>3256</v>
      </c>
      <c r="G139" t="s">
        <v>3257</v>
      </c>
      <c r="H139" t="s">
        <v>8233</v>
      </c>
      <c r="I139" t="s">
        <v>8334</v>
      </c>
      <c r="J139" t="s">
        <v>8335</v>
      </c>
      <c r="K139" t="s">
        <v>36</v>
      </c>
      <c r="L139" t="s">
        <v>33</v>
      </c>
      <c r="M139">
        <v>20603147970</v>
      </c>
      <c r="N139" t="s">
        <v>2016</v>
      </c>
      <c r="P139" t="s">
        <v>38</v>
      </c>
      <c r="Q139" t="s">
        <v>2017</v>
      </c>
      <c r="R139" t="s">
        <v>8336</v>
      </c>
      <c r="S139">
        <v>215</v>
      </c>
      <c r="T139" t="s">
        <v>40</v>
      </c>
      <c r="U139">
        <f>+IF(Tabla1[[#This Row],[MONEDA]]="PEN",Tabla1[[#This Row],[MONTO]],Tabla1[[#This Row],[MONTO]]*3.56)</f>
        <v>215</v>
      </c>
      <c r="X139" t="s">
        <v>41</v>
      </c>
      <c r="Y139" t="s">
        <v>42</v>
      </c>
      <c r="Z139" t="s">
        <v>82</v>
      </c>
      <c r="AA139" t="s">
        <v>8337</v>
      </c>
      <c r="AB139" t="s">
        <v>8338</v>
      </c>
      <c r="AC139" t="s">
        <v>8339</v>
      </c>
      <c r="AD139" t="s">
        <v>8340</v>
      </c>
      <c r="AE139">
        <v>215</v>
      </c>
      <c r="AF139" t="s">
        <v>87</v>
      </c>
      <c r="AG139" t="s">
        <v>169</v>
      </c>
    </row>
    <row r="140" spans="1:33" x14ac:dyDescent="0.25">
      <c r="A140">
        <v>25476</v>
      </c>
      <c r="B140" t="s">
        <v>32</v>
      </c>
      <c r="C140">
        <v>1</v>
      </c>
      <c r="D140" t="s">
        <v>9736</v>
      </c>
      <c r="E140" t="s">
        <v>70</v>
      </c>
      <c r="F140" t="s">
        <v>3256</v>
      </c>
      <c r="G140" t="s">
        <v>3257</v>
      </c>
      <c r="H140" t="s">
        <v>8233</v>
      </c>
      <c r="I140" t="s">
        <v>9729</v>
      </c>
      <c r="J140" t="s">
        <v>9737</v>
      </c>
      <c r="K140" t="s">
        <v>36</v>
      </c>
      <c r="L140" t="s">
        <v>33</v>
      </c>
      <c r="M140">
        <v>20603147970</v>
      </c>
      <c r="N140" t="s">
        <v>2016</v>
      </c>
      <c r="P140" t="s">
        <v>38</v>
      </c>
      <c r="Q140" t="s">
        <v>2017</v>
      </c>
      <c r="R140" t="s">
        <v>9738</v>
      </c>
      <c r="S140">
        <v>215</v>
      </c>
      <c r="T140" t="s">
        <v>40</v>
      </c>
      <c r="U140">
        <f>+IF(Tabla1[[#This Row],[MONEDA]]="PEN",Tabla1[[#This Row],[MONTO]],Tabla1[[#This Row],[MONTO]]*3.56)</f>
        <v>215</v>
      </c>
      <c r="X140" t="s">
        <v>41</v>
      </c>
      <c r="Y140" t="s">
        <v>42</v>
      </c>
      <c r="Z140" t="s">
        <v>82</v>
      </c>
      <c r="AA140" t="s">
        <v>9739</v>
      </c>
      <c r="AB140" t="s">
        <v>9740</v>
      </c>
      <c r="AC140" t="s">
        <v>9741</v>
      </c>
      <c r="AD140" t="s">
        <v>9742</v>
      </c>
      <c r="AE140">
        <v>215</v>
      </c>
      <c r="AF140" t="s">
        <v>87</v>
      </c>
      <c r="AG140" t="s">
        <v>169</v>
      </c>
    </row>
    <row r="141" spans="1:33" x14ac:dyDescent="0.25">
      <c r="A141">
        <v>22355</v>
      </c>
      <c r="B141" t="s">
        <v>32</v>
      </c>
      <c r="C141">
        <v>1</v>
      </c>
      <c r="D141" t="s">
        <v>11905</v>
      </c>
      <c r="E141" t="s">
        <v>70</v>
      </c>
      <c r="F141" t="s">
        <v>3256</v>
      </c>
      <c r="G141" t="s">
        <v>3257</v>
      </c>
      <c r="H141" t="s">
        <v>8233</v>
      </c>
      <c r="I141" t="s">
        <v>11906</v>
      </c>
      <c r="J141" t="s">
        <v>11907</v>
      </c>
      <c r="K141" t="s">
        <v>36</v>
      </c>
      <c r="L141" t="s">
        <v>33</v>
      </c>
      <c r="M141">
        <v>20603147970</v>
      </c>
      <c r="N141" t="s">
        <v>2016</v>
      </c>
      <c r="P141" t="s">
        <v>38</v>
      </c>
      <c r="Q141" t="s">
        <v>2017</v>
      </c>
      <c r="R141" t="s">
        <v>11908</v>
      </c>
      <c r="S141">
        <v>215</v>
      </c>
      <c r="T141" t="s">
        <v>40</v>
      </c>
      <c r="U141">
        <f>+IF(Tabla1[[#This Row],[MONEDA]]="PEN",Tabla1[[#This Row],[MONTO]],Tabla1[[#This Row],[MONTO]]*3.56)</f>
        <v>215</v>
      </c>
      <c r="X141" t="s">
        <v>41</v>
      </c>
      <c r="Y141" t="s">
        <v>42</v>
      </c>
      <c r="Z141" t="s">
        <v>82</v>
      </c>
      <c r="AA141" t="s">
        <v>11909</v>
      </c>
      <c r="AB141" t="s">
        <v>11910</v>
      </c>
      <c r="AC141" t="s">
        <v>11911</v>
      </c>
      <c r="AD141" t="s">
        <v>11912</v>
      </c>
      <c r="AE141">
        <v>215</v>
      </c>
      <c r="AF141" t="s">
        <v>87</v>
      </c>
      <c r="AG141" t="s">
        <v>169</v>
      </c>
    </row>
    <row r="142" spans="1:33" x14ac:dyDescent="0.25">
      <c r="A142">
        <v>21555</v>
      </c>
      <c r="B142" t="s">
        <v>32</v>
      </c>
      <c r="C142">
        <v>1</v>
      </c>
      <c r="D142" t="s">
        <v>12305</v>
      </c>
      <c r="E142" t="s">
        <v>70</v>
      </c>
      <c r="F142" t="s">
        <v>3256</v>
      </c>
      <c r="G142" t="s">
        <v>3257</v>
      </c>
      <c r="H142" t="s">
        <v>8233</v>
      </c>
      <c r="I142" t="s">
        <v>12298</v>
      </c>
      <c r="J142" t="s">
        <v>12306</v>
      </c>
      <c r="K142" t="s">
        <v>36</v>
      </c>
      <c r="L142" t="s">
        <v>33</v>
      </c>
      <c r="M142">
        <v>20603147970</v>
      </c>
      <c r="N142" t="s">
        <v>2016</v>
      </c>
      <c r="P142" t="s">
        <v>38</v>
      </c>
      <c r="Q142" t="s">
        <v>2017</v>
      </c>
      <c r="R142" t="s">
        <v>12307</v>
      </c>
      <c r="S142">
        <v>430</v>
      </c>
      <c r="T142" t="s">
        <v>40</v>
      </c>
      <c r="U142">
        <f>+IF(Tabla1[[#This Row],[MONEDA]]="PEN",Tabla1[[#This Row],[MONTO]],Tabla1[[#This Row],[MONTO]]*3.56)</f>
        <v>430</v>
      </c>
      <c r="X142" t="s">
        <v>41</v>
      </c>
      <c r="Y142" t="s">
        <v>42</v>
      </c>
      <c r="Z142" t="s">
        <v>82</v>
      </c>
      <c r="AA142" t="s">
        <v>12308</v>
      </c>
      <c r="AB142" t="s">
        <v>12309</v>
      </c>
      <c r="AC142" t="s">
        <v>12310</v>
      </c>
      <c r="AD142" t="s">
        <v>12311</v>
      </c>
      <c r="AE142">
        <v>430</v>
      </c>
      <c r="AF142" t="s">
        <v>87</v>
      </c>
      <c r="AG142" t="s">
        <v>169</v>
      </c>
    </row>
    <row r="143" spans="1:33" x14ac:dyDescent="0.25">
      <c r="A143">
        <v>33662</v>
      </c>
      <c r="B143" t="s">
        <v>32</v>
      </c>
      <c r="C143">
        <v>6</v>
      </c>
      <c r="D143" t="s">
        <v>4856</v>
      </c>
      <c r="E143" t="s">
        <v>70</v>
      </c>
      <c r="F143" t="s">
        <v>3256</v>
      </c>
      <c r="G143" t="s">
        <v>3257</v>
      </c>
      <c r="H143" t="s">
        <v>159</v>
      </c>
      <c r="I143" t="s">
        <v>4857</v>
      </c>
      <c r="J143" t="s">
        <v>4858</v>
      </c>
      <c r="K143" t="s">
        <v>36</v>
      </c>
      <c r="L143" t="s">
        <v>33</v>
      </c>
      <c r="M143">
        <v>20495666973</v>
      </c>
      <c r="N143" t="s">
        <v>4859</v>
      </c>
      <c r="P143" t="s">
        <v>38</v>
      </c>
      <c r="Q143" t="s">
        <v>4860</v>
      </c>
      <c r="R143" t="s">
        <v>4861</v>
      </c>
      <c r="S143">
        <v>555</v>
      </c>
      <c r="T143" t="s">
        <v>40</v>
      </c>
      <c r="U143">
        <f>+IF(Tabla1[[#This Row],[MONEDA]]="PEN",Tabla1[[#This Row],[MONTO]],Tabla1[[#This Row],[MONTO]]*3.56)</f>
        <v>555</v>
      </c>
      <c r="X143" t="s">
        <v>41</v>
      </c>
      <c r="Y143" t="s">
        <v>42</v>
      </c>
      <c r="Z143" t="s">
        <v>82</v>
      </c>
      <c r="AA143" t="s">
        <v>4862</v>
      </c>
      <c r="AB143" t="s">
        <v>4863</v>
      </c>
      <c r="AC143" t="s">
        <v>4864</v>
      </c>
      <c r="AD143" t="s">
        <v>4865</v>
      </c>
      <c r="AE143">
        <v>488.4</v>
      </c>
      <c r="AG143" t="s">
        <v>169</v>
      </c>
    </row>
    <row r="144" spans="1:33" hidden="1" x14ac:dyDescent="0.25">
      <c r="A144">
        <v>24373</v>
      </c>
      <c r="B144" t="s">
        <v>32</v>
      </c>
      <c r="C144">
        <v>1</v>
      </c>
      <c r="D144" t="s">
        <v>10410</v>
      </c>
      <c r="E144" t="s">
        <v>70</v>
      </c>
      <c r="F144" t="s">
        <v>33</v>
      </c>
      <c r="G144" t="s">
        <v>71</v>
      </c>
      <c r="H144" t="s">
        <v>72</v>
      </c>
      <c r="I144" t="s">
        <v>10411</v>
      </c>
      <c r="J144" t="s">
        <v>10412</v>
      </c>
      <c r="K144" t="s">
        <v>36</v>
      </c>
      <c r="L144" t="s">
        <v>33</v>
      </c>
      <c r="M144">
        <v>20127765279</v>
      </c>
      <c r="N144" t="s">
        <v>10413</v>
      </c>
      <c r="O144" t="s">
        <v>76</v>
      </c>
      <c r="R144" t="s">
        <v>10414</v>
      </c>
      <c r="S144">
        <v>420.75</v>
      </c>
      <c r="T144" t="s">
        <v>40</v>
      </c>
      <c r="U144">
        <f>+IF(Tabla1[[#This Row],[MONEDA]]="PEN",Tabla1[[#This Row],[MONTO]],Tabla1[[#This Row],[MONTO]]*3.56)</f>
        <v>420.75</v>
      </c>
      <c r="V144" t="s">
        <v>190</v>
      </c>
      <c r="W144">
        <v>23138</v>
      </c>
      <c r="X144" t="s">
        <v>81</v>
      </c>
      <c r="Y144" t="s">
        <v>42</v>
      </c>
      <c r="Z144" t="s">
        <v>43</v>
      </c>
      <c r="AA144" t="s">
        <v>10415</v>
      </c>
      <c r="AC144" t="s">
        <v>10416</v>
      </c>
      <c r="AD144" t="s">
        <v>10417</v>
      </c>
    </row>
    <row r="145" spans="1:33" x14ac:dyDescent="0.25">
      <c r="A145">
        <v>29296</v>
      </c>
      <c r="B145" t="s">
        <v>32</v>
      </c>
      <c r="C145">
        <v>1</v>
      </c>
      <c r="D145" t="s">
        <v>6962</v>
      </c>
      <c r="E145" t="s">
        <v>70</v>
      </c>
      <c r="F145" t="s">
        <v>5328</v>
      </c>
      <c r="G145" t="s">
        <v>5329</v>
      </c>
      <c r="H145" t="s">
        <v>72</v>
      </c>
      <c r="I145" t="s">
        <v>6963</v>
      </c>
      <c r="J145" t="s">
        <v>6964</v>
      </c>
      <c r="K145" t="s">
        <v>36</v>
      </c>
      <c r="L145" t="s">
        <v>33</v>
      </c>
      <c r="M145">
        <v>20609712202</v>
      </c>
      <c r="N145" t="s">
        <v>6965</v>
      </c>
      <c r="O145" t="s">
        <v>6159</v>
      </c>
      <c r="P145" t="s">
        <v>38</v>
      </c>
      <c r="Q145">
        <v>5409893775063</v>
      </c>
      <c r="R145" t="s">
        <v>6966</v>
      </c>
      <c r="S145">
        <v>1140</v>
      </c>
      <c r="T145" t="s">
        <v>40</v>
      </c>
      <c r="U145">
        <f>+IF(Tabla1[[#This Row],[MONEDA]]="PEN",Tabla1[[#This Row],[MONTO]],Tabla1[[#This Row],[MONTO]]*3.56)</f>
        <v>1140</v>
      </c>
      <c r="X145" t="s">
        <v>81</v>
      </c>
      <c r="Y145" t="s">
        <v>42</v>
      </c>
      <c r="Z145" t="s">
        <v>43</v>
      </c>
      <c r="AA145" t="s">
        <v>6967</v>
      </c>
      <c r="AB145" t="s">
        <v>6968</v>
      </c>
      <c r="AC145" t="s">
        <v>6969</v>
      </c>
      <c r="AD145" t="s">
        <v>6970</v>
      </c>
      <c r="AE145">
        <v>1105.8</v>
      </c>
      <c r="AF145" t="s">
        <v>87</v>
      </c>
      <c r="AG145" t="s">
        <v>169</v>
      </c>
    </row>
    <row r="146" spans="1:33" hidden="1" x14ac:dyDescent="0.25">
      <c r="A146">
        <v>28525</v>
      </c>
      <c r="B146" t="s">
        <v>32</v>
      </c>
      <c r="C146">
        <v>1</v>
      </c>
      <c r="D146" t="s">
        <v>7654</v>
      </c>
      <c r="E146" t="s">
        <v>70</v>
      </c>
      <c r="F146" t="s">
        <v>33</v>
      </c>
      <c r="G146" t="s">
        <v>71</v>
      </c>
      <c r="H146" t="s">
        <v>72</v>
      </c>
      <c r="I146" t="s">
        <v>7639</v>
      </c>
      <c r="J146" t="s">
        <v>7655</v>
      </c>
      <c r="K146" t="s">
        <v>36</v>
      </c>
      <c r="L146" t="s">
        <v>33</v>
      </c>
      <c r="M146">
        <v>20609712202</v>
      </c>
      <c r="N146" t="s">
        <v>6965</v>
      </c>
      <c r="O146" t="s">
        <v>76</v>
      </c>
      <c r="P146" t="s">
        <v>38</v>
      </c>
      <c r="Q146">
        <v>5409893775063</v>
      </c>
      <c r="R146" t="s">
        <v>7656</v>
      </c>
      <c r="S146">
        <v>3800</v>
      </c>
      <c r="T146" t="s">
        <v>40</v>
      </c>
      <c r="U146">
        <f>+IF(Tabla1[[#This Row],[MONEDA]]="PEN",Tabla1[[#This Row],[MONTO]],Tabla1[[#This Row],[MONTO]]*3.56)</f>
        <v>3800</v>
      </c>
      <c r="X146" t="s">
        <v>81</v>
      </c>
      <c r="Y146" t="s">
        <v>42</v>
      </c>
      <c r="Z146" t="s">
        <v>43</v>
      </c>
      <c r="AA146" t="s">
        <v>7657</v>
      </c>
      <c r="AB146" t="s">
        <v>7658</v>
      </c>
      <c r="AC146" t="s">
        <v>7659</v>
      </c>
      <c r="AD146" t="s">
        <v>7660</v>
      </c>
      <c r="AE146">
        <v>3686</v>
      </c>
      <c r="AF146" t="s">
        <v>87</v>
      </c>
      <c r="AG146" t="s">
        <v>169</v>
      </c>
    </row>
    <row r="147" spans="1:33" hidden="1" x14ac:dyDescent="0.25">
      <c r="A147">
        <v>33301</v>
      </c>
      <c r="B147" t="s">
        <v>32</v>
      </c>
      <c r="C147">
        <v>1</v>
      </c>
      <c r="D147" t="s">
        <v>5064</v>
      </c>
      <c r="E147" t="s">
        <v>70</v>
      </c>
      <c r="F147" t="s">
        <v>33</v>
      </c>
      <c r="G147" t="s">
        <v>71</v>
      </c>
      <c r="H147" t="s">
        <v>35</v>
      </c>
      <c r="I147" t="s">
        <v>5064</v>
      </c>
      <c r="J147" t="s">
        <v>5065</v>
      </c>
      <c r="K147" t="s">
        <v>36</v>
      </c>
      <c r="L147" t="s">
        <v>33</v>
      </c>
      <c r="M147">
        <v>20601652022</v>
      </c>
      <c r="N147" t="s">
        <v>5066</v>
      </c>
      <c r="O147" t="s">
        <v>76</v>
      </c>
      <c r="R147" t="s">
        <v>5067</v>
      </c>
      <c r="S147">
        <v>30</v>
      </c>
      <c r="T147" t="s">
        <v>40</v>
      </c>
      <c r="U147">
        <f>+IF(Tabla1[[#This Row],[MONEDA]]="PEN",Tabla1[[#This Row],[MONTO]],Tabla1[[#This Row],[MONTO]]*3.56)</f>
        <v>30</v>
      </c>
      <c r="V147" t="s">
        <v>190</v>
      </c>
      <c r="W147">
        <v>32138</v>
      </c>
      <c r="X147" t="s">
        <v>81</v>
      </c>
      <c r="Y147" t="s">
        <v>42</v>
      </c>
      <c r="Z147" t="s">
        <v>43</v>
      </c>
      <c r="AA147" t="s">
        <v>5068</v>
      </c>
      <c r="AC147" t="s">
        <v>5069</v>
      </c>
      <c r="AD147" t="s">
        <v>5070</v>
      </c>
    </row>
    <row r="148" spans="1:33" x14ac:dyDescent="0.25">
      <c r="A148">
        <v>29757</v>
      </c>
      <c r="B148" t="s">
        <v>32</v>
      </c>
      <c r="C148">
        <v>1</v>
      </c>
      <c r="D148" t="s">
        <v>6704</v>
      </c>
      <c r="E148" t="s">
        <v>70</v>
      </c>
      <c r="F148" t="s">
        <v>5328</v>
      </c>
      <c r="G148" t="s">
        <v>5329</v>
      </c>
      <c r="H148" t="s">
        <v>72</v>
      </c>
      <c r="I148" t="s">
        <v>6705</v>
      </c>
      <c r="J148" t="s">
        <v>6706</v>
      </c>
      <c r="K148" t="s">
        <v>36</v>
      </c>
      <c r="L148" t="s">
        <v>33</v>
      </c>
      <c r="M148">
        <v>20609185784</v>
      </c>
      <c r="N148" t="s">
        <v>6707</v>
      </c>
      <c r="O148" t="s">
        <v>6159</v>
      </c>
      <c r="P148" t="s">
        <v>38</v>
      </c>
      <c r="Q148">
        <v>43093400949005</v>
      </c>
      <c r="R148" t="s">
        <v>6708</v>
      </c>
      <c r="S148">
        <v>2608</v>
      </c>
      <c r="T148" t="s">
        <v>40</v>
      </c>
      <c r="U148">
        <f>+IF(Tabla1[[#This Row],[MONEDA]]="PEN",Tabla1[[#This Row],[MONTO]],Tabla1[[#This Row],[MONTO]]*3.56)</f>
        <v>2608</v>
      </c>
      <c r="X148" t="s">
        <v>81</v>
      </c>
      <c r="Y148" t="s">
        <v>42</v>
      </c>
      <c r="Z148" t="s">
        <v>43</v>
      </c>
      <c r="AA148" t="s">
        <v>6709</v>
      </c>
      <c r="AB148" t="s">
        <v>6710</v>
      </c>
      <c r="AC148" t="s">
        <v>6711</v>
      </c>
      <c r="AD148" t="s">
        <v>6712</v>
      </c>
      <c r="AE148">
        <v>2529.7600000000002</v>
      </c>
      <c r="AF148" t="s">
        <v>87</v>
      </c>
      <c r="AG148" t="s">
        <v>169</v>
      </c>
    </row>
    <row r="149" spans="1:33" x14ac:dyDescent="0.25">
      <c r="A149">
        <v>27375</v>
      </c>
      <c r="B149" t="s">
        <v>32</v>
      </c>
      <c r="C149">
        <v>1</v>
      </c>
      <c r="D149" t="s">
        <v>8468</v>
      </c>
      <c r="E149" t="s">
        <v>70</v>
      </c>
      <c r="F149" t="s">
        <v>5328</v>
      </c>
      <c r="G149" t="s">
        <v>5329</v>
      </c>
      <c r="H149" t="s">
        <v>72</v>
      </c>
      <c r="I149" t="s">
        <v>8461</v>
      </c>
      <c r="J149" t="s">
        <v>8469</v>
      </c>
      <c r="K149" t="s">
        <v>36</v>
      </c>
      <c r="L149" t="s">
        <v>33</v>
      </c>
      <c r="M149">
        <v>20609185784</v>
      </c>
      <c r="N149" t="s">
        <v>6707</v>
      </c>
      <c r="O149" t="s">
        <v>6159</v>
      </c>
      <c r="P149" t="s">
        <v>38</v>
      </c>
      <c r="Q149">
        <v>43093400949005</v>
      </c>
      <c r="R149" t="s">
        <v>8470</v>
      </c>
      <c r="S149">
        <v>390</v>
      </c>
      <c r="T149" t="s">
        <v>40</v>
      </c>
      <c r="U149">
        <f>+IF(Tabla1[[#This Row],[MONEDA]]="PEN",Tabla1[[#This Row],[MONTO]],Tabla1[[#This Row],[MONTO]]*3.56)</f>
        <v>390</v>
      </c>
      <c r="X149" t="s">
        <v>81</v>
      </c>
      <c r="Y149" t="s">
        <v>42</v>
      </c>
      <c r="Z149" t="s">
        <v>82</v>
      </c>
      <c r="AA149" t="s">
        <v>8471</v>
      </c>
      <c r="AB149" t="s">
        <v>8472</v>
      </c>
      <c r="AC149" t="s">
        <v>8473</v>
      </c>
      <c r="AD149" t="s">
        <v>8474</v>
      </c>
      <c r="AE149">
        <v>390</v>
      </c>
      <c r="AF149" t="s">
        <v>87</v>
      </c>
      <c r="AG149" t="s">
        <v>169</v>
      </c>
    </row>
    <row r="150" spans="1:33" hidden="1" x14ac:dyDescent="0.25">
      <c r="A150">
        <v>24359</v>
      </c>
      <c r="B150" t="s">
        <v>32</v>
      </c>
      <c r="C150">
        <v>1</v>
      </c>
      <c r="D150" t="s">
        <v>10485</v>
      </c>
      <c r="E150" t="s">
        <v>70</v>
      </c>
      <c r="F150" t="s">
        <v>33</v>
      </c>
      <c r="G150" t="s">
        <v>71</v>
      </c>
      <c r="H150" t="s">
        <v>72</v>
      </c>
      <c r="I150" t="s">
        <v>10486</v>
      </c>
      <c r="J150" t="s">
        <v>10487</v>
      </c>
      <c r="K150" t="s">
        <v>36</v>
      </c>
      <c r="L150" t="s">
        <v>33</v>
      </c>
      <c r="M150">
        <v>20609185784</v>
      </c>
      <c r="N150" t="s">
        <v>6707</v>
      </c>
      <c r="O150" t="s">
        <v>76</v>
      </c>
      <c r="R150" t="s">
        <v>10488</v>
      </c>
      <c r="S150">
        <v>35</v>
      </c>
      <c r="T150" t="s">
        <v>40</v>
      </c>
      <c r="U150">
        <f>+IF(Tabla1[[#This Row],[MONEDA]]="PEN",Tabla1[[#This Row],[MONTO]],Tabla1[[#This Row],[MONTO]]*3.56)</f>
        <v>35</v>
      </c>
      <c r="V150" t="s">
        <v>190</v>
      </c>
      <c r="W150">
        <v>23138</v>
      </c>
      <c r="X150" t="s">
        <v>81</v>
      </c>
      <c r="Y150" t="s">
        <v>42</v>
      </c>
      <c r="Z150" t="s">
        <v>82</v>
      </c>
      <c r="AA150" t="s">
        <v>10489</v>
      </c>
      <c r="AC150" t="s">
        <v>10490</v>
      </c>
      <c r="AD150" t="s">
        <v>10491</v>
      </c>
    </row>
    <row r="151" spans="1:33" hidden="1" x14ac:dyDescent="0.25">
      <c r="A151">
        <v>29053</v>
      </c>
      <c r="B151" t="s">
        <v>32</v>
      </c>
      <c r="C151">
        <v>2</v>
      </c>
      <c r="D151" t="s">
        <v>7224</v>
      </c>
      <c r="E151" t="s">
        <v>70</v>
      </c>
      <c r="F151" t="s">
        <v>33</v>
      </c>
      <c r="G151" t="s">
        <v>71</v>
      </c>
      <c r="H151" t="s">
        <v>72</v>
      </c>
      <c r="I151" t="s">
        <v>7225</v>
      </c>
      <c r="J151" t="s">
        <v>7230</v>
      </c>
      <c r="K151" t="s">
        <v>36</v>
      </c>
      <c r="L151" t="s">
        <v>33</v>
      </c>
      <c r="M151">
        <v>20607479365</v>
      </c>
      <c r="N151" t="s">
        <v>7231</v>
      </c>
      <c r="O151" t="s">
        <v>76</v>
      </c>
      <c r="R151" t="s">
        <v>7232</v>
      </c>
      <c r="S151">
        <v>141.6</v>
      </c>
      <c r="T151" t="s">
        <v>40</v>
      </c>
      <c r="U151">
        <f>+IF(Tabla1[[#This Row],[MONEDA]]="PEN",Tabla1[[#This Row],[MONTO]],Tabla1[[#This Row],[MONTO]]*3.56)</f>
        <v>141.6</v>
      </c>
      <c r="V151" t="s">
        <v>190</v>
      </c>
      <c r="W151">
        <v>27036</v>
      </c>
      <c r="X151" t="s">
        <v>81</v>
      </c>
      <c r="Y151" t="s">
        <v>42</v>
      </c>
      <c r="Z151" t="s">
        <v>43</v>
      </c>
      <c r="AA151" t="s">
        <v>7233</v>
      </c>
      <c r="AC151" t="s">
        <v>7234</v>
      </c>
      <c r="AD151" t="s">
        <v>7235</v>
      </c>
    </row>
    <row r="152" spans="1:33" hidden="1" x14ac:dyDescent="0.25">
      <c r="A152">
        <v>32746</v>
      </c>
      <c r="B152" t="s">
        <v>32</v>
      </c>
      <c r="C152">
        <v>1</v>
      </c>
      <c r="D152" t="s">
        <v>5295</v>
      </c>
      <c r="E152" t="s">
        <v>70</v>
      </c>
      <c r="F152" t="s">
        <v>33</v>
      </c>
      <c r="G152" t="s">
        <v>71</v>
      </c>
      <c r="H152" t="s">
        <v>35</v>
      </c>
      <c r="I152" t="s">
        <v>5295</v>
      </c>
      <c r="J152" t="s">
        <v>5301</v>
      </c>
      <c r="K152" t="s">
        <v>36</v>
      </c>
      <c r="L152" t="s">
        <v>33</v>
      </c>
      <c r="M152">
        <v>20608300393</v>
      </c>
      <c r="N152" t="s">
        <v>5302</v>
      </c>
      <c r="O152" t="s">
        <v>76</v>
      </c>
      <c r="R152" t="s">
        <v>5303</v>
      </c>
      <c r="S152">
        <v>23.95</v>
      </c>
      <c r="T152" t="s">
        <v>40</v>
      </c>
      <c r="U152">
        <f>+IF(Tabla1[[#This Row],[MONEDA]]="PEN",Tabla1[[#This Row],[MONTO]],Tabla1[[#This Row],[MONTO]]*3.56)</f>
        <v>23.95</v>
      </c>
      <c r="V152" t="s">
        <v>190</v>
      </c>
      <c r="W152">
        <v>32138</v>
      </c>
      <c r="X152" t="s">
        <v>81</v>
      </c>
      <c r="Y152" t="s">
        <v>42</v>
      </c>
      <c r="Z152" t="s">
        <v>43</v>
      </c>
      <c r="AA152" t="s">
        <v>5304</v>
      </c>
      <c r="AC152" t="s">
        <v>5305</v>
      </c>
      <c r="AD152" t="s">
        <v>5306</v>
      </c>
    </row>
    <row r="153" spans="1:33" hidden="1" x14ac:dyDescent="0.25">
      <c r="A153">
        <v>32062</v>
      </c>
      <c r="B153" t="s">
        <v>32</v>
      </c>
      <c r="C153">
        <v>1</v>
      </c>
      <c r="D153" t="s">
        <v>5475</v>
      </c>
      <c r="E153" t="s">
        <v>70</v>
      </c>
      <c r="F153" t="s">
        <v>33</v>
      </c>
      <c r="G153" t="s">
        <v>71</v>
      </c>
      <c r="H153" t="s">
        <v>72</v>
      </c>
      <c r="I153" t="s">
        <v>5475</v>
      </c>
      <c r="J153" t="s">
        <v>5491</v>
      </c>
      <c r="K153" t="s">
        <v>36</v>
      </c>
      <c r="L153" t="s">
        <v>33</v>
      </c>
      <c r="M153">
        <v>20608300393</v>
      </c>
      <c r="N153" t="s">
        <v>5302</v>
      </c>
      <c r="O153" t="s">
        <v>76</v>
      </c>
      <c r="R153" t="s">
        <v>5492</v>
      </c>
      <c r="S153">
        <v>26.6</v>
      </c>
      <c r="T153" t="s">
        <v>40</v>
      </c>
      <c r="U153">
        <f>+IF(Tabla1[[#This Row],[MONEDA]]="PEN",Tabla1[[#This Row],[MONTO]],Tabla1[[#This Row],[MONTO]]*3.56)</f>
        <v>26.6</v>
      </c>
      <c r="V153" t="s">
        <v>190</v>
      </c>
      <c r="W153">
        <v>29730</v>
      </c>
      <c r="X153" t="s">
        <v>81</v>
      </c>
      <c r="Y153" t="s">
        <v>42</v>
      </c>
      <c r="Z153" t="s">
        <v>43</v>
      </c>
      <c r="AA153" t="s">
        <v>5493</v>
      </c>
      <c r="AC153" t="s">
        <v>5494</v>
      </c>
      <c r="AD153" t="s">
        <v>5495</v>
      </c>
    </row>
    <row r="154" spans="1:33" hidden="1" x14ac:dyDescent="0.25">
      <c r="A154">
        <v>26845</v>
      </c>
      <c r="B154" t="s">
        <v>32</v>
      </c>
      <c r="C154">
        <v>2</v>
      </c>
      <c r="D154" t="s">
        <v>8885</v>
      </c>
      <c r="E154" t="s">
        <v>70</v>
      </c>
      <c r="F154" t="s">
        <v>33</v>
      </c>
      <c r="G154" t="s">
        <v>71</v>
      </c>
      <c r="H154" t="s">
        <v>72</v>
      </c>
      <c r="I154" t="s">
        <v>8886</v>
      </c>
      <c r="J154" t="s">
        <v>8887</v>
      </c>
      <c r="K154" t="s">
        <v>36</v>
      </c>
      <c r="L154" t="s">
        <v>33</v>
      </c>
      <c r="M154">
        <v>20608300393</v>
      </c>
      <c r="N154" t="s">
        <v>5302</v>
      </c>
      <c r="O154" t="s">
        <v>76</v>
      </c>
      <c r="R154" t="s">
        <v>8888</v>
      </c>
      <c r="S154">
        <v>140.65</v>
      </c>
      <c r="T154" t="s">
        <v>40</v>
      </c>
      <c r="U154">
        <f>+IF(Tabla1[[#This Row],[MONEDA]]="PEN",Tabla1[[#This Row],[MONTO]],Tabla1[[#This Row],[MONTO]]*3.56)</f>
        <v>140.65</v>
      </c>
      <c r="V154" t="s">
        <v>190</v>
      </c>
      <c r="W154">
        <v>26301</v>
      </c>
      <c r="X154" t="s">
        <v>81</v>
      </c>
      <c r="Y154" t="s">
        <v>42</v>
      </c>
      <c r="Z154" t="s">
        <v>43</v>
      </c>
      <c r="AA154" t="s">
        <v>8889</v>
      </c>
      <c r="AC154" t="s">
        <v>8890</v>
      </c>
      <c r="AD154" t="s">
        <v>8891</v>
      </c>
    </row>
    <row r="155" spans="1:33" hidden="1" x14ac:dyDescent="0.25">
      <c r="A155">
        <v>23225</v>
      </c>
      <c r="B155" t="s">
        <v>32</v>
      </c>
      <c r="C155">
        <v>1</v>
      </c>
      <c r="D155" t="s">
        <v>11475</v>
      </c>
      <c r="E155" t="s">
        <v>70</v>
      </c>
      <c r="F155" t="s">
        <v>33</v>
      </c>
      <c r="G155" t="s">
        <v>71</v>
      </c>
      <c r="H155" t="s">
        <v>72</v>
      </c>
      <c r="I155" t="s">
        <v>11476</v>
      </c>
      <c r="J155" t="s">
        <v>11477</v>
      </c>
      <c r="K155" t="s">
        <v>36</v>
      </c>
      <c r="L155" t="s">
        <v>33</v>
      </c>
      <c r="M155">
        <v>20608300393</v>
      </c>
      <c r="N155" t="s">
        <v>5302</v>
      </c>
      <c r="O155" t="s">
        <v>76</v>
      </c>
      <c r="R155" t="s">
        <v>11478</v>
      </c>
      <c r="S155">
        <v>17</v>
      </c>
      <c r="T155" t="s">
        <v>40</v>
      </c>
      <c r="U155">
        <f>+IF(Tabla1[[#This Row],[MONEDA]]="PEN",Tabla1[[#This Row],[MONTO]],Tabla1[[#This Row],[MONTO]]*3.56)</f>
        <v>17</v>
      </c>
      <c r="V155" t="s">
        <v>190</v>
      </c>
      <c r="W155">
        <v>20973</v>
      </c>
      <c r="X155" t="s">
        <v>81</v>
      </c>
      <c r="Y155" t="s">
        <v>42</v>
      </c>
      <c r="Z155" t="s">
        <v>82</v>
      </c>
      <c r="AA155" t="s">
        <v>11479</v>
      </c>
      <c r="AC155" t="s">
        <v>11480</v>
      </c>
      <c r="AD155" t="s">
        <v>11481</v>
      </c>
    </row>
    <row r="156" spans="1:33" hidden="1" x14ac:dyDescent="0.25">
      <c r="A156">
        <v>23131</v>
      </c>
      <c r="B156" t="s">
        <v>32</v>
      </c>
      <c r="C156">
        <v>1</v>
      </c>
      <c r="D156" t="s">
        <v>11552</v>
      </c>
      <c r="E156" t="s">
        <v>70</v>
      </c>
      <c r="F156" t="s">
        <v>33</v>
      </c>
      <c r="G156" t="s">
        <v>71</v>
      </c>
      <c r="H156" t="s">
        <v>72</v>
      </c>
      <c r="I156" t="s">
        <v>11553</v>
      </c>
      <c r="J156" t="s">
        <v>11554</v>
      </c>
      <c r="K156" t="s">
        <v>36</v>
      </c>
      <c r="L156" t="s">
        <v>33</v>
      </c>
      <c r="M156">
        <v>20608300393</v>
      </c>
      <c r="N156" t="s">
        <v>5302</v>
      </c>
      <c r="O156" t="s">
        <v>76</v>
      </c>
      <c r="R156" t="s">
        <v>11555</v>
      </c>
      <c r="S156">
        <v>48.8</v>
      </c>
      <c r="T156" t="s">
        <v>40</v>
      </c>
      <c r="U156">
        <f>+IF(Tabla1[[#This Row],[MONEDA]]="PEN",Tabla1[[#This Row],[MONTO]],Tabla1[[#This Row],[MONTO]]*3.56)</f>
        <v>48.8</v>
      </c>
      <c r="V156" t="s">
        <v>190</v>
      </c>
      <c r="W156">
        <v>20973</v>
      </c>
      <c r="X156" t="s">
        <v>81</v>
      </c>
      <c r="Y156" t="s">
        <v>42</v>
      </c>
      <c r="Z156" t="s">
        <v>82</v>
      </c>
      <c r="AA156" t="s">
        <v>11486</v>
      </c>
      <c r="AC156" t="s">
        <v>11556</v>
      </c>
      <c r="AD156" t="s">
        <v>11557</v>
      </c>
    </row>
    <row r="157" spans="1:33" hidden="1" x14ac:dyDescent="0.25">
      <c r="A157">
        <v>26835</v>
      </c>
      <c r="B157" t="s">
        <v>32</v>
      </c>
      <c r="C157">
        <v>2</v>
      </c>
      <c r="D157" t="s">
        <v>8927</v>
      </c>
      <c r="E157" t="s">
        <v>70</v>
      </c>
      <c r="F157" t="s">
        <v>33</v>
      </c>
      <c r="G157" t="s">
        <v>71</v>
      </c>
      <c r="H157" t="s">
        <v>72</v>
      </c>
      <c r="I157" t="s">
        <v>8928</v>
      </c>
      <c r="J157" t="s">
        <v>8929</v>
      </c>
      <c r="K157" t="s">
        <v>36</v>
      </c>
      <c r="L157" t="s">
        <v>33</v>
      </c>
      <c r="M157">
        <v>20550033519</v>
      </c>
      <c r="N157" t="s">
        <v>8930</v>
      </c>
      <c r="O157" t="s">
        <v>76</v>
      </c>
      <c r="R157" t="s">
        <v>8931</v>
      </c>
      <c r="S157">
        <v>37.799999999999997</v>
      </c>
      <c r="T157" t="s">
        <v>40</v>
      </c>
      <c r="U157">
        <f>+IF(Tabla1[[#This Row],[MONEDA]]="PEN",Tabla1[[#This Row],[MONTO]],Tabla1[[#This Row],[MONTO]]*3.56)</f>
        <v>37.799999999999997</v>
      </c>
      <c r="V157" t="s">
        <v>190</v>
      </c>
      <c r="W157">
        <v>26301</v>
      </c>
      <c r="X157" t="s">
        <v>81</v>
      </c>
      <c r="Y157" t="s">
        <v>42</v>
      </c>
      <c r="Z157" t="s">
        <v>43</v>
      </c>
      <c r="AA157" t="s">
        <v>8932</v>
      </c>
      <c r="AC157" t="s">
        <v>8933</v>
      </c>
      <c r="AD157" t="s">
        <v>8934</v>
      </c>
    </row>
    <row r="158" spans="1:33" hidden="1" x14ac:dyDescent="0.25">
      <c r="A158">
        <v>24337</v>
      </c>
      <c r="B158" t="s">
        <v>32</v>
      </c>
      <c r="C158">
        <v>1</v>
      </c>
      <c r="D158" t="s">
        <v>10512</v>
      </c>
      <c r="E158" t="s">
        <v>70</v>
      </c>
      <c r="F158" t="s">
        <v>33</v>
      </c>
      <c r="G158" t="s">
        <v>71</v>
      </c>
      <c r="H158" t="s">
        <v>72</v>
      </c>
      <c r="I158" t="s">
        <v>10513</v>
      </c>
      <c r="J158" t="s">
        <v>10514</v>
      </c>
      <c r="K158" t="s">
        <v>36</v>
      </c>
      <c r="L158" t="s">
        <v>33</v>
      </c>
      <c r="M158">
        <v>20550033519</v>
      </c>
      <c r="N158" t="s">
        <v>8930</v>
      </c>
      <c r="O158" t="s">
        <v>76</v>
      </c>
      <c r="R158" t="s">
        <v>10515</v>
      </c>
      <c r="S158">
        <v>150</v>
      </c>
      <c r="T158" t="s">
        <v>40</v>
      </c>
      <c r="U158">
        <f>+IF(Tabla1[[#This Row],[MONEDA]]="PEN",Tabla1[[#This Row],[MONTO]],Tabla1[[#This Row],[MONTO]]*3.56)</f>
        <v>150</v>
      </c>
      <c r="V158" t="s">
        <v>190</v>
      </c>
      <c r="W158">
        <v>21787</v>
      </c>
      <c r="X158" t="s">
        <v>81</v>
      </c>
      <c r="Y158" t="s">
        <v>42</v>
      </c>
      <c r="Z158" t="s">
        <v>82</v>
      </c>
      <c r="AA158" t="s">
        <v>10516</v>
      </c>
      <c r="AC158" t="s">
        <v>10517</v>
      </c>
      <c r="AD158" t="s">
        <v>10518</v>
      </c>
    </row>
    <row r="159" spans="1:33" hidden="1" x14ac:dyDescent="0.25">
      <c r="A159">
        <v>24531</v>
      </c>
      <c r="B159" t="s">
        <v>32</v>
      </c>
      <c r="C159">
        <v>1</v>
      </c>
      <c r="D159" t="s">
        <v>10228</v>
      </c>
      <c r="E159" t="s">
        <v>45</v>
      </c>
      <c r="F159" t="s">
        <v>90</v>
      </c>
      <c r="G159" t="s">
        <v>91</v>
      </c>
      <c r="H159" t="s">
        <v>72</v>
      </c>
      <c r="I159" t="s">
        <v>10229</v>
      </c>
      <c r="J159" t="s">
        <v>10230</v>
      </c>
      <c r="K159" t="s">
        <v>36</v>
      </c>
      <c r="L159" t="s">
        <v>33</v>
      </c>
      <c r="M159">
        <v>20550033519</v>
      </c>
      <c r="N159" t="s">
        <v>8930</v>
      </c>
      <c r="R159" t="s">
        <v>10231</v>
      </c>
      <c r="S159">
        <v>7.8</v>
      </c>
      <c r="T159" t="s">
        <v>40</v>
      </c>
      <c r="U159">
        <f>+IF(Tabla1[[#This Row],[MONEDA]]="PEN",Tabla1[[#This Row],[MONTO]],Tabla1[[#This Row],[MONTO]]*3.56)</f>
        <v>7.8</v>
      </c>
      <c r="V159" t="s">
        <v>190</v>
      </c>
      <c r="W159">
        <v>21301</v>
      </c>
      <c r="X159" t="s">
        <v>41</v>
      </c>
      <c r="Y159" t="s">
        <v>42</v>
      </c>
      <c r="Z159" t="s">
        <v>82</v>
      </c>
      <c r="AD159" t="s">
        <v>10232</v>
      </c>
    </row>
    <row r="160" spans="1:33" x14ac:dyDescent="0.25">
      <c r="A160">
        <v>27911</v>
      </c>
      <c r="B160" t="s">
        <v>32</v>
      </c>
      <c r="C160">
        <v>1</v>
      </c>
      <c r="D160" t="s">
        <v>8068</v>
      </c>
      <c r="E160" t="s">
        <v>70</v>
      </c>
      <c r="F160" t="s">
        <v>90</v>
      </c>
      <c r="G160" t="s">
        <v>91</v>
      </c>
      <c r="H160" t="s">
        <v>72</v>
      </c>
      <c r="I160" t="s">
        <v>8043</v>
      </c>
      <c r="J160" t="s">
        <v>8069</v>
      </c>
      <c r="K160" t="s">
        <v>36</v>
      </c>
      <c r="L160" t="s">
        <v>33</v>
      </c>
      <c r="M160">
        <v>20392965191</v>
      </c>
      <c r="N160" t="s">
        <v>8070</v>
      </c>
      <c r="P160" t="s">
        <v>38</v>
      </c>
      <c r="Q160" t="s">
        <v>8071</v>
      </c>
      <c r="R160" t="s">
        <v>8072</v>
      </c>
      <c r="S160">
        <v>27825</v>
      </c>
      <c r="T160" t="s">
        <v>40</v>
      </c>
      <c r="U160">
        <f>+IF(Tabla1[[#This Row],[MONEDA]]="PEN",Tabla1[[#This Row],[MONTO]],Tabla1[[#This Row],[MONTO]]*3.56)</f>
        <v>27825</v>
      </c>
      <c r="X160" t="s">
        <v>41</v>
      </c>
      <c r="Y160" t="s">
        <v>42</v>
      </c>
      <c r="Z160" t="s">
        <v>43</v>
      </c>
      <c r="AA160" t="s">
        <v>8073</v>
      </c>
      <c r="AB160" t="s">
        <v>8074</v>
      </c>
      <c r="AC160" t="s">
        <v>8075</v>
      </c>
      <c r="AD160" t="s">
        <v>8076</v>
      </c>
      <c r="AE160">
        <v>32833.5</v>
      </c>
      <c r="AF160" t="s">
        <v>87</v>
      </c>
      <c r="AG160" t="s">
        <v>169</v>
      </c>
    </row>
    <row r="161" spans="1:33" x14ac:dyDescent="0.25">
      <c r="A161">
        <v>27653</v>
      </c>
      <c r="B161" t="s">
        <v>32</v>
      </c>
      <c r="C161">
        <v>1</v>
      </c>
      <c r="D161" t="s">
        <v>8211</v>
      </c>
      <c r="E161" t="s">
        <v>70</v>
      </c>
      <c r="F161" t="s">
        <v>5328</v>
      </c>
      <c r="G161" t="s">
        <v>5329</v>
      </c>
      <c r="H161" t="s">
        <v>72</v>
      </c>
      <c r="I161" t="s">
        <v>8212</v>
      </c>
      <c r="J161" t="s">
        <v>8213</v>
      </c>
      <c r="K161" t="s">
        <v>36</v>
      </c>
      <c r="L161" t="s">
        <v>33</v>
      </c>
      <c r="M161">
        <v>20392965191</v>
      </c>
      <c r="N161" t="s">
        <v>8070</v>
      </c>
      <c r="O161" t="s">
        <v>6159</v>
      </c>
      <c r="P161" t="s">
        <v>38</v>
      </c>
      <c r="Q161" t="s">
        <v>8071</v>
      </c>
      <c r="R161" t="s">
        <v>8214</v>
      </c>
      <c r="S161">
        <v>39400.199999999997</v>
      </c>
      <c r="T161" t="s">
        <v>40</v>
      </c>
      <c r="U161">
        <f>+IF(Tabla1[[#This Row],[MONEDA]]="PEN",Tabla1[[#This Row],[MONTO]],Tabla1[[#This Row],[MONTO]]*3.56)</f>
        <v>39400.199999999997</v>
      </c>
      <c r="X161" t="s">
        <v>81</v>
      </c>
      <c r="Y161" t="s">
        <v>42</v>
      </c>
      <c r="Z161" t="s">
        <v>82</v>
      </c>
      <c r="AA161" t="s">
        <v>8215</v>
      </c>
      <c r="AB161" t="s">
        <v>8216</v>
      </c>
      <c r="AC161" t="s">
        <v>8217</v>
      </c>
      <c r="AD161" t="s">
        <v>8218</v>
      </c>
      <c r="AE161">
        <v>39400.199999999997</v>
      </c>
      <c r="AF161" t="s">
        <v>87</v>
      </c>
      <c r="AG161" t="s">
        <v>169</v>
      </c>
    </row>
    <row r="162" spans="1:33" x14ac:dyDescent="0.25">
      <c r="A162">
        <v>27441</v>
      </c>
      <c r="B162" t="s">
        <v>32</v>
      </c>
      <c r="C162">
        <v>1</v>
      </c>
      <c r="D162" t="s">
        <v>8348</v>
      </c>
      <c r="E162" t="s">
        <v>70</v>
      </c>
      <c r="F162" t="s">
        <v>5328</v>
      </c>
      <c r="G162" t="s">
        <v>5329</v>
      </c>
      <c r="H162" t="s">
        <v>72</v>
      </c>
      <c r="I162" t="s">
        <v>8349</v>
      </c>
      <c r="J162" t="s">
        <v>8350</v>
      </c>
      <c r="K162" t="s">
        <v>36</v>
      </c>
      <c r="L162" t="s">
        <v>33</v>
      </c>
      <c r="M162">
        <v>20392965191</v>
      </c>
      <c r="N162" t="s">
        <v>8070</v>
      </c>
      <c r="O162" t="s">
        <v>6159</v>
      </c>
      <c r="P162" t="s">
        <v>38</v>
      </c>
      <c r="Q162" t="s">
        <v>8071</v>
      </c>
      <c r="R162" t="s">
        <v>8351</v>
      </c>
      <c r="S162">
        <v>26266.799999999999</v>
      </c>
      <c r="T162" t="s">
        <v>40</v>
      </c>
      <c r="U162">
        <f>+IF(Tabla1[[#This Row],[MONEDA]]="PEN",Tabla1[[#This Row],[MONTO]],Tabla1[[#This Row],[MONTO]]*3.56)</f>
        <v>26266.799999999999</v>
      </c>
      <c r="X162" t="s">
        <v>81</v>
      </c>
      <c r="Y162" t="s">
        <v>42</v>
      </c>
      <c r="Z162" t="s">
        <v>43</v>
      </c>
      <c r="AA162" t="s">
        <v>8352</v>
      </c>
      <c r="AB162" t="s">
        <v>8353</v>
      </c>
      <c r="AC162" t="s">
        <v>8354</v>
      </c>
      <c r="AD162" t="s">
        <v>8355</v>
      </c>
      <c r="AE162">
        <v>26266.799999999999</v>
      </c>
      <c r="AF162" t="s">
        <v>87</v>
      </c>
      <c r="AG162" t="s">
        <v>169</v>
      </c>
    </row>
    <row r="163" spans="1:33" x14ac:dyDescent="0.25">
      <c r="A163">
        <v>27279</v>
      </c>
      <c r="B163" t="s">
        <v>32</v>
      </c>
      <c r="C163">
        <v>1</v>
      </c>
      <c r="D163" t="s">
        <v>8605</v>
      </c>
      <c r="E163" t="s">
        <v>70</v>
      </c>
      <c r="F163" t="s">
        <v>90</v>
      </c>
      <c r="G163" t="s">
        <v>91</v>
      </c>
      <c r="H163" t="s">
        <v>72</v>
      </c>
      <c r="I163" t="s">
        <v>8560</v>
      </c>
      <c r="J163" t="s">
        <v>8606</v>
      </c>
      <c r="K163" t="s">
        <v>36</v>
      </c>
      <c r="L163" t="s">
        <v>33</v>
      </c>
      <c r="M163">
        <v>20392965191</v>
      </c>
      <c r="N163" t="s">
        <v>8070</v>
      </c>
      <c r="P163" t="s">
        <v>38</v>
      </c>
      <c r="Q163" t="s">
        <v>8071</v>
      </c>
      <c r="R163" t="s">
        <v>8607</v>
      </c>
      <c r="S163">
        <v>26266.799999999999</v>
      </c>
      <c r="T163" t="s">
        <v>40</v>
      </c>
      <c r="U163">
        <f>+IF(Tabla1[[#This Row],[MONEDA]]="PEN",Tabla1[[#This Row],[MONTO]],Tabla1[[#This Row],[MONTO]]*3.56)</f>
        <v>26266.799999999999</v>
      </c>
      <c r="X163" t="s">
        <v>41</v>
      </c>
      <c r="Y163" t="s">
        <v>42</v>
      </c>
      <c r="Z163" t="s">
        <v>43</v>
      </c>
      <c r="AA163" t="s">
        <v>8608</v>
      </c>
      <c r="AB163" t="s">
        <v>8609</v>
      </c>
      <c r="AC163" t="s">
        <v>8610</v>
      </c>
      <c r="AD163" t="s">
        <v>8611</v>
      </c>
      <c r="AE163">
        <v>26266.799999999999</v>
      </c>
      <c r="AF163" t="s">
        <v>87</v>
      </c>
      <c r="AG163" t="s">
        <v>169</v>
      </c>
    </row>
    <row r="164" spans="1:33" x14ac:dyDescent="0.25">
      <c r="A164">
        <v>27280</v>
      </c>
      <c r="B164" t="s">
        <v>32</v>
      </c>
      <c r="C164">
        <v>1</v>
      </c>
      <c r="D164" t="s">
        <v>8612</v>
      </c>
      <c r="E164" t="s">
        <v>70</v>
      </c>
      <c r="F164" t="s">
        <v>90</v>
      </c>
      <c r="G164" t="s">
        <v>91</v>
      </c>
      <c r="H164" t="s">
        <v>72</v>
      </c>
      <c r="I164" t="s">
        <v>8560</v>
      </c>
      <c r="J164" t="s">
        <v>8613</v>
      </c>
      <c r="K164" t="s">
        <v>36</v>
      </c>
      <c r="L164" t="s">
        <v>33</v>
      </c>
      <c r="M164">
        <v>20392965191</v>
      </c>
      <c r="N164" t="s">
        <v>8070</v>
      </c>
      <c r="P164" t="s">
        <v>38</v>
      </c>
      <c r="Q164" t="s">
        <v>8071</v>
      </c>
      <c r="R164" t="s">
        <v>8614</v>
      </c>
      <c r="S164">
        <v>26266.799999999999</v>
      </c>
      <c r="T164" t="s">
        <v>40</v>
      </c>
      <c r="U164">
        <f>+IF(Tabla1[[#This Row],[MONEDA]]="PEN",Tabla1[[#This Row],[MONTO]],Tabla1[[#This Row],[MONTO]]*3.56)</f>
        <v>26266.799999999999</v>
      </c>
      <c r="X164" t="s">
        <v>41</v>
      </c>
      <c r="Y164" t="s">
        <v>42</v>
      </c>
      <c r="Z164" t="s">
        <v>43</v>
      </c>
      <c r="AA164" t="s">
        <v>8615</v>
      </c>
      <c r="AB164" t="s">
        <v>8616</v>
      </c>
      <c r="AC164" t="s">
        <v>8617</v>
      </c>
      <c r="AD164" t="s">
        <v>8618</v>
      </c>
      <c r="AE164">
        <v>26266.799999999999</v>
      </c>
      <c r="AF164" t="s">
        <v>87</v>
      </c>
      <c r="AG164" t="s">
        <v>169</v>
      </c>
    </row>
    <row r="165" spans="1:33" x14ac:dyDescent="0.25">
      <c r="A165">
        <v>26400</v>
      </c>
      <c r="B165" t="s">
        <v>32</v>
      </c>
      <c r="C165">
        <v>1</v>
      </c>
      <c r="D165" t="s">
        <v>9300</v>
      </c>
      <c r="E165" t="s">
        <v>70</v>
      </c>
      <c r="F165" t="s">
        <v>90</v>
      </c>
      <c r="G165" t="s">
        <v>91</v>
      </c>
      <c r="H165" t="s">
        <v>72</v>
      </c>
      <c r="I165" t="s">
        <v>9295</v>
      </c>
      <c r="J165" t="s">
        <v>9301</v>
      </c>
      <c r="K165" t="s">
        <v>36</v>
      </c>
      <c r="L165" t="s">
        <v>33</v>
      </c>
      <c r="M165">
        <v>20392965191</v>
      </c>
      <c r="N165" t="s">
        <v>8070</v>
      </c>
      <c r="P165" t="s">
        <v>38</v>
      </c>
      <c r="Q165" t="s">
        <v>8071</v>
      </c>
      <c r="R165" t="s">
        <v>9302</v>
      </c>
      <c r="S165">
        <v>25440</v>
      </c>
      <c r="T165" t="s">
        <v>40</v>
      </c>
      <c r="U165">
        <f>+IF(Tabla1[[#This Row],[MONEDA]]="PEN",Tabla1[[#This Row],[MONTO]],Tabla1[[#This Row],[MONTO]]*3.56)</f>
        <v>25440</v>
      </c>
      <c r="X165" t="s">
        <v>41</v>
      </c>
      <c r="Y165" t="s">
        <v>42</v>
      </c>
      <c r="Z165" t="s">
        <v>43</v>
      </c>
      <c r="AA165" t="s">
        <v>9303</v>
      </c>
      <c r="AB165" t="s">
        <v>9304</v>
      </c>
      <c r="AC165" t="s">
        <v>9305</v>
      </c>
      <c r="AD165" t="s">
        <v>9306</v>
      </c>
      <c r="AE165">
        <v>30019.200000000001</v>
      </c>
      <c r="AF165" t="s">
        <v>87</v>
      </c>
      <c r="AG165" t="s">
        <v>169</v>
      </c>
    </row>
    <row r="166" spans="1:33" x14ac:dyDescent="0.25">
      <c r="A166">
        <v>25958</v>
      </c>
      <c r="B166" t="s">
        <v>32</v>
      </c>
      <c r="C166">
        <v>1</v>
      </c>
      <c r="D166" t="s">
        <v>9488</v>
      </c>
      <c r="E166" t="s">
        <v>70</v>
      </c>
      <c r="F166" t="s">
        <v>90</v>
      </c>
      <c r="G166" t="s">
        <v>91</v>
      </c>
      <c r="H166" t="s">
        <v>72</v>
      </c>
      <c r="I166" t="s">
        <v>9469</v>
      </c>
      <c r="J166" t="s">
        <v>9489</v>
      </c>
      <c r="K166" t="s">
        <v>36</v>
      </c>
      <c r="L166" t="s">
        <v>33</v>
      </c>
      <c r="M166">
        <v>20392965191</v>
      </c>
      <c r="N166" t="s">
        <v>8070</v>
      </c>
      <c r="P166" t="s">
        <v>38</v>
      </c>
      <c r="Q166" t="s">
        <v>8071</v>
      </c>
      <c r="R166" t="s">
        <v>9490</v>
      </c>
      <c r="S166">
        <v>52650</v>
      </c>
      <c r="T166" t="s">
        <v>40</v>
      </c>
      <c r="U166">
        <f>+IF(Tabla1[[#This Row],[MONEDA]]="PEN",Tabla1[[#This Row],[MONTO]],Tabla1[[#This Row],[MONTO]]*3.56)</f>
        <v>52650</v>
      </c>
      <c r="X166" t="s">
        <v>41</v>
      </c>
      <c r="Y166" t="s">
        <v>42</v>
      </c>
      <c r="Z166" t="s">
        <v>43</v>
      </c>
      <c r="AA166" t="s">
        <v>9491</v>
      </c>
      <c r="AB166" t="s">
        <v>9492</v>
      </c>
      <c r="AC166" t="s">
        <v>9493</v>
      </c>
      <c r="AD166" t="s">
        <v>9494</v>
      </c>
      <c r="AE166">
        <v>62127</v>
      </c>
      <c r="AF166" t="s">
        <v>87</v>
      </c>
      <c r="AG166" t="s">
        <v>515</v>
      </c>
    </row>
    <row r="167" spans="1:33" x14ac:dyDescent="0.25">
      <c r="A167">
        <v>25653</v>
      </c>
      <c r="B167" t="s">
        <v>32</v>
      </c>
      <c r="C167">
        <v>1</v>
      </c>
      <c r="D167" t="s">
        <v>9608</v>
      </c>
      <c r="E167" t="s">
        <v>70</v>
      </c>
      <c r="F167" t="s">
        <v>90</v>
      </c>
      <c r="G167" t="s">
        <v>91</v>
      </c>
      <c r="H167" t="s">
        <v>72</v>
      </c>
      <c r="I167" t="s">
        <v>9609</v>
      </c>
      <c r="J167" t="s">
        <v>9610</v>
      </c>
      <c r="K167" t="s">
        <v>36</v>
      </c>
      <c r="L167" t="s">
        <v>33</v>
      </c>
      <c r="M167">
        <v>20392965191</v>
      </c>
      <c r="N167" t="s">
        <v>8070</v>
      </c>
      <c r="P167" t="s">
        <v>38</v>
      </c>
      <c r="Q167" t="s">
        <v>8071</v>
      </c>
      <c r="R167" t="s">
        <v>9611</v>
      </c>
      <c r="S167">
        <v>8850</v>
      </c>
      <c r="T167" t="s">
        <v>40</v>
      </c>
      <c r="U167">
        <f>+IF(Tabla1[[#This Row],[MONEDA]]="PEN",Tabla1[[#This Row],[MONTO]],Tabla1[[#This Row],[MONTO]]*3.56)</f>
        <v>8850</v>
      </c>
      <c r="X167" t="s">
        <v>41</v>
      </c>
      <c r="Y167" t="s">
        <v>42</v>
      </c>
      <c r="Z167" t="s">
        <v>82</v>
      </c>
      <c r="AA167" t="s">
        <v>9612</v>
      </c>
      <c r="AB167" t="s">
        <v>9613</v>
      </c>
      <c r="AC167" t="s">
        <v>9614</v>
      </c>
      <c r="AD167" t="s">
        <v>9615</v>
      </c>
      <c r="AE167">
        <v>10443</v>
      </c>
      <c r="AF167" t="s">
        <v>87</v>
      </c>
      <c r="AG167" t="s">
        <v>169</v>
      </c>
    </row>
    <row r="168" spans="1:33" x14ac:dyDescent="0.25">
      <c r="A168">
        <v>22855</v>
      </c>
      <c r="B168" t="s">
        <v>32</v>
      </c>
      <c r="C168">
        <v>1</v>
      </c>
      <c r="D168" t="s">
        <v>11721</v>
      </c>
      <c r="E168" t="s">
        <v>70</v>
      </c>
      <c r="F168" t="s">
        <v>90</v>
      </c>
      <c r="G168" t="s">
        <v>91</v>
      </c>
      <c r="H168" t="s">
        <v>72</v>
      </c>
      <c r="I168" t="s">
        <v>11722</v>
      </c>
      <c r="J168" t="s">
        <v>11723</v>
      </c>
      <c r="K168" t="s">
        <v>36</v>
      </c>
      <c r="L168" t="s">
        <v>33</v>
      </c>
      <c r="M168">
        <v>20392965191</v>
      </c>
      <c r="N168" t="s">
        <v>8070</v>
      </c>
      <c r="O168" t="s">
        <v>1747</v>
      </c>
      <c r="P168" t="s">
        <v>38</v>
      </c>
      <c r="Q168" t="s">
        <v>8071</v>
      </c>
      <c r="R168" t="s">
        <v>11724</v>
      </c>
      <c r="S168">
        <v>25665</v>
      </c>
      <c r="T168" t="s">
        <v>40</v>
      </c>
      <c r="U168">
        <f>+IF(Tabla1[[#This Row],[MONEDA]]="PEN",Tabla1[[#This Row],[MONTO]],Tabla1[[#This Row],[MONTO]]*3.56)</f>
        <v>25665</v>
      </c>
      <c r="X168" t="s">
        <v>41</v>
      </c>
      <c r="Y168" t="s">
        <v>42</v>
      </c>
      <c r="Z168" t="s">
        <v>43</v>
      </c>
      <c r="AA168" t="s">
        <v>11725</v>
      </c>
      <c r="AB168" t="s">
        <v>11726</v>
      </c>
      <c r="AC168" t="s">
        <v>11727</v>
      </c>
      <c r="AD168" t="s">
        <v>11728</v>
      </c>
      <c r="AE168">
        <v>30284.7</v>
      </c>
      <c r="AF168" t="s">
        <v>87</v>
      </c>
      <c r="AG168" t="s">
        <v>169</v>
      </c>
    </row>
    <row r="169" spans="1:33" hidden="1" x14ac:dyDescent="0.25">
      <c r="A169">
        <v>45098</v>
      </c>
      <c r="B169" t="s">
        <v>32</v>
      </c>
      <c r="C169">
        <v>1</v>
      </c>
      <c r="D169" t="s">
        <v>274</v>
      </c>
      <c r="E169" t="s">
        <v>70</v>
      </c>
      <c r="F169" t="s">
        <v>33</v>
      </c>
      <c r="G169" t="s">
        <v>71</v>
      </c>
      <c r="H169" t="s">
        <v>35</v>
      </c>
      <c r="I169" t="s">
        <v>275</v>
      </c>
      <c r="J169" t="s">
        <v>276</v>
      </c>
      <c r="K169" t="s">
        <v>36</v>
      </c>
      <c r="L169" t="s">
        <v>33</v>
      </c>
      <c r="M169">
        <v>20605190864</v>
      </c>
      <c r="N169" t="s">
        <v>277</v>
      </c>
      <c r="O169" t="s">
        <v>76</v>
      </c>
      <c r="P169" t="s">
        <v>38</v>
      </c>
      <c r="Q169" t="s">
        <v>278</v>
      </c>
      <c r="R169" t="s">
        <v>279</v>
      </c>
      <c r="S169">
        <v>201.78</v>
      </c>
      <c r="T169" t="s">
        <v>40</v>
      </c>
      <c r="U169">
        <f>+IF(Tabla1[[#This Row],[MONEDA]]="PEN",Tabla1[[#This Row],[MONTO]],Tabla1[[#This Row],[MONTO]]*3.56)</f>
        <v>201.78</v>
      </c>
      <c r="X169" t="s">
        <v>81</v>
      </c>
      <c r="Y169" t="s">
        <v>42</v>
      </c>
      <c r="Z169" t="s">
        <v>82</v>
      </c>
      <c r="AA169" t="s">
        <v>280</v>
      </c>
      <c r="AB169" t="s">
        <v>281</v>
      </c>
      <c r="AC169" t="s">
        <v>282</v>
      </c>
      <c r="AD169" t="s">
        <v>283</v>
      </c>
      <c r="AE169">
        <v>201.78</v>
      </c>
      <c r="AF169" t="s">
        <v>87</v>
      </c>
      <c r="AG169" t="s">
        <v>169</v>
      </c>
    </row>
    <row r="170" spans="1:33" hidden="1" x14ac:dyDescent="0.25">
      <c r="A170">
        <v>44052</v>
      </c>
      <c r="B170" t="s">
        <v>32</v>
      </c>
      <c r="C170">
        <v>1</v>
      </c>
      <c r="D170" t="s">
        <v>584</v>
      </c>
      <c r="E170" t="s">
        <v>70</v>
      </c>
      <c r="F170" t="s">
        <v>33</v>
      </c>
      <c r="G170" t="s">
        <v>71</v>
      </c>
      <c r="H170" t="s">
        <v>35</v>
      </c>
      <c r="I170" t="s">
        <v>575</v>
      </c>
      <c r="J170" t="s">
        <v>585</v>
      </c>
      <c r="K170" t="s">
        <v>36</v>
      </c>
      <c r="L170" t="s">
        <v>33</v>
      </c>
      <c r="M170">
        <v>20605190864</v>
      </c>
      <c r="N170" t="s">
        <v>277</v>
      </c>
      <c r="O170" t="s">
        <v>76</v>
      </c>
      <c r="P170" t="s">
        <v>38</v>
      </c>
      <c r="Q170" t="s">
        <v>278</v>
      </c>
      <c r="R170" t="s">
        <v>586</v>
      </c>
      <c r="S170">
        <v>871.19</v>
      </c>
      <c r="T170" t="s">
        <v>40</v>
      </c>
      <c r="U170">
        <f>+IF(Tabla1[[#This Row],[MONEDA]]="PEN",Tabla1[[#This Row],[MONTO]],Tabla1[[#This Row],[MONTO]]*3.56)</f>
        <v>871.19</v>
      </c>
      <c r="X170" t="s">
        <v>81</v>
      </c>
      <c r="Y170" t="s">
        <v>42</v>
      </c>
      <c r="Z170" t="s">
        <v>82</v>
      </c>
      <c r="AA170" t="s">
        <v>587</v>
      </c>
      <c r="AB170" t="s">
        <v>588</v>
      </c>
      <c r="AC170" t="s">
        <v>589</v>
      </c>
      <c r="AD170" t="s">
        <v>590</v>
      </c>
      <c r="AE170">
        <v>845.05</v>
      </c>
      <c r="AF170" t="s">
        <v>87</v>
      </c>
      <c r="AG170" t="s">
        <v>169</v>
      </c>
    </row>
    <row r="171" spans="1:33" hidden="1" x14ac:dyDescent="0.25">
      <c r="A171">
        <v>42727</v>
      </c>
      <c r="B171" t="s">
        <v>32</v>
      </c>
      <c r="C171">
        <v>1</v>
      </c>
      <c r="D171" t="s">
        <v>993</v>
      </c>
      <c r="E171" t="s">
        <v>70</v>
      </c>
      <c r="F171" t="s">
        <v>33</v>
      </c>
      <c r="G171" t="s">
        <v>71</v>
      </c>
      <c r="H171" t="s">
        <v>35</v>
      </c>
      <c r="I171" t="s">
        <v>986</v>
      </c>
      <c r="J171" t="s">
        <v>994</v>
      </c>
      <c r="K171" t="s">
        <v>36</v>
      </c>
      <c r="L171" t="s">
        <v>33</v>
      </c>
      <c r="M171">
        <v>20605190864</v>
      </c>
      <c r="N171" t="s">
        <v>277</v>
      </c>
      <c r="O171" t="s">
        <v>76</v>
      </c>
      <c r="P171" t="s">
        <v>38</v>
      </c>
      <c r="Q171" t="s">
        <v>278</v>
      </c>
      <c r="R171" t="s">
        <v>995</v>
      </c>
      <c r="S171">
        <v>199.89</v>
      </c>
      <c r="T171" t="s">
        <v>40</v>
      </c>
      <c r="U171">
        <f>+IF(Tabla1[[#This Row],[MONEDA]]="PEN",Tabla1[[#This Row],[MONTO]],Tabla1[[#This Row],[MONTO]]*3.56)</f>
        <v>199.89</v>
      </c>
      <c r="X171" t="s">
        <v>81</v>
      </c>
      <c r="Y171" t="s">
        <v>42</v>
      </c>
      <c r="Z171" t="s">
        <v>82</v>
      </c>
      <c r="AA171" t="s">
        <v>996</v>
      </c>
      <c r="AB171" t="s">
        <v>997</v>
      </c>
      <c r="AC171" t="s">
        <v>998</v>
      </c>
      <c r="AD171" t="s">
        <v>999</v>
      </c>
      <c r="AE171">
        <v>199.89</v>
      </c>
      <c r="AF171" t="s">
        <v>87</v>
      </c>
      <c r="AG171" t="s">
        <v>169</v>
      </c>
    </row>
    <row r="172" spans="1:33" hidden="1" x14ac:dyDescent="0.25">
      <c r="A172">
        <v>35238</v>
      </c>
      <c r="B172" t="s">
        <v>32</v>
      </c>
      <c r="C172">
        <v>1</v>
      </c>
      <c r="D172" t="s">
        <v>4264</v>
      </c>
      <c r="E172" t="s">
        <v>70</v>
      </c>
      <c r="F172" t="s">
        <v>33</v>
      </c>
      <c r="G172" t="s">
        <v>71</v>
      </c>
      <c r="H172" t="s">
        <v>72</v>
      </c>
      <c r="I172" t="s">
        <v>4257</v>
      </c>
      <c r="J172" t="s">
        <v>4265</v>
      </c>
      <c r="K172" t="s">
        <v>36</v>
      </c>
      <c r="L172" t="s">
        <v>33</v>
      </c>
      <c r="M172">
        <v>20605190864</v>
      </c>
      <c r="N172" t="s">
        <v>277</v>
      </c>
      <c r="O172" t="s">
        <v>76</v>
      </c>
      <c r="P172" t="s">
        <v>38</v>
      </c>
      <c r="Q172" t="s">
        <v>278</v>
      </c>
      <c r="R172" t="s">
        <v>4266</v>
      </c>
      <c r="S172">
        <v>4956</v>
      </c>
      <c r="T172" t="s">
        <v>40</v>
      </c>
      <c r="U172">
        <f>+IF(Tabla1[[#This Row],[MONEDA]]="PEN",Tabla1[[#This Row],[MONTO]],Tabla1[[#This Row],[MONTO]]*3.56)</f>
        <v>4956</v>
      </c>
      <c r="X172" t="s">
        <v>41</v>
      </c>
      <c r="Y172" t="s">
        <v>42</v>
      </c>
      <c r="Z172" t="s">
        <v>43</v>
      </c>
      <c r="AA172" t="s">
        <v>4267</v>
      </c>
      <c r="AB172" t="s">
        <v>4268</v>
      </c>
      <c r="AC172" t="s">
        <v>4269</v>
      </c>
      <c r="AD172" t="s">
        <v>4270</v>
      </c>
      <c r="AE172">
        <v>4757.76</v>
      </c>
      <c r="AF172" t="s">
        <v>87</v>
      </c>
      <c r="AG172" t="s">
        <v>169</v>
      </c>
    </row>
    <row r="173" spans="1:33" hidden="1" x14ac:dyDescent="0.25">
      <c r="A173">
        <v>28047</v>
      </c>
      <c r="B173" t="s">
        <v>32</v>
      </c>
      <c r="C173">
        <v>3</v>
      </c>
      <c r="D173" t="s">
        <v>5086</v>
      </c>
      <c r="E173" t="s">
        <v>70</v>
      </c>
      <c r="F173" t="s">
        <v>33</v>
      </c>
      <c r="G173" t="s">
        <v>71</v>
      </c>
      <c r="H173" t="s">
        <v>72</v>
      </c>
      <c r="I173" t="s">
        <v>5087</v>
      </c>
      <c r="J173" t="s">
        <v>5088</v>
      </c>
      <c r="K173" t="s">
        <v>36</v>
      </c>
      <c r="L173" t="s">
        <v>33</v>
      </c>
      <c r="M173">
        <v>20605190864</v>
      </c>
      <c r="N173" t="s">
        <v>277</v>
      </c>
      <c r="O173" t="s">
        <v>76</v>
      </c>
      <c r="P173" t="s">
        <v>38</v>
      </c>
      <c r="Q173" t="s">
        <v>278</v>
      </c>
      <c r="R173" t="s">
        <v>5089</v>
      </c>
      <c r="S173">
        <v>55335.78</v>
      </c>
      <c r="T173" t="s">
        <v>40</v>
      </c>
      <c r="U173">
        <f>+IF(Tabla1[[#This Row],[MONEDA]]="PEN",Tabla1[[#This Row],[MONTO]],Tabla1[[#This Row],[MONTO]]*3.56)</f>
        <v>55335.78</v>
      </c>
      <c r="X173" t="s">
        <v>41</v>
      </c>
      <c r="Y173" t="s">
        <v>42</v>
      </c>
      <c r="Z173" t="s">
        <v>43</v>
      </c>
      <c r="AA173" t="s">
        <v>5090</v>
      </c>
      <c r="AB173" t="s">
        <v>5091</v>
      </c>
      <c r="AC173" t="s">
        <v>5092</v>
      </c>
      <c r="AD173" t="s">
        <v>5093</v>
      </c>
      <c r="AE173">
        <v>53675.71</v>
      </c>
      <c r="AF173" t="s">
        <v>87</v>
      </c>
      <c r="AG173" t="s">
        <v>169</v>
      </c>
    </row>
    <row r="174" spans="1:33" hidden="1" x14ac:dyDescent="0.25">
      <c r="A174">
        <v>32833</v>
      </c>
      <c r="B174" t="s">
        <v>32</v>
      </c>
      <c r="C174">
        <v>1</v>
      </c>
      <c r="D174" t="s">
        <v>5263</v>
      </c>
      <c r="E174" t="s">
        <v>70</v>
      </c>
      <c r="F174" t="s">
        <v>33</v>
      </c>
      <c r="G174" t="s">
        <v>71</v>
      </c>
      <c r="H174" t="s">
        <v>72</v>
      </c>
      <c r="I174" t="s">
        <v>5234</v>
      </c>
      <c r="J174" t="s">
        <v>5264</v>
      </c>
      <c r="K174" t="s">
        <v>36</v>
      </c>
      <c r="L174" t="s">
        <v>33</v>
      </c>
      <c r="M174">
        <v>20605190864</v>
      </c>
      <c r="N174" t="s">
        <v>277</v>
      </c>
      <c r="O174" t="s">
        <v>76</v>
      </c>
      <c r="P174" t="s">
        <v>38</v>
      </c>
      <c r="Q174" t="s">
        <v>278</v>
      </c>
      <c r="R174" t="s">
        <v>5265</v>
      </c>
      <c r="S174">
        <v>18472.39</v>
      </c>
      <c r="T174" t="s">
        <v>40</v>
      </c>
      <c r="U174">
        <f>+IF(Tabla1[[#This Row],[MONEDA]]="PEN",Tabla1[[#This Row],[MONTO]],Tabla1[[#This Row],[MONTO]]*3.56)</f>
        <v>18472.39</v>
      </c>
      <c r="X174" t="s">
        <v>81</v>
      </c>
      <c r="Y174" t="s">
        <v>42</v>
      </c>
      <c r="Z174" t="s">
        <v>82</v>
      </c>
      <c r="AA174" t="s">
        <v>5266</v>
      </c>
      <c r="AB174" t="s">
        <v>5267</v>
      </c>
      <c r="AC174" t="s">
        <v>5268</v>
      </c>
      <c r="AD174" t="s">
        <v>5269</v>
      </c>
      <c r="AE174">
        <v>17918.22</v>
      </c>
      <c r="AG174" t="s">
        <v>169</v>
      </c>
    </row>
    <row r="175" spans="1:33" hidden="1" x14ac:dyDescent="0.25">
      <c r="A175">
        <v>28046</v>
      </c>
      <c r="B175" t="s">
        <v>32</v>
      </c>
      <c r="C175">
        <v>1</v>
      </c>
      <c r="D175" t="s">
        <v>5086</v>
      </c>
      <c r="E175" t="s">
        <v>70</v>
      </c>
      <c r="F175" t="s">
        <v>33</v>
      </c>
      <c r="G175" t="s">
        <v>71</v>
      </c>
      <c r="H175" t="s">
        <v>72</v>
      </c>
      <c r="I175" t="s">
        <v>7954</v>
      </c>
      <c r="J175" t="s">
        <v>7955</v>
      </c>
      <c r="K175" t="s">
        <v>36</v>
      </c>
      <c r="L175" t="s">
        <v>33</v>
      </c>
      <c r="M175">
        <v>20605190864</v>
      </c>
      <c r="N175" t="s">
        <v>277</v>
      </c>
      <c r="O175" t="s">
        <v>76</v>
      </c>
      <c r="P175" t="s">
        <v>38</v>
      </c>
      <c r="Q175" t="s">
        <v>278</v>
      </c>
      <c r="R175" t="s">
        <v>7956</v>
      </c>
      <c r="S175">
        <v>55335.78</v>
      </c>
      <c r="T175" t="s">
        <v>40</v>
      </c>
      <c r="U175">
        <f>+IF(Tabla1[[#This Row],[MONEDA]]="PEN",Tabla1[[#This Row],[MONTO]],Tabla1[[#This Row],[MONTO]]*3.56)</f>
        <v>55335.78</v>
      </c>
      <c r="X175" t="s">
        <v>41</v>
      </c>
      <c r="Y175" t="s">
        <v>42</v>
      </c>
      <c r="Z175" t="s">
        <v>43</v>
      </c>
      <c r="AA175" t="s">
        <v>7957</v>
      </c>
      <c r="AB175" t="s">
        <v>5091</v>
      </c>
      <c r="AC175" t="s">
        <v>7958</v>
      </c>
      <c r="AD175" t="s">
        <v>7959</v>
      </c>
      <c r="AE175">
        <v>53675.71</v>
      </c>
      <c r="AF175" t="s">
        <v>87</v>
      </c>
      <c r="AG175" t="s">
        <v>169</v>
      </c>
    </row>
    <row r="176" spans="1:33" hidden="1" x14ac:dyDescent="0.25">
      <c r="A176">
        <v>27890</v>
      </c>
      <c r="B176" t="s">
        <v>32</v>
      </c>
      <c r="C176">
        <v>2</v>
      </c>
      <c r="D176" t="s">
        <v>7967</v>
      </c>
      <c r="E176" t="s">
        <v>70</v>
      </c>
      <c r="F176" t="s">
        <v>33</v>
      </c>
      <c r="G176" t="s">
        <v>71</v>
      </c>
      <c r="H176" t="s">
        <v>72</v>
      </c>
      <c r="I176" t="s">
        <v>7968</v>
      </c>
      <c r="J176" t="s">
        <v>7969</v>
      </c>
      <c r="K176" t="s">
        <v>36</v>
      </c>
      <c r="L176" t="s">
        <v>33</v>
      </c>
      <c r="M176">
        <v>20605190864</v>
      </c>
      <c r="N176" t="s">
        <v>277</v>
      </c>
      <c r="O176" t="s">
        <v>76</v>
      </c>
      <c r="P176" t="s">
        <v>38</v>
      </c>
      <c r="Q176" t="s">
        <v>278</v>
      </c>
      <c r="R176" t="s">
        <v>7970</v>
      </c>
      <c r="S176">
        <v>2389.7399999999998</v>
      </c>
      <c r="T176" t="s">
        <v>40</v>
      </c>
      <c r="U176">
        <f>+IF(Tabla1[[#This Row],[MONEDA]]="PEN",Tabla1[[#This Row],[MONTO]],Tabla1[[#This Row],[MONTO]]*3.56)</f>
        <v>2389.7399999999998</v>
      </c>
      <c r="X176" t="s">
        <v>81</v>
      </c>
      <c r="Y176" t="s">
        <v>42</v>
      </c>
      <c r="Z176" t="s">
        <v>43</v>
      </c>
      <c r="AA176" t="s">
        <v>7971</v>
      </c>
      <c r="AB176" t="s">
        <v>7972</v>
      </c>
      <c r="AC176" t="s">
        <v>7973</v>
      </c>
      <c r="AD176" t="s">
        <v>7974</v>
      </c>
      <c r="AE176">
        <v>2318.0500000000002</v>
      </c>
      <c r="AF176" t="s">
        <v>87</v>
      </c>
      <c r="AG176" t="s">
        <v>169</v>
      </c>
    </row>
    <row r="177" spans="1:33" hidden="1" x14ac:dyDescent="0.25">
      <c r="A177">
        <v>27073</v>
      </c>
      <c r="B177" t="s">
        <v>32</v>
      </c>
      <c r="C177">
        <v>1</v>
      </c>
      <c r="D177" t="s">
        <v>8732</v>
      </c>
      <c r="E177" t="s">
        <v>70</v>
      </c>
      <c r="F177" t="s">
        <v>33</v>
      </c>
      <c r="G177" t="s">
        <v>71</v>
      </c>
      <c r="H177" t="s">
        <v>72</v>
      </c>
      <c r="I177" t="s">
        <v>8711</v>
      </c>
      <c r="J177" t="s">
        <v>8733</v>
      </c>
      <c r="K177" t="s">
        <v>36</v>
      </c>
      <c r="L177" t="s">
        <v>33</v>
      </c>
      <c r="M177">
        <v>20605190864</v>
      </c>
      <c r="N177" t="s">
        <v>277</v>
      </c>
      <c r="O177" t="s">
        <v>76</v>
      </c>
      <c r="P177" t="s">
        <v>38</v>
      </c>
      <c r="Q177" t="s">
        <v>278</v>
      </c>
      <c r="R177" t="s">
        <v>8734</v>
      </c>
      <c r="S177">
        <v>914.26</v>
      </c>
      <c r="T177" t="s">
        <v>40</v>
      </c>
      <c r="U177">
        <f>+IF(Tabla1[[#This Row],[MONEDA]]="PEN",Tabla1[[#This Row],[MONTO]],Tabla1[[#This Row],[MONTO]]*3.56)</f>
        <v>914.26</v>
      </c>
      <c r="X177" t="s">
        <v>81</v>
      </c>
      <c r="Y177" t="s">
        <v>42</v>
      </c>
      <c r="Z177" t="s">
        <v>43</v>
      </c>
      <c r="AA177" t="s">
        <v>8735</v>
      </c>
      <c r="AB177" t="s">
        <v>8736</v>
      </c>
      <c r="AC177" t="s">
        <v>8737</v>
      </c>
      <c r="AD177" t="s">
        <v>8738</v>
      </c>
      <c r="AE177">
        <v>886.83</v>
      </c>
      <c r="AF177" t="s">
        <v>87</v>
      </c>
      <c r="AG177" t="s">
        <v>169</v>
      </c>
    </row>
    <row r="178" spans="1:33" hidden="1" x14ac:dyDescent="0.25">
      <c r="A178">
        <v>25341</v>
      </c>
      <c r="B178" t="s">
        <v>32</v>
      </c>
      <c r="C178">
        <v>1</v>
      </c>
      <c r="D178" t="s">
        <v>9913</v>
      </c>
      <c r="E178" t="s">
        <v>70</v>
      </c>
      <c r="F178" t="s">
        <v>33</v>
      </c>
      <c r="G178" t="s">
        <v>71</v>
      </c>
      <c r="H178" t="s">
        <v>72</v>
      </c>
      <c r="I178" t="s">
        <v>9906</v>
      </c>
      <c r="J178" t="s">
        <v>9914</v>
      </c>
      <c r="K178" t="s">
        <v>36</v>
      </c>
      <c r="L178" t="s">
        <v>33</v>
      </c>
      <c r="M178">
        <v>20605190864</v>
      </c>
      <c r="N178" t="s">
        <v>277</v>
      </c>
      <c r="O178" t="s">
        <v>76</v>
      </c>
      <c r="P178" t="s">
        <v>38</v>
      </c>
      <c r="Q178" t="s">
        <v>278</v>
      </c>
      <c r="R178" t="s">
        <v>9915</v>
      </c>
      <c r="S178">
        <v>5333.9</v>
      </c>
      <c r="T178" t="s">
        <v>40</v>
      </c>
      <c r="U178">
        <f>+IF(Tabla1[[#This Row],[MONEDA]]="PEN",Tabla1[[#This Row],[MONTO]],Tabla1[[#This Row],[MONTO]]*3.56)</f>
        <v>5333.9</v>
      </c>
      <c r="X178" t="s">
        <v>81</v>
      </c>
      <c r="Y178" t="s">
        <v>42</v>
      </c>
      <c r="Z178" t="s">
        <v>82</v>
      </c>
      <c r="AA178" t="s">
        <v>9916</v>
      </c>
      <c r="AB178" t="s">
        <v>9917</v>
      </c>
      <c r="AC178" t="s">
        <v>9918</v>
      </c>
      <c r="AD178" t="s">
        <v>9919</v>
      </c>
      <c r="AE178">
        <v>5173.88</v>
      </c>
      <c r="AF178" t="s">
        <v>87</v>
      </c>
      <c r="AG178" t="s">
        <v>169</v>
      </c>
    </row>
    <row r="179" spans="1:33" hidden="1" x14ac:dyDescent="0.25">
      <c r="A179">
        <v>25106</v>
      </c>
      <c r="B179" t="s">
        <v>32</v>
      </c>
      <c r="C179">
        <v>1</v>
      </c>
      <c r="D179" t="s">
        <v>10025</v>
      </c>
      <c r="E179" t="s">
        <v>70</v>
      </c>
      <c r="F179" t="s">
        <v>33</v>
      </c>
      <c r="G179" t="s">
        <v>71</v>
      </c>
      <c r="H179" t="s">
        <v>72</v>
      </c>
      <c r="I179" t="s">
        <v>10018</v>
      </c>
      <c r="J179" t="s">
        <v>10026</v>
      </c>
      <c r="K179" t="s">
        <v>36</v>
      </c>
      <c r="L179" t="s">
        <v>33</v>
      </c>
      <c r="M179">
        <v>20605190864</v>
      </c>
      <c r="N179" t="s">
        <v>277</v>
      </c>
      <c r="O179" t="s">
        <v>76</v>
      </c>
      <c r="P179" t="s">
        <v>38</v>
      </c>
      <c r="Q179" t="s">
        <v>278</v>
      </c>
      <c r="R179" t="s">
        <v>10027</v>
      </c>
      <c r="S179">
        <v>6167.27</v>
      </c>
      <c r="T179" t="s">
        <v>40</v>
      </c>
      <c r="U179">
        <f>+IF(Tabla1[[#This Row],[MONEDA]]="PEN",Tabla1[[#This Row],[MONTO]],Tabla1[[#This Row],[MONTO]]*3.56)</f>
        <v>6167.27</v>
      </c>
      <c r="X179" t="s">
        <v>81</v>
      </c>
      <c r="Y179" t="s">
        <v>42</v>
      </c>
      <c r="Z179" t="s">
        <v>82</v>
      </c>
      <c r="AA179" t="s">
        <v>10028</v>
      </c>
      <c r="AB179" t="s">
        <v>10029</v>
      </c>
      <c r="AC179" t="s">
        <v>10030</v>
      </c>
      <c r="AD179" t="s">
        <v>10031</v>
      </c>
      <c r="AE179">
        <v>5982.25</v>
      </c>
      <c r="AF179" t="s">
        <v>87</v>
      </c>
      <c r="AG179" t="s">
        <v>169</v>
      </c>
    </row>
    <row r="180" spans="1:33" hidden="1" x14ac:dyDescent="0.25">
      <c r="A180">
        <v>23944</v>
      </c>
      <c r="B180" t="s">
        <v>32</v>
      </c>
      <c r="C180">
        <v>2</v>
      </c>
      <c r="D180" t="s">
        <v>10917</v>
      </c>
      <c r="E180" t="s">
        <v>70</v>
      </c>
      <c r="F180" t="s">
        <v>33</v>
      </c>
      <c r="G180" t="s">
        <v>71</v>
      </c>
      <c r="H180" t="s">
        <v>72</v>
      </c>
      <c r="I180" t="s">
        <v>10888</v>
      </c>
      <c r="J180" t="s">
        <v>10918</v>
      </c>
      <c r="K180" t="s">
        <v>36</v>
      </c>
      <c r="L180" t="s">
        <v>33</v>
      </c>
      <c r="M180">
        <v>20605190864</v>
      </c>
      <c r="N180" t="s">
        <v>277</v>
      </c>
      <c r="O180" t="s">
        <v>76</v>
      </c>
      <c r="P180" t="s">
        <v>38</v>
      </c>
      <c r="Q180" t="s">
        <v>278</v>
      </c>
      <c r="R180" t="s">
        <v>10919</v>
      </c>
      <c r="S180">
        <v>1580.32</v>
      </c>
      <c r="T180" t="s">
        <v>40</v>
      </c>
      <c r="U180">
        <f>+IF(Tabla1[[#This Row],[MONEDA]]="PEN",Tabla1[[#This Row],[MONTO]],Tabla1[[#This Row],[MONTO]]*3.56)</f>
        <v>1580.32</v>
      </c>
      <c r="X180" t="s">
        <v>81</v>
      </c>
      <c r="Y180" t="s">
        <v>42</v>
      </c>
      <c r="Z180" t="s">
        <v>43</v>
      </c>
      <c r="AA180" t="s">
        <v>10920</v>
      </c>
      <c r="AB180" t="s">
        <v>10921</v>
      </c>
      <c r="AC180" t="s">
        <v>10922</v>
      </c>
      <c r="AD180" t="s">
        <v>10923</v>
      </c>
      <c r="AE180">
        <v>1532.91</v>
      </c>
      <c r="AF180" t="s">
        <v>87</v>
      </c>
      <c r="AG180" t="s">
        <v>169</v>
      </c>
    </row>
    <row r="181" spans="1:33" hidden="1" x14ac:dyDescent="0.25">
      <c r="A181">
        <v>23420</v>
      </c>
      <c r="B181" t="s">
        <v>32</v>
      </c>
      <c r="C181">
        <v>1</v>
      </c>
      <c r="D181" t="s">
        <v>11221</v>
      </c>
      <c r="E181" t="s">
        <v>70</v>
      </c>
      <c r="F181" t="s">
        <v>33</v>
      </c>
      <c r="G181" t="s">
        <v>9422</v>
      </c>
      <c r="H181" t="s">
        <v>72</v>
      </c>
      <c r="I181" t="s">
        <v>11200</v>
      </c>
      <c r="J181" t="s">
        <v>11222</v>
      </c>
      <c r="K181" t="s">
        <v>36</v>
      </c>
      <c r="L181" t="s">
        <v>33</v>
      </c>
      <c r="M181">
        <v>20605190864</v>
      </c>
      <c r="N181" t="s">
        <v>277</v>
      </c>
      <c r="O181" t="s">
        <v>9423</v>
      </c>
      <c r="P181" t="s">
        <v>38</v>
      </c>
      <c r="Q181" t="s">
        <v>278</v>
      </c>
      <c r="R181" t="s">
        <v>11223</v>
      </c>
      <c r="S181">
        <v>1892.6</v>
      </c>
      <c r="T181" t="s">
        <v>40</v>
      </c>
      <c r="U181">
        <f>+IF(Tabla1[[#This Row],[MONEDA]]="PEN",Tabla1[[#This Row],[MONTO]],Tabla1[[#This Row],[MONTO]]*3.56)</f>
        <v>1892.6</v>
      </c>
      <c r="X181" t="s">
        <v>41</v>
      </c>
      <c r="Y181" t="s">
        <v>42</v>
      </c>
      <c r="Z181" t="s">
        <v>43</v>
      </c>
      <c r="AA181" t="s">
        <v>11224</v>
      </c>
      <c r="AB181" t="s">
        <v>11225</v>
      </c>
      <c r="AC181" t="s">
        <v>11226</v>
      </c>
      <c r="AD181" t="s">
        <v>11227</v>
      </c>
      <c r="AE181">
        <v>1835.82</v>
      </c>
      <c r="AF181" t="s">
        <v>87</v>
      </c>
      <c r="AG181" t="s">
        <v>169</v>
      </c>
    </row>
    <row r="182" spans="1:33" hidden="1" x14ac:dyDescent="0.25">
      <c r="A182">
        <v>38355</v>
      </c>
      <c r="B182" t="s">
        <v>32</v>
      </c>
      <c r="C182">
        <v>1</v>
      </c>
      <c r="D182" t="s">
        <v>2967</v>
      </c>
      <c r="E182" t="s">
        <v>70</v>
      </c>
      <c r="F182" t="s">
        <v>33</v>
      </c>
      <c r="G182" t="s">
        <v>71</v>
      </c>
      <c r="H182" t="s">
        <v>35</v>
      </c>
      <c r="I182" t="s">
        <v>2953</v>
      </c>
      <c r="J182" t="s">
        <v>2968</v>
      </c>
      <c r="K182" t="s">
        <v>36</v>
      </c>
      <c r="L182" t="s">
        <v>33</v>
      </c>
      <c r="M182">
        <v>10044081640</v>
      </c>
      <c r="N182" t="s">
        <v>2969</v>
      </c>
      <c r="O182" t="s">
        <v>76</v>
      </c>
      <c r="P182" t="s">
        <v>38</v>
      </c>
      <c r="Q182">
        <v>43035817125026</v>
      </c>
      <c r="R182" t="s">
        <v>2970</v>
      </c>
      <c r="S182">
        <v>3229.66</v>
      </c>
      <c r="T182" t="s">
        <v>40</v>
      </c>
      <c r="U182">
        <f>+IF(Tabla1[[#This Row],[MONEDA]]="PEN",Tabla1[[#This Row],[MONTO]],Tabla1[[#This Row],[MONTO]]*3.56)</f>
        <v>3229.66</v>
      </c>
      <c r="X182" t="s">
        <v>41</v>
      </c>
      <c r="Y182" t="s">
        <v>42</v>
      </c>
      <c r="Z182" t="s">
        <v>82</v>
      </c>
      <c r="AA182" t="s">
        <v>2971</v>
      </c>
      <c r="AB182" t="s">
        <v>2972</v>
      </c>
      <c r="AC182" t="s">
        <v>2973</v>
      </c>
      <c r="AD182" t="s">
        <v>2974</v>
      </c>
      <c r="AE182">
        <v>2842.1</v>
      </c>
      <c r="AF182" t="s">
        <v>87</v>
      </c>
      <c r="AG182" t="s">
        <v>169</v>
      </c>
    </row>
    <row r="183" spans="1:33" hidden="1" x14ac:dyDescent="0.25">
      <c r="A183">
        <v>36371</v>
      </c>
      <c r="B183" t="s">
        <v>32</v>
      </c>
      <c r="C183">
        <v>2</v>
      </c>
      <c r="D183" t="s">
        <v>3940</v>
      </c>
      <c r="E183" t="s">
        <v>70</v>
      </c>
      <c r="F183" t="s">
        <v>33</v>
      </c>
      <c r="G183" t="s">
        <v>71</v>
      </c>
      <c r="H183" t="s">
        <v>72</v>
      </c>
      <c r="I183" t="s">
        <v>3941</v>
      </c>
      <c r="J183" t="s">
        <v>3942</v>
      </c>
      <c r="K183" t="s">
        <v>36</v>
      </c>
      <c r="L183" t="s">
        <v>33</v>
      </c>
      <c r="M183">
        <v>10044081640</v>
      </c>
      <c r="N183" t="s">
        <v>2969</v>
      </c>
      <c r="O183" t="s">
        <v>76</v>
      </c>
      <c r="P183" t="s">
        <v>38</v>
      </c>
      <c r="Q183">
        <v>43035817125026</v>
      </c>
      <c r="R183" t="s">
        <v>3943</v>
      </c>
      <c r="S183">
        <v>5894.8</v>
      </c>
      <c r="T183" t="s">
        <v>40</v>
      </c>
      <c r="U183">
        <f>+IF(Tabla1[[#This Row],[MONEDA]]="PEN",Tabla1[[#This Row],[MONTO]],Tabla1[[#This Row],[MONTO]]*3.56)</f>
        <v>5894.8</v>
      </c>
      <c r="X183" t="s">
        <v>41</v>
      </c>
      <c r="Y183" t="s">
        <v>42</v>
      </c>
      <c r="Z183" t="s">
        <v>43</v>
      </c>
      <c r="AA183" t="s">
        <v>3944</v>
      </c>
      <c r="AB183" t="s">
        <v>3945</v>
      </c>
      <c r="AC183" t="s">
        <v>3946</v>
      </c>
      <c r="AD183" t="s">
        <v>3947</v>
      </c>
      <c r="AE183">
        <v>5187.42</v>
      </c>
      <c r="AF183" t="s">
        <v>87</v>
      </c>
      <c r="AG183" t="s">
        <v>169</v>
      </c>
    </row>
    <row r="184" spans="1:33" hidden="1" x14ac:dyDescent="0.25">
      <c r="A184">
        <v>34722</v>
      </c>
      <c r="B184" t="s">
        <v>32</v>
      </c>
      <c r="C184">
        <v>1</v>
      </c>
      <c r="D184" t="s">
        <v>4526</v>
      </c>
      <c r="E184" t="s">
        <v>70</v>
      </c>
      <c r="F184" t="s">
        <v>33</v>
      </c>
      <c r="G184" t="s">
        <v>71</v>
      </c>
      <c r="H184" t="s">
        <v>72</v>
      </c>
      <c r="I184" t="s">
        <v>4519</v>
      </c>
      <c r="J184" t="s">
        <v>4527</v>
      </c>
      <c r="K184" t="s">
        <v>36</v>
      </c>
      <c r="L184" t="s">
        <v>33</v>
      </c>
      <c r="M184">
        <v>10044081640</v>
      </c>
      <c r="N184" t="s">
        <v>2969</v>
      </c>
      <c r="O184" t="s">
        <v>76</v>
      </c>
      <c r="P184" t="s">
        <v>38</v>
      </c>
      <c r="Q184">
        <v>43035817125026</v>
      </c>
      <c r="R184" t="s">
        <v>4528</v>
      </c>
      <c r="S184">
        <v>1475</v>
      </c>
      <c r="T184" t="s">
        <v>40</v>
      </c>
      <c r="U184">
        <f>+IF(Tabla1[[#This Row],[MONEDA]]="PEN",Tabla1[[#This Row],[MONTO]],Tabla1[[#This Row],[MONTO]]*3.56)</f>
        <v>1475</v>
      </c>
      <c r="X184" t="s">
        <v>139</v>
      </c>
      <c r="Y184" t="s">
        <v>42</v>
      </c>
      <c r="Z184" t="s">
        <v>43</v>
      </c>
      <c r="AA184" t="s">
        <v>4529</v>
      </c>
      <c r="AB184" t="s">
        <v>4530</v>
      </c>
      <c r="AC184" t="s">
        <v>4531</v>
      </c>
      <c r="AD184" t="s">
        <v>4532</v>
      </c>
      <c r="AE184">
        <v>1298</v>
      </c>
      <c r="AF184" t="s">
        <v>87</v>
      </c>
      <c r="AG184" t="s">
        <v>169</v>
      </c>
    </row>
    <row r="185" spans="1:33" hidden="1" x14ac:dyDescent="0.25">
      <c r="A185">
        <v>25370</v>
      </c>
      <c r="B185" t="s">
        <v>32</v>
      </c>
      <c r="C185">
        <v>1</v>
      </c>
      <c r="D185" t="s">
        <v>9897</v>
      </c>
      <c r="E185" t="s">
        <v>70</v>
      </c>
      <c r="F185" t="s">
        <v>33</v>
      </c>
      <c r="G185" t="s">
        <v>71</v>
      </c>
      <c r="H185" t="s">
        <v>72</v>
      </c>
      <c r="I185" t="s">
        <v>9898</v>
      </c>
      <c r="J185" t="s">
        <v>9899</v>
      </c>
      <c r="K185" t="s">
        <v>36</v>
      </c>
      <c r="L185" t="s">
        <v>33</v>
      </c>
      <c r="M185">
        <v>20518759079</v>
      </c>
      <c r="N185" t="s">
        <v>9900</v>
      </c>
      <c r="O185" t="s">
        <v>76</v>
      </c>
      <c r="R185" t="s">
        <v>9901</v>
      </c>
      <c r="S185">
        <v>55.6</v>
      </c>
      <c r="T185" t="s">
        <v>40</v>
      </c>
      <c r="U185">
        <f>+IF(Tabla1[[#This Row],[MONEDA]]="PEN",Tabla1[[#This Row],[MONTO]],Tabla1[[#This Row],[MONTO]]*3.56)</f>
        <v>55.6</v>
      </c>
      <c r="V185" t="s">
        <v>190</v>
      </c>
      <c r="W185">
        <v>25256</v>
      </c>
      <c r="X185" t="s">
        <v>81</v>
      </c>
      <c r="Y185" t="s">
        <v>42</v>
      </c>
      <c r="Z185" t="s">
        <v>82</v>
      </c>
      <c r="AA185" t="s">
        <v>9902</v>
      </c>
      <c r="AC185" t="s">
        <v>9903</v>
      </c>
      <c r="AD185" t="s">
        <v>9904</v>
      </c>
    </row>
    <row r="186" spans="1:33" hidden="1" x14ac:dyDescent="0.25">
      <c r="A186">
        <v>25242</v>
      </c>
      <c r="B186" t="s">
        <v>32</v>
      </c>
      <c r="C186">
        <v>1</v>
      </c>
      <c r="D186" t="s">
        <v>10009</v>
      </c>
      <c r="E186" t="s">
        <v>70</v>
      </c>
      <c r="F186" t="s">
        <v>33</v>
      </c>
      <c r="G186" t="s">
        <v>9422</v>
      </c>
      <c r="H186" t="s">
        <v>72</v>
      </c>
      <c r="I186" t="s">
        <v>9958</v>
      </c>
      <c r="J186" t="s">
        <v>10010</v>
      </c>
      <c r="K186" t="s">
        <v>36</v>
      </c>
      <c r="L186" t="s">
        <v>33</v>
      </c>
      <c r="M186">
        <v>20518759079</v>
      </c>
      <c r="N186" t="s">
        <v>9900</v>
      </c>
      <c r="O186" t="s">
        <v>9423</v>
      </c>
      <c r="P186" t="s">
        <v>38</v>
      </c>
      <c r="Q186" t="s">
        <v>10011</v>
      </c>
      <c r="R186" t="s">
        <v>10012</v>
      </c>
      <c r="S186">
        <v>2496.9</v>
      </c>
      <c r="T186" t="s">
        <v>40</v>
      </c>
      <c r="U186">
        <f>+IF(Tabla1[[#This Row],[MONEDA]]="PEN",Tabla1[[#This Row],[MONTO]],Tabla1[[#This Row],[MONTO]]*3.56)</f>
        <v>2496.9</v>
      </c>
      <c r="X186" t="s">
        <v>41</v>
      </c>
      <c r="Y186" t="s">
        <v>51</v>
      </c>
      <c r="Z186" t="s">
        <v>43</v>
      </c>
      <c r="AA186" t="s">
        <v>10013</v>
      </c>
      <c r="AB186" t="s">
        <v>10014</v>
      </c>
      <c r="AC186" t="s">
        <v>10015</v>
      </c>
      <c r="AD186" t="s">
        <v>10016</v>
      </c>
      <c r="AE186">
        <v>2496.9</v>
      </c>
      <c r="AF186" t="s">
        <v>87</v>
      </c>
      <c r="AG186" t="s">
        <v>169</v>
      </c>
    </row>
    <row r="187" spans="1:33" hidden="1" x14ac:dyDescent="0.25">
      <c r="A187">
        <v>23233</v>
      </c>
      <c r="B187" t="s">
        <v>32</v>
      </c>
      <c r="C187">
        <v>1</v>
      </c>
      <c r="D187" t="s">
        <v>11455</v>
      </c>
      <c r="E187" t="s">
        <v>70</v>
      </c>
      <c r="F187" t="s">
        <v>33</v>
      </c>
      <c r="G187" t="s">
        <v>71</v>
      </c>
      <c r="H187" t="s">
        <v>72</v>
      </c>
      <c r="I187" t="s">
        <v>11456</v>
      </c>
      <c r="J187" t="s">
        <v>11457</v>
      </c>
      <c r="K187" t="s">
        <v>36</v>
      </c>
      <c r="L187" t="s">
        <v>33</v>
      </c>
      <c r="M187">
        <v>20518759079</v>
      </c>
      <c r="N187" t="s">
        <v>9900</v>
      </c>
      <c r="O187" t="s">
        <v>76</v>
      </c>
      <c r="R187" t="s">
        <v>11458</v>
      </c>
      <c r="S187">
        <v>50.8</v>
      </c>
      <c r="T187" t="s">
        <v>40</v>
      </c>
      <c r="U187">
        <f>+IF(Tabla1[[#This Row],[MONEDA]]="PEN",Tabla1[[#This Row],[MONTO]],Tabla1[[#This Row],[MONTO]]*3.56)</f>
        <v>50.8</v>
      </c>
      <c r="V187" t="s">
        <v>190</v>
      </c>
      <c r="W187">
        <v>20973</v>
      </c>
      <c r="X187" t="s">
        <v>81</v>
      </c>
      <c r="Y187" t="s">
        <v>42</v>
      </c>
      <c r="Z187" t="s">
        <v>82</v>
      </c>
      <c r="AA187" t="s">
        <v>11459</v>
      </c>
      <c r="AC187" t="s">
        <v>11460</v>
      </c>
      <c r="AD187" t="s">
        <v>11461</v>
      </c>
    </row>
    <row r="188" spans="1:33" hidden="1" x14ac:dyDescent="0.25">
      <c r="A188">
        <v>22350</v>
      </c>
      <c r="B188" t="s">
        <v>32</v>
      </c>
      <c r="C188">
        <v>1</v>
      </c>
      <c r="D188" t="s">
        <v>11928</v>
      </c>
      <c r="E188" t="s">
        <v>70</v>
      </c>
      <c r="F188" t="s">
        <v>33</v>
      </c>
      <c r="G188" t="s">
        <v>71</v>
      </c>
      <c r="H188" t="s">
        <v>72</v>
      </c>
      <c r="I188" t="s">
        <v>11914</v>
      </c>
      <c r="J188" t="s">
        <v>11929</v>
      </c>
      <c r="K188" t="s">
        <v>36</v>
      </c>
      <c r="L188" t="s">
        <v>33</v>
      </c>
      <c r="M188">
        <v>20518759079</v>
      </c>
      <c r="N188" t="s">
        <v>9900</v>
      </c>
      <c r="O188" t="s">
        <v>76</v>
      </c>
      <c r="P188" t="s">
        <v>38</v>
      </c>
      <c r="Q188" t="s">
        <v>10011</v>
      </c>
      <c r="R188" t="s">
        <v>11930</v>
      </c>
      <c r="S188">
        <v>9914</v>
      </c>
      <c r="T188" t="s">
        <v>40</v>
      </c>
      <c r="U188">
        <f>+IF(Tabla1[[#This Row],[MONEDA]]="PEN",Tabla1[[#This Row],[MONTO]],Tabla1[[#This Row],[MONTO]]*3.56)</f>
        <v>9914</v>
      </c>
      <c r="X188" t="s">
        <v>81</v>
      </c>
      <c r="Y188" t="s">
        <v>42</v>
      </c>
      <c r="Z188" t="s">
        <v>43</v>
      </c>
      <c r="AA188" t="s">
        <v>11931</v>
      </c>
      <c r="AB188" t="s">
        <v>11932</v>
      </c>
      <c r="AC188" t="s">
        <v>11933</v>
      </c>
      <c r="AD188" t="s">
        <v>11934</v>
      </c>
      <c r="AE188">
        <v>9914</v>
      </c>
      <c r="AF188" t="s">
        <v>87</v>
      </c>
      <c r="AG188" t="s">
        <v>169</v>
      </c>
    </row>
    <row r="189" spans="1:33" hidden="1" x14ac:dyDescent="0.25">
      <c r="A189">
        <v>21795</v>
      </c>
      <c r="B189" t="s">
        <v>32</v>
      </c>
      <c r="C189">
        <v>1</v>
      </c>
      <c r="D189" t="s">
        <v>12193</v>
      </c>
      <c r="E189" t="s">
        <v>70</v>
      </c>
      <c r="F189" t="s">
        <v>33</v>
      </c>
      <c r="G189" t="s">
        <v>71</v>
      </c>
      <c r="H189" t="s">
        <v>72</v>
      </c>
      <c r="I189" t="s">
        <v>12194</v>
      </c>
      <c r="J189" t="s">
        <v>12195</v>
      </c>
      <c r="K189" t="s">
        <v>36</v>
      </c>
      <c r="L189" t="s">
        <v>33</v>
      </c>
      <c r="M189">
        <v>20518759079</v>
      </c>
      <c r="N189" t="s">
        <v>9900</v>
      </c>
      <c r="O189" t="s">
        <v>76</v>
      </c>
      <c r="P189" t="s">
        <v>38</v>
      </c>
      <c r="Q189" t="s">
        <v>10011</v>
      </c>
      <c r="R189" t="s">
        <v>12196</v>
      </c>
      <c r="S189">
        <v>12232</v>
      </c>
      <c r="T189" t="s">
        <v>40</v>
      </c>
      <c r="U189">
        <f>+IF(Tabla1[[#This Row],[MONEDA]]="PEN",Tabla1[[#This Row],[MONTO]],Tabla1[[#This Row],[MONTO]]*3.56)</f>
        <v>12232</v>
      </c>
      <c r="X189" t="s">
        <v>81</v>
      </c>
      <c r="Y189" t="s">
        <v>42</v>
      </c>
      <c r="Z189" t="s">
        <v>43</v>
      </c>
      <c r="AA189" t="s">
        <v>12197</v>
      </c>
      <c r="AB189" t="s">
        <v>12198</v>
      </c>
      <c r="AC189" t="s">
        <v>12199</v>
      </c>
      <c r="AD189" t="s">
        <v>12200</v>
      </c>
      <c r="AE189">
        <v>12232</v>
      </c>
      <c r="AF189" t="s">
        <v>87</v>
      </c>
      <c r="AG189" t="s">
        <v>169</v>
      </c>
    </row>
    <row r="190" spans="1:33" hidden="1" x14ac:dyDescent="0.25">
      <c r="A190">
        <v>21453</v>
      </c>
      <c r="B190" t="s">
        <v>32</v>
      </c>
      <c r="C190">
        <v>2</v>
      </c>
      <c r="D190" t="s">
        <v>12459</v>
      </c>
      <c r="E190" t="s">
        <v>70</v>
      </c>
      <c r="F190" t="s">
        <v>33</v>
      </c>
      <c r="G190" t="s">
        <v>71</v>
      </c>
      <c r="H190" t="s">
        <v>72</v>
      </c>
      <c r="I190" t="s">
        <v>12460</v>
      </c>
      <c r="J190" t="s">
        <v>12461</v>
      </c>
      <c r="K190" t="s">
        <v>36</v>
      </c>
      <c r="L190" t="s">
        <v>33</v>
      </c>
      <c r="M190">
        <v>20518759079</v>
      </c>
      <c r="N190" t="s">
        <v>9900</v>
      </c>
      <c r="O190" t="s">
        <v>76</v>
      </c>
      <c r="P190" t="s">
        <v>38</v>
      </c>
      <c r="Q190" t="s">
        <v>10011</v>
      </c>
      <c r="R190" t="s">
        <v>12462</v>
      </c>
      <c r="S190">
        <v>10191.6</v>
      </c>
      <c r="T190" t="s">
        <v>40</v>
      </c>
      <c r="U190">
        <f>+IF(Tabla1[[#This Row],[MONEDA]]="PEN",Tabla1[[#This Row],[MONTO]],Tabla1[[#This Row],[MONTO]]*3.56)</f>
        <v>10191.6</v>
      </c>
      <c r="X190" t="s">
        <v>81</v>
      </c>
      <c r="Y190" t="s">
        <v>42</v>
      </c>
      <c r="Z190" t="s">
        <v>43</v>
      </c>
      <c r="AA190" t="s">
        <v>12463</v>
      </c>
      <c r="AB190" t="s">
        <v>12464</v>
      </c>
      <c r="AC190" t="s">
        <v>12465</v>
      </c>
      <c r="AD190" t="s">
        <v>12466</v>
      </c>
      <c r="AE190">
        <v>10191.6</v>
      </c>
      <c r="AF190" t="s">
        <v>87</v>
      </c>
      <c r="AG190" t="s">
        <v>169</v>
      </c>
    </row>
    <row r="191" spans="1:33" hidden="1" x14ac:dyDescent="0.25">
      <c r="A191">
        <v>21118</v>
      </c>
      <c r="B191" t="s">
        <v>32</v>
      </c>
      <c r="C191">
        <v>1</v>
      </c>
      <c r="D191" t="s">
        <v>12662</v>
      </c>
      <c r="E191" t="s">
        <v>70</v>
      </c>
      <c r="F191" t="s">
        <v>33</v>
      </c>
      <c r="G191" t="s">
        <v>71</v>
      </c>
      <c r="H191" t="s">
        <v>72</v>
      </c>
      <c r="I191" t="s">
        <v>12661</v>
      </c>
      <c r="J191" t="s">
        <v>12663</v>
      </c>
      <c r="K191" t="s">
        <v>36</v>
      </c>
      <c r="L191" t="s">
        <v>33</v>
      </c>
      <c r="M191">
        <v>20518759079</v>
      </c>
      <c r="N191" t="s">
        <v>9900</v>
      </c>
      <c r="O191" t="s">
        <v>76</v>
      </c>
      <c r="P191" t="s">
        <v>38</v>
      </c>
      <c r="Q191" t="s">
        <v>10011</v>
      </c>
      <c r="R191" t="s">
        <v>12664</v>
      </c>
      <c r="S191">
        <v>6822</v>
      </c>
      <c r="T191" t="s">
        <v>40</v>
      </c>
      <c r="U191">
        <f>+IF(Tabla1[[#This Row],[MONEDA]]="PEN",Tabla1[[#This Row],[MONTO]],Tabla1[[#This Row],[MONTO]]*3.56)</f>
        <v>6822</v>
      </c>
      <c r="X191" t="s">
        <v>81</v>
      </c>
      <c r="Y191" t="s">
        <v>42</v>
      </c>
      <c r="Z191" t="s">
        <v>43</v>
      </c>
      <c r="AA191" t="s">
        <v>12665</v>
      </c>
      <c r="AB191" t="s">
        <v>12666</v>
      </c>
      <c r="AC191" t="s">
        <v>12667</v>
      </c>
      <c r="AD191" t="s">
        <v>12668</v>
      </c>
      <c r="AE191">
        <v>6822</v>
      </c>
      <c r="AF191" t="s">
        <v>87</v>
      </c>
      <c r="AG191" t="s">
        <v>169</v>
      </c>
    </row>
    <row r="192" spans="1:33" x14ac:dyDescent="0.25">
      <c r="A192">
        <v>30077</v>
      </c>
      <c r="B192" t="s">
        <v>32</v>
      </c>
      <c r="C192">
        <v>1</v>
      </c>
      <c r="D192" t="s">
        <v>6465</v>
      </c>
      <c r="E192" t="s">
        <v>70</v>
      </c>
      <c r="F192" t="s">
        <v>3256</v>
      </c>
      <c r="G192" t="s">
        <v>3257</v>
      </c>
      <c r="H192" t="s">
        <v>159</v>
      </c>
      <c r="I192" t="s">
        <v>6466</v>
      </c>
      <c r="J192" t="s">
        <v>6467</v>
      </c>
      <c r="K192" t="s">
        <v>36</v>
      </c>
      <c r="L192" t="s">
        <v>33</v>
      </c>
      <c r="M192">
        <v>20477167561</v>
      </c>
      <c r="N192" t="s">
        <v>6468</v>
      </c>
      <c r="P192" t="s">
        <v>38</v>
      </c>
      <c r="Q192" t="s">
        <v>6469</v>
      </c>
      <c r="R192" t="s">
        <v>6470</v>
      </c>
      <c r="S192">
        <v>273.76</v>
      </c>
      <c r="T192" t="s">
        <v>40</v>
      </c>
      <c r="U192">
        <f>+IF(Tabla1[[#This Row],[MONEDA]]="PEN",Tabla1[[#This Row],[MONTO]],Tabla1[[#This Row],[MONTO]]*3.56)</f>
        <v>273.76</v>
      </c>
      <c r="X192" t="s">
        <v>41</v>
      </c>
      <c r="Y192" t="s">
        <v>42</v>
      </c>
      <c r="Z192" t="s">
        <v>82</v>
      </c>
      <c r="AA192" t="s">
        <v>6471</v>
      </c>
      <c r="AB192" t="s">
        <v>6472</v>
      </c>
      <c r="AC192" t="s">
        <v>6473</v>
      </c>
      <c r="AD192" t="s">
        <v>6474</v>
      </c>
      <c r="AE192">
        <v>273.76</v>
      </c>
      <c r="AF192" t="s">
        <v>87</v>
      </c>
      <c r="AG192" t="s">
        <v>169</v>
      </c>
    </row>
    <row r="193" spans="1:33" x14ac:dyDescent="0.25">
      <c r="A193">
        <v>29988</v>
      </c>
      <c r="B193" t="s">
        <v>32</v>
      </c>
      <c r="C193">
        <v>1</v>
      </c>
      <c r="D193" t="s">
        <v>6505</v>
      </c>
      <c r="E193" t="s">
        <v>70</v>
      </c>
      <c r="F193" t="s">
        <v>3256</v>
      </c>
      <c r="G193" t="s">
        <v>3257</v>
      </c>
      <c r="H193" t="s">
        <v>159</v>
      </c>
      <c r="I193" t="s">
        <v>6506</v>
      </c>
      <c r="J193" t="s">
        <v>6507</v>
      </c>
      <c r="K193" t="s">
        <v>36</v>
      </c>
      <c r="L193" t="s">
        <v>33</v>
      </c>
      <c r="M193">
        <v>20477167561</v>
      </c>
      <c r="N193" t="s">
        <v>6468</v>
      </c>
      <c r="P193" t="s">
        <v>38</v>
      </c>
      <c r="Q193" t="s">
        <v>6469</v>
      </c>
      <c r="R193" t="s">
        <v>6508</v>
      </c>
      <c r="S193">
        <v>273.76</v>
      </c>
      <c r="T193" t="s">
        <v>40</v>
      </c>
      <c r="U193">
        <f>+IF(Tabla1[[#This Row],[MONEDA]]="PEN",Tabla1[[#This Row],[MONTO]],Tabla1[[#This Row],[MONTO]]*3.56)</f>
        <v>273.76</v>
      </c>
      <c r="X193" t="s">
        <v>41</v>
      </c>
      <c r="Y193" t="s">
        <v>42</v>
      </c>
      <c r="Z193" t="s">
        <v>82</v>
      </c>
      <c r="AA193" t="s">
        <v>6509</v>
      </c>
      <c r="AB193" t="s">
        <v>6510</v>
      </c>
      <c r="AC193" t="s">
        <v>6511</v>
      </c>
      <c r="AD193" t="s">
        <v>6512</v>
      </c>
      <c r="AE193">
        <v>273.76</v>
      </c>
      <c r="AF193" t="s">
        <v>87</v>
      </c>
      <c r="AG193" t="s">
        <v>169</v>
      </c>
    </row>
    <row r="194" spans="1:33" x14ac:dyDescent="0.25">
      <c r="A194">
        <v>28552</v>
      </c>
      <c r="B194" t="s">
        <v>32</v>
      </c>
      <c r="C194">
        <v>1</v>
      </c>
      <c r="D194" t="s">
        <v>7512</v>
      </c>
      <c r="E194" t="s">
        <v>70</v>
      </c>
      <c r="F194" t="s">
        <v>3256</v>
      </c>
      <c r="G194" t="s">
        <v>3257</v>
      </c>
      <c r="H194" t="s">
        <v>159</v>
      </c>
      <c r="I194" t="s">
        <v>7513</v>
      </c>
      <c r="J194" t="s">
        <v>7514</v>
      </c>
      <c r="K194" t="s">
        <v>36</v>
      </c>
      <c r="L194" t="s">
        <v>33</v>
      </c>
      <c r="M194">
        <v>20477167561</v>
      </c>
      <c r="N194" t="s">
        <v>6468</v>
      </c>
      <c r="P194" t="s">
        <v>38</v>
      </c>
      <c r="Q194" t="s">
        <v>6469</v>
      </c>
      <c r="R194" t="s">
        <v>7515</v>
      </c>
      <c r="S194">
        <v>230</v>
      </c>
      <c r="T194" t="s">
        <v>40</v>
      </c>
      <c r="U194">
        <f>+IF(Tabla1[[#This Row],[MONEDA]]="PEN",Tabla1[[#This Row],[MONTO]],Tabla1[[#This Row],[MONTO]]*3.56)</f>
        <v>230</v>
      </c>
      <c r="X194" t="s">
        <v>41</v>
      </c>
      <c r="Y194" t="s">
        <v>42</v>
      </c>
      <c r="Z194" t="s">
        <v>82</v>
      </c>
      <c r="AA194" t="s">
        <v>7516</v>
      </c>
      <c r="AB194" t="s">
        <v>7517</v>
      </c>
      <c r="AC194" t="s">
        <v>7518</v>
      </c>
      <c r="AD194" t="s">
        <v>7519</v>
      </c>
      <c r="AE194">
        <v>230</v>
      </c>
      <c r="AF194" t="s">
        <v>87</v>
      </c>
      <c r="AG194" t="s">
        <v>169</v>
      </c>
    </row>
    <row r="195" spans="1:33" x14ac:dyDescent="0.25">
      <c r="A195">
        <v>27498</v>
      </c>
      <c r="B195" t="s">
        <v>32</v>
      </c>
      <c r="C195">
        <v>1</v>
      </c>
      <c r="D195" t="s">
        <v>8341</v>
      </c>
      <c r="E195" t="s">
        <v>70</v>
      </c>
      <c r="F195" t="s">
        <v>3256</v>
      </c>
      <c r="G195" t="s">
        <v>3257</v>
      </c>
      <c r="H195" t="s">
        <v>8233</v>
      </c>
      <c r="I195" t="s">
        <v>8334</v>
      </c>
      <c r="J195" t="s">
        <v>8342</v>
      </c>
      <c r="K195" t="s">
        <v>36</v>
      </c>
      <c r="L195" t="s">
        <v>33</v>
      </c>
      <c r="M195">
        <v>20477167561</v>
      </c>
      <c r="N195" t="s">
        <v>6468</v>
      </c>
      <c r="P195" t="s">
        <v>38</v>
      </c>
      <c r="Q195" t="s">
        <v>6469</v>
      </c>
      <c r="R195" t="s">
        <v>8343</v>
      </c>
      <c r="S195">
        <v>273.76</v>
      </c>
      <c r="T195" t="s">
        <v>40</v>
      </c>
      <c r="U195">
        <f>+IF(Tabla1[[#This Row],[MONEDA]]="PEN",Tabla1[[#This Row],[MONTO]],Tabla1[[#This Row],[MONTO]]*3.56)</f>
        <v>273.76</v>
      </c>
      <c r="X195" t="s">
        <v>41</v>
      </c>
      <c r="Y195" t="s">
        <v>42</v>
      </c>
      <c r="Z195" t="s">
        <v>82</v>
      </c>
      <c r="AA195" t="s">
        <v>8344</v>
      </c>
      <c r="AB195" t="s">
        <v>8345</v>
      </c>
      <c r="AC195" t="s">
        <v>8346</v>
      </c>
      <c r="AD195" t="s">
        <v>8347</v>
      </c>
      <c r="AE195">
        <v>273.76</v>
      </c>
      <c r="AF195" t="s">
        <v>87</v>
      </c>
      <c r="AG195" t="s">
        <v>169</v>
      </c>
    </row>
    <row r="196" spans="1:33" x14ac:dyDescent="0.25">
      <c r="A196">
        <v>25464</v>
      </c>
      <c r="B196" t="s">
        <v>32</v>
      </c>
      <c r="C196">
        <v>1</v>
      </c>
      <c r="D196" t="s">
        <v>9743</v>
      </c>
      <c r="E196" t="s">
        <v>70</v>
      </c>
      <c r="F196" t="s">
        <v>3256</v>
      </c>
      <c r="G196" t="s">
        <v>3257</v>
      </c>
      <c r="H196" t="s">
        <v>8233</v>
      </c>
      <c r="I196" t="s">
        <v>9744</v>
      </c>
      <c r="J196" t="s">
        <v>9745</v>
      </c>
      <c r="K196" t="s">
        <v>36</v>
      </c>
      <c r="L196" t="s">
        <v>33</v>
      </c>
      <c r="M196">
        <v>20477167561</v>
      </c>
      <c r="N196" t="s">
        <v>6468</v>
      </c>
      <c r="P196" t="s">
        <v>38</v>
      </c>
      <c r="Q196" t="s">
        <v>6469</v>
      </c>
      <c r="R196" t="s">
        <v>9746</v>
      </c>
      <c r="S196">
        <v>291.45999999999998</v>
      </c>
      <c r="T196" t="s">
        <v>40</v>
      </c>
      <c r="U196">
        <f>+IF(Tabla1[[#This Row],[MONEDA]]="PEN",Tabla1[[#This Row],[MONTO]],Tabla1[[#This Row],[MONTO]]*3.56)</f>
        <v>291.45999999999998</v>
      </c>
      <c r="X196" t="s">
        <v>41</v>
      </c>
      <c r="Y196" t="s">
        <v>42</v>
      </c>
      <c r="Z196" t="s">
        <v>82</v>
      </c>
      <c r="AA196" t="s">
        <v>9747</v>
      </c>
      <c r="AB196" t="s">
        <v>9748</v>
      </c>
      <c r="AC196" t="s">
        <v>9749</v>
      </c>
      <c r="AD196" t="s">
        <v>9750</v>
      </c>
      <c r="AE196">
        <v>291.45999999999998</v>
      </c>
      <c r="AF196" t="s">
        <v>87</v>
      </c>
      <c r="AG196" t="s">
        <v>169</v>
      </c>
    </row>
    <row r="197" spans="1:33" x14ac:dyDescent="0.25">
      <c r="A197">
        <v>22470</v>
      </c>
      <c r="B197" t="s">
        <v>32</v>
      </c>
      <c r="C197">
        <v>1</v>
      </c>
      <c r="D197" t="s">
        <v>11837</v>
      </c>
      <c r="E197" t="s">
        <v>70</v>
      </c>
      <c r="F197" t="s">
        <v>3256</v>
      </c>
      <c r="G197" t="s">
        <v>3257</v>
      </c>
      <c r="H197" t="s">
        <v>8233</v>
      </c>
      <c r="I197" t="s">
        <v>11838</v>
      </c>
      <c r="J197" t="s">
        <v>11839</v>
      </c>
      <c r="K197" t="s">
        <v>36</v>
      </c>
      <c r="L197" t="s">
        <v>33</v>
      </c>
      <c r="M197">
        <v>20477167561</v>
      </c>
      <c r="N197" t="s">
        <v>6468</v>
      </c>
      <c r="P197" t="s">
        <v>38</v>
      </c>
      <c r="Q197" t="s">
        <v>6469</v>
      </c>
      <c r="R197" t="s">
        <v>11840</v>
      </c>
      <c r="S197">
        <v>273.8</v>
      </c>
      <c r="T197" t="s">
        <v>40</v>
      </c>
      <c r="U197">
        <f>+IF(Tabla1[[#This Row],[MONEDA]]="PEN",Tabla1[[#This Row],[MONTO]],Tabla1[[#This Row],[MONTO]]*3.56)</f>
        <v>273.8</v>
      </c>
      <c r="X197" t="s">
        <v>41</v>
      </c>
      <c r="Y197" t="s">
        <v>42</v>
      </c>
      <c r="Z197" t="s">
        <v>82</v>
      </c>
      <c r="AA197" t="s">
        <v>11841</v>
      </c>
      <c r="AB197" t="s">
        <v>11842</v>
      </c>
      <c r="AC197" t="s">
        <v>11843</v>
      </c>
      <c r="AD197" t="s">
        <v>11844</v>
      </c>
      <c r="AE197">
        <v>273.8</v>
      </c>
      <c r="AF197" t="s">
        <v>87</v>
      </c>
      <c r="AG197" t="s">
        <v>169</v>
      </c>
    </row>
    <row r="198" spans="1:33" hidden="1" x14ac:dyDescent="0.25">
      <c r="A198">
        <v>43262</v>
      </c>
      <c r="B198" t="s">
        <v>32</v>
      </c>
      <c r="C198">
        <v>1</v>
      </c>
      <c r="D198" t="s">
        <v>767</v>
      </c>
      <c r="E198" t="s">
        <v>70</v>
      </c>
      <c r="F198" t="s">
        <v>33</v>
      </c>
      <c r="G198" t="s">
        <v>71</v>
      </c>
      <c r="H198" t="s">
        <v>35</v>
      </c>
      <c r="I198" t="s">
        <v>760</v>
      </c>
      <c r="J198" t="s">
        <v>768</v>
      </c>
      <c r="K198" t="s">
        <v>36</v>
      </c>
      <c r="L198" t="s">
        <v>33</v>
      </c>
      <c r="M198">
        <v>20608975889</v>
      </c>
      <c r="N198" t="s">
        <v>769</v>
      </c>
      <c r="O198" t="s">
        <v>76</v>
      </c>
      <c r="P198" t="s">
        <v>38</v>
      </c>
      <c r="Q198" t="s">
        <v>770</v>
      </c>
      <c r="R198" t="s">
        <v>771</v>
      </c>
      <c r="S198">
        <v>1849.65</v>
      </c>
      <c r="T198" t="s">
        <v>40</v>
      </c>
      <c r="U198">
        <f>+IF(Tabla1[[#This Row],[MONEDA]]="PEN",Tabla1[[#This Row],[MONTO]],Tabla1[[#This Row],[MONTO]]*3.56)</f>
        <v>1849.65</v>
      </c>
      <c r="X198" t="s">
        <v>81</v>
      </c>
      <c r="Y198" t="s">
        <v>42</v>
      </c>
      <c r="Z198" t="s">
        <v>82</v>
      </c>
      <c r="AA198" t="s">
        <v>772</v>
      </c>
      <c r="AB198" t="s">
        <v>773</v>
      </c>
      <c r="AC198" t="s">
        <v>774</v>
      </c>
      <c r="AD198" t="s">
        <v>775</v>
      </c>
      <c r="AE198">
        <v>1794.16</v>
      </c>
      <c r="AF198" t="s">
        <v>87</v>
      </c>
      <c r="AG198" t="s">
        <v>169</v>
      </c>
    </row>
    <row r="199" spans="1:33" x14ac:dyDescent="0.25">
      <c r="A199">
        <v>34660</v>
      </c>
      <c r="B199" t="s">
        <v>32</v>
      </c>
      <c r="C199">
        <v>1</v>
      </c>
      <c r="D199" t="s">
        <v>4598</v>
      </c>
      <c r="E199" t="s">
        <v>70</v>
      </c>
      <c r="F199" t="s">
        <v>4599</v>
      </c>
      <c r="G199" t="s">
        <v>4600</v>
      </c>
      <c r="H199" t="s">
        <v>4601</v>
      </c>
      <c r="I199" t="s">
        <v>4602</v>
      </c>
      <c r="J199" t="s">
        <v>4603</v>
      </c>
      <c r="K199" t="s">
        <v>36</v>
      </c>
      <c r="L199" t="s">
        <v>33</v>
      </c>
      <c r="M199">
        <v>20613138448</v>
      </c>
      <c r="N199" t="s">
        <v>4604</v>
      </c>
      <c r="O199" t="s">
        <v>4605</v>
      </c>
      <c r="P199" t="s">
        <v>77</v>
      </c>
      <c r="Q199">
        <v>1937082637195</v>
      </c>
      <c r="R199" t="s">
        <v>4606</v>
      </c>
      <c r="S199">
        <v>472</v>
      </c>
      <c r="T199" t="s">
        <v>80</v>
      </c>
      <c r="U199">
        <f>+IF(Tabla1[[#This Row],[MONEDA]]="PEN",Tabla1[[#This Row],[MONTO]],Tabla1[[#This Row],[MONTO]]*3.56)</f>
        <v>1680.32</v>
      </c>
      <c r="X199" t="s">
        <v>41</v>
      </c>
      <c r="Y199" t="s">
        <v>51</v>
      </c>
      <c r="Z199" t="s">
        <v>43</v>
      </c>
      <c r="AA199" t="s">
        <v>4607</v>
      </c>
      <c r="AB199" t="s">
        <v>4608</v>
      </c>
      <c r="AC199" t="s">
        <v>4609</v>
      </c>
      <c r="AD199" t="s">
        <v>4610</v>
      </c>
      <c r="AE199">
        <v>415.36</v>
      </c>
      <c r="AF199" t="s">
        <v>87</v>
      </c>
      <c r="AG199" t="s">
        <v>88</v>
      </c>
    </row>
    <row r="200" spans="1:33" hidden="1" x14ac:dyDescent="0.25">
      <c r="A200">
        <v>36853</v>
      </c>
      <c r="B200" t="s">
        <v>32</v>
      </c>
      <c r="C200">
        <v>1</v>
      </c>
      <c r="D200" t="s">
        <v>3603</v>
      </c>
      <c r="E200" t="s">
        <v>70</v>
      </c>
      <c r="F200" t="s">
        <v>33</v>
      </c>
      <c r="G200" t="s">
        <v>71</v>
      </c>
      <c r="H200" t="s">
        <v>35</v>
      </c>
      <c r="I200" t="s">
        <v>3604</v>
      </c>
      <c r="J200" t="s">
        <v>3605</v>
      </c>
      <c r="K200" t="s">
        <v>36</v>
      </c>
      <c r="L200" t="s">
        <v>33</v>
      </c>
      <c r="M200">
        <v>20603346735</v>
      </c>
      <c r="N200" t="s">
        <v>3194</v>
      </c>
      <c r="O200" t="s">
        <v>76</v>
      </c>
      <c r="P200" t="s">
        <v>38</v>
      </c>
      <c r="Q200" t="s">
        <v>3195</v>
      </c>
      <c r="R200" t="s">
        <v>3606</v>
      </c>
      <c r="S200">
        <v>2705</v>
      </c>
      <c r="T200" t="s">
        <v>40</v>
      </c>
      <c r="U200">
        <f>+IF(Tabla1[[#This Row],[MONEDA]]="PEN",Tabla1[[#This Row],[MONTO]],Tabla1[[#This Row],[MONTO]]*3.56)</f>
        <v>2705</v>
      </c>
      <c r="X200" t="s">
        <v>41</v>
      </c>
      <c r="Y200" t="s">
        <v>42</v>
      </c>
      <c r="Z200" t="s">
        <v>82</v>
      </c>
      <c r="AA200" t="s">
        <v>3607</v>
      </c>
      <c r="AB200" t="s">
        <v>3608</v>
      </c>
      <c r="AC200" t="s">
        <v>3609</v>
      </c>
      <c r="AD200" t="s">
        <v>3610</v>
      </c>
      <c r="AE200">
        <v>2623.85</v>
      </c>
      <c r="AF200" t="s">
        <v>87</v>
      </c>
      <c r="AG200" t="s">
        <v>169</v>
      </c>
    </row>
    <row r="201" spans="1:33" hidden="1" x14ac:dyDescent="0.25">
      <c r="A201">
        <v>33677</v>
      </c>
      <c r="B201" t="s">
        <v>32</v>
      </c>
      <c r="C201">
        <v>1</v>
      </c>
      <c r="D201" t="s">
        <v>4866</v>
      </c>
      <c r="E201" t="s">
        <v>70</v>
      </c>
      <c r="F201" t="s">
        <v>33</v>
      </c>
      <c r="G201" t="s">
        <v>71</v>
      </c>
      <c r="H201" t="s">
        <v>35</v>
      </c>
      <c r="I201" t="s">
        <v>4867</v>
      </c>
      <c r="J201" t="s">
        <v>4868</v>
      </c>
      <c r="K201" t="s">
        <v>36</v>
      </c>
      <c r="L201" t="s">
        <v>33</v>
      </c>
      <c r="M201">
        <v>20603346735</v>
      </c>
      <c r="N201" t="s">
        <v>3194</v>
      </c>
      <c r="O201" t="s">
        <v>76</v>
      </c>
      <c r="P201" t="s">
        <v>38</v>
      </c>
      <c r="Q201" t="s">
        <v>3195</v>
      </c>
      <c r="R201" t="s">
        <v>4869</v>
      </c>
      <c r="S201">
        <v>1692</v>
      </c>
      <c r="T201" t="s">
        <v>40</v>
      </c>
      <c r="U201">
        <f>+IF(Tabla1[[#This Row],[MONEDA]]="PEN",Tabla1[[#This Row],[MONTO]],Tabla1[[#This Row],[MONTO]]*3.56)</f>
        <v>1692</v>
      </c>
      <c r="X201" t="s">
        <v>81</v>
      </c>
      <c r="Y201" t="s">
        <v>42</v>
      </c>
      <c r="Z201" t="s">
        <v>82</v>
      </c>
      <c r="AA201" t="s">
        <v>4870</v>
      </c>
      <c r="AB201" t="s">
        <v>4871</v>
      </c>
      <c r="AC201" t="s">
        <v>4872</v>
      </c>
      <c r="AD201" t="s">
        <v>4873</v>
      </c>
      <c r="AE201">
        <v>1641.24</v>
      </c>
      <c r="AF201" t="s">
        <v>87</v>
      </c>
      <c r="AG201" t="s">
        <v>169</v>
      </c>
    </row>
    <row r="202" spans="1:33" hidden="1" x14ac:dyDescent="0.25">
      <c r="A202">
        <v>31506</v>
      </c>
      <c r="B202" t="s">
        <v>32</v>
      </c>
      <c r="C202">
        <v>1</v>
      </c>
      <c r="D202" t="s">
        <v>5723</v>
      </c>
      <c r="E202" t="s">
        <v>70</v>
      </c>
      <c r="F202" t="s">
        <v>33</v>
      </c>
      <c r="G202" t="s">
        <v>71</v>
      </c>
      <c r="H202" t="s">
        <v>72</v>
      </c>
      <c r="I202" t="s">
        <v>5709</v>
      </c>
      <c r="J202" t="s">
        <v>5724</v>
      </c>
      <c r="K202" t="s">
        <v>36</v>
      </c>
      <c r="L202" t="s">
        <v>33</v>
      </c>
      <c r="M202">
        <v>20603346735</v>
      </c>
      <c r="N202" t="s">
        <v>3194</v>
      </c>
      <c r="O202" t="s">
        <v>76</v>
      </c>
      <c r="P202" t="s">
        <v>38</v>
      </c>
      <c r="Q202" t="s">
        <v>3195</v>
      </c>
      <c r="R202" t="s">
        <v>5725</v>
      </c>
      <c r="S202">
        <v>3268</v>
      </c>
      <c r="T202" t="s">
        <v>40</v>
      </c>
      <c r="U202">
        <f>+IF(Tabla1[[#This Row],[MONEDA]]="PEN",Tabla1[[#This Row],[MONTO]],Tabla1[[#This Row],[MONTO]]*3.56)</f>
        <v>3268</v>
      </c>
      <c r="X202" t="s">
        <v>81</v>
      </c>
      <c r="Y202" t="s">
        <v>42</v>
      </c>
      <c r="Z202" t="s">
        <v>43</v>
      </c>
      <c r="AA202" t="s">
        <v>5726</v>
      </c>
      <c r="AB202" t="s">
        <v>5727</v>
      </c>
      <c r="AC202" t="s">
        <v>5728</v>
      </c>
      <c r="AD202" t="s">
        <v>5729</v>
      </c>
      <c r="AE202">
        <v>3169.96</v>
      </c>
      <c r="AF202" t="s">
        <v>87</v>
      </c>
      <c r="AG202" t="s">
        <v>169</v>
      </c>
    </row>
    <row r="203" spans="1:33" hidden="1" x14ac:dyDescent="0.25">
      <c r="A203">
        <v>30826</v>
      </c>
      <c r="B203" t="s">
        <v>32</v>
      </c>
      <c r="C203">
        <v>1</v>
      </c>
      <c r="D203" t="s">
        <v>6182</v>
      </c>
      <c r="E203" t="s">
        <v>70</v>
      </c>
      <c r="F203" t="s">
        <v>33</v>
      </c>
      <c r="G203" t="s">
        <v>71</v>
      </c>
      <c r="H203" t="s">
        <v>72</v>
      </c>
      <c r="I203" t="s">
        <v>6161</v>
      </c>
      <c r="J203" t="s">
        <v>6183</v>
      </c>
      <c r="K203" t="s">
        <v>36</v>
      </c>
      <c r="L203" t="s">
        <v>33</v>
      </c>
      <c r="M203">
        <v>20603346735</v>
      </c>
      <c r="N203" t="s">
        <v>3194</v>
      </c>
      <c r="O203" t="s">
        <v>76</v>
      </c>
      <c r="P203" t="s">
        <v>38</v>
      </c>
      <c r="Q203" t="s">
        <v>3195</v>
      </c>
      <c r="R203" t="s">
        <v>6184</v>
      </c>
      <c r="S203">
        <v>1099</v>
      </c>
      <c r="T203" t="s">
        <v>40</v>
      </c>
      <c r="U203">
        <f>+IF(Tabla1[[#This Row],[MONEDA]]="PEN",Tabla1[[#This Row],[MONTO]],Tabla1[[#This Row],[MONTO]]*3.56)</f>
        <v>1099</v>
      </c>
      <c r="X203" t="s">
        <v>81</v>
      </c>
      <c r="Y203" t="s">
        <v>42</v>
      </c>
      <c r="Z203" t="s">
        <v>43</v>
      </c>
      <c r="AA203" t="s">
        <v>6185</v>
      </c>
      <c r="AB203" t="s">
        <v>6186</v>
      </c>
      <c r="AC203" t="s">
        <v>6187</v>
      </c>
      <c r="AD203" t="s">
        <v>6188</v>
      </c>
      <c r="AE203">
        <v>1066.03</v>
      </c>
      <c r="AF203" t="s">
        <v>87</v>
      </c>
      <c r="AG203" t="s">
        <v>169</v>
      </c>
    </row>
    <row r="204" spans="1:33" hidden="1" x14ac:dyDescent="0.25">
      <c r="A204">
        <v>30022</v>
      </c>
      <c r="B204" t="s">
        <v>32</v>
      </c>
      <c r="C204">
        <v>1</v>
      </c>
      <c r="D204" t="s">
        <v>6351</v>
      </c>
      <c r="E204" t="s">
        <v>70</v>
      </c>
      <c r="F204" t="s">
        <v>33</v>
      </c>
      <c r="G204" t="s">
        <v>71</v>
      </c>
      <c r="H204" t="s">
        <v>72</v>
      </c>
      <c r="I204" t="s">
        <v>6344</v>
      </c>
      <c r="J204" t="s">
        <v>6352</v>
      </c>
      <c r="K204" t="s">
        <v>36</v>
      </c>
      <c r="L204" t="s">
        <v>33</v>
      </c>
      <c r="M204">
        <v>20603346735</v>
      </c>
      <c r="N204" t="s">
        <v>3194</v>
      </c>
      <c r="O204" t="s">
        <v>76</v>
      </c>
      <c r="P204" t="s">
        <v>38</v>
      </c>
      <c r="Q204" t="s">
        <v>3195</v>
      </c>
      <c r="R204" t="s">
        <v>6353</v>
      </c>
      <c r="S204">
        <v>1155</v>
      </c>
      <c r="T204" t="s">
        <v>40</v>
      </c>
      <c r="U204">
        <f>+IF(Tabla1[[#This Row],[MONEDA]]="PEN",Tabla1[[#This Row],[MONTO]],Tabla1[[#This Row],[MONTO]]*3.56)</f>
        <v>1155</v>
      </c>
      <c r="X204" t="s">
        <v>81</v>
      </c>
      <c r="Y204" t="s">
        <v>42</v>
      </c>
      <c r="Z204" t="s">
        <v>43</v>
      </c>
      <c r="AA204" t="s">
        <v>6354</v>
      </c>
      <c r="AB204" t="s">
        <v>6355</v>
      </c>
      <c r="AC204" t="s">
        <v>6356</v>
      </c>
      <c r="AD204" t="s">
        <v>6357</v>
      </c>
      <c r="AE204">
        <v>1120.3499999999999</v>
      </c>
      <c r="AF204" t="s">
        <v>87</v>
      </c>
      <c r="AG204" t="s">
        <v>169</v>
      </c>
    </row>
    <row r="205" spans="1:33" hidden="1" x14ac:dyDescent="0.25">
      <c r="A205">
        <v>30048</v>
      </c>
      <c r="B205" t="s">
        <v>32</v>
      </c>
      <c r="C205">
        <v>1</v>
      </c>
      <c r="D205" t="s">
        <v>6371</v>
      </c>
      <c r="E205" t="s">
        <v>70</v>
      </c>
      <c r="F205" t="s">
        <v>33</v>
      </c>
      <c r="G205" t="s">
        <v>71</v>
      </c>
      <c r="H205" t="s">
        <v>72</v>
      </c>
      <c r="I205" t="s">
        <v>6344</v>
      </c>
      <c r="J205" t="s">
        <v>6372</v>
      </c>
      <c r="K205" t="s">
        <v>36</v>
      </c>
      <c r="L205" t="s">
        <v>33</v>
      </c>
      <c r="M205">
        <v>20603346735</v>
      </c>
      <c r="N205" t="s">
        <v>3194</v>
      </c>
      <c r="O205" t="s">
        <v>76</v>
      </c>
      <c r="P205" t="s">
        <v>38</v>
      </c>
      <c r="Q205" t="s">
        <v>3195</v>
      </c>
      <c r="R205" t="s">
        <v>6373</v>
      </c>
      <c r="S205">
        <v>2845</v>
      </c>
      <c r="T205" t="s">
        <v>40</v>
      </c>
      <c r="U205">
        <f>+IF(Tabla1[[#This Row],[MONEDA]]="PEN",Tabla1[[#This Row],[MONTO]],Tabla1[[#This Row],[MONTO]]*3.56)</f>
        <v>2845</v>
      </c>
      <c r="X205" t="s">
        <v>81</v>
      </c>
      <c r="Y205" t="s">
        <v>42</v>
      </c>
      <c r="Z205" t="s">
        <v>43</v>
      </c>
      <c r="AA205" t="s">
        <v>6374</v>
      </c>
      <c r="AB205" t="s">
        <v>6375</v>
      </c>
      <c r="AC205" t="s">
        <v>6376</v>
      </c>
      <c r="AD205" t="s">
        <v>6377</v>
      </c>
      <c r="AE205">
        <v>2759.65</v>
      </c>
      <c r="AF205" t="s">
        <v>87</v>
      </c>
      <c r="AG205" t="s">
        <v>169</v>
      </c>
    </row>
    <row r="206" spans="1:33" x14ac:dyDescent="0.25">
      <c r="A206">
        <v>29560</v>
      </c>
      <c r="B206" t="s">
        <v>32</v>
      </c>
      <c r="C206">
        <v>1</v>
      </c>
      <c r="D206" t="s">
        <v>6885</v>
      </c>
      <c r="E206" t="s">
        <v>70</v>
      </c>
      <c r="F206" t="s">
        <v>5328</v>
      </c>
      <c r="G206" t="s">
        <v>5329</v>
      </c>
      <c r="H206" t="s">
        <v>72</v>
      </c>
      <c r="I206" t="s">
        <v>6886</v>
      </c>
      <c r="J206" t="s">
        <v>6887</v>
      </c>
      <c r="K206" t="s">
        <v>36</v>
      </c>
      <c r="L206" t="s">
        <v>33</v>
      </c>
      <c r="M206">
        <v>20603346735</v>
      </c>
      <c r="N206" t="s">
        <v>3194</v>
      </c>
      <c r="O206" t="s">
        <v>6159</v>
      </c>
      <c r="P206" t="s">
        <v>38</v>
      </c>
      <c r="Q206" t="s">
        <v>3195</v>
      </c>
      <c r="R206" t="s">
        <v>6888</v>
      </c>
      <c r="S206">
        <v>240</v>
      </c>
      <c r="T206" t="s">
        <v>40</v>
      </c>
      <c r="U206">
        <f>+IF(Tabla1[[#This Row],[MONEDA]]="PEN",Tabla1[[#This Row],[MONTO]],Tabla1[[#This Row],[MONTO]]*3.56)</f>
        <v>240</v>
      </c>
      <c r="X206" t="s">
        <v>81</v>
      </c>
      <c r="Y206" t="s">
        <v>42</v>
      </c>
      <c r="Z206" t="s">
        <v>43</v>
      </c>
      <c r="AA206" t="s">
        <v>6889</v>
      </c>
      <c r="AB206" t="s">
        <v>6890</v>
      </c>
      <c r="AC206" t="s">
        <v>6891</v>
      </c>
      <c r="AD206" t="s">
        <v>6892</v>
      </c>
      <c r="AE206">
        <v>240</v>
      </c>
      <c r="AF206" t="s">
        <v>87</v>
      </c>
      <c r="AG206" t="s">
        <v>169</v>
      </c>
    </row>
    <row r="207" spans="1:33" x14ac:dyDescent="0.25">
      <c r="A207">
        <v>29247</v>
      </c>
      <c r="B207" t="s">
        <v>32</v>
      </c>
      <c r="C207">
        <v>1</v>
      </c>
      <c r="D207" t="s">
        <v>7040</v>
      </c>
      <c r="E207" t="s">
        <v>70</v>
      </c>
      <c r="F207" t="s">
        <v>5328</v>
      </c>
      <c r="G207" t="s">
        <v>5329</v>
      </c>
      <c r="H207" t="s">
        <v>72</v>
      </c>
      <c r="I207" t="s">
        <v>7012</v>
      </c>
      <c r="J207" t="s">
        <v>7041</v>
      </c>
      <c r="K207" t="s">
        <v>36</v>
      </c>
      <c r="L207" t="s">
        <v>33</v>
      </c>
      <c r="M207">
        <v>20603346735</v>
      </c>
      <c r="N207" t="s">
        <v>3194</v>
      </c>
      <c r="O207" t="s">
        <v>6159</v>
      </c>
      <c r="P207" t="s">
        <v>38</v>
      </c>
      <c r="Q207" t="s">
        <v>3195</v>
      </c>
      <c r="R207" t="s">
        <v>7042</v>
      </c>
      <c r="S207">
        <v>3327</v>
      </c>
      <c r="T207" t="s">
        <v>40</v>
      </c>
      <c r="U207">
        <f>+IF(Tabla1[[#This Row],[MONEDA]]="PEN",Tabla1[[#This Row],[MONTO]],Tabla1[[#This Row],[MONTO]]*3.56)</f>
        <v>3327</v>
      </c>
      <c r="X207" t="s">
        <v>81</v>
      </c>
      <c r="Y207" t="s">
        <v>42</v>
      </c>
      <c r="Z207" t="s">
        <v>43</v>
      </c>
      <c r="AA207" t="s">
        <v>7043</v>
      </c>
      <c r="AB207" t="s">
        <v>7044</v>
      </c>
      <c r="AC207" t="s">
        <v>7045</v>
      </c>
      <c r="AD207" t="s">
        <v>7046</v>
      </c>
      <c r="AE207">
        <v>3227.19</v>
      </c>
      <c r="AF207" t="s">
        <v>87</v>
      </c>
      <c r="AG207" t="s">
        <v>169</v>
      </c>
    </row>
    <row r="208" spans="1:33" x14ac:dyDescent="0.25">
      <c r="A208">
        <v>28692</v>
      </c>
      <c r="B208" t="s">
        <v>32</v>
      </c>
      <c r="C208">
        <v>1</v>
      </c>
      <c r="D208" t="s">
        <v>7476</v>
      </c>
      <c r="E208" t="s">
        <v>70</v>
      </c>
      <c r="F208" t="s">
        <v>5328</v>
      </c>
      <c r="G208" t="s">
        <v>5329</v>
      </c>
      <c r="H208" t="s">
        <v>72</v>
      </c>
      <c r="I208" t="s">
        <v>7460</v>
      </c>
      <c r="J208" t="s">
        <v>7477</v>
      </c>
      <c r="K208" t="s">
        <v>36</v>
      </c>
      <c r="L208" t="s">
        <v>33</v>
      </c>
      <c r="M208">
        <v>20603346735</v>
      </c>
      <c r="N208" t="s">
        <v>3194</v>
      </c>
      <c r="O208" t="s">
        <v>6159</v>
      </c>
      <c r="P208" t="s">
        <v>38</v>
      </c>
      <c r="Q208" t="s">
        <v>3195</v>
      </c>
      <c r="R208" t="s">
        <v>7478</v>
      </c>
      <c r="S208">
        <v>1751</v>
      </c>
      <c r="T208" t="s">
        <v>40</v>
      </c>
      <c r="U208">
        <f>+IF(Tabla1[[#This Row],[MONEDA]]="PEN",Tabla1[[#This Row],[MONTO]],Tabla1[[#This Row],[MONTO]]*3.56)</f>
        <v>1751</v>
      </c>
      <c r="X208" t="s">
        <v>81</v>
      </c>
      <c r="Y208" t="s">
        <v>42</v>
      </c>
      <c r="Z208" t="s">
        <v>43</v>
      </c>
      <c r="AA208" t="s">
        <v>7479</v>
      </c>
      <c r="AB208" t="s">
        <v>7480</v>
      </c>
      <c r="AC208" t="s">
        <v>7481</v>
      </c>
      <c r="AD208" t="s">
        <v>7482</v>
      </c>
      <c r="AE208">
        <v>1698.47</v>
      </c>
      <c r="AF208" t="s">
        <v>87</v>
      </c>
      <c r="AG208" t="s">
        <v>169</v>
      </c>
    </row>
    <row r="209" spans="1:33" hidden="1" x14ac:dyDescent="0.25">
      <c r="A209">
        <v>28551</v>
      </c>
      <c r="B209" t="s">
        <v>32</v>
      </c>
      <c r="C209">
        <v>1</v>
      </c>
      <c r="D209" t="s">
        <v>7483</v>
      </c>
      <c r="E209" t="s">
        <v>70</v>
      </c>
      <c r="F209" t="s">
        <v>33</v>
      </c>
      <c r="G209" t="s">
        <v>71</v>
      </c>
      <c r="H209" t="s">
        <v>72</v>
      </c>
      <c r="I209" t="s">
        <v>7484</v>
      </c>
      <c r="J209" t="s">
        <v>7485</v>
      </c>
      <c r="K209" t="s">
        <v>36</v>
      </c>
      <c r="L209" t="s">
        <v>33</v>
      </c>
      <c r="M209">
        <v>20603346735</v>
      </c>
      <c r="N209" t="s">
        <v>3194</v>
      </c>
      <c r="O209" t="s">
        <v>76</v>
      </c>
      <c r="P209" t="s">
        <v>38</v>
      </c>
      <c r="Q209" t="s">
        <v>3195</v>
      </c>
      <c r="R209" t="s">
        <v>7486</v>
      </c>
      <c r="S209">
        <v>3175</v>
      </c>
      <c r="T209" t="s">
        <v>40</v>
      </c>
      <c r="U209">
        <f>+IF(Tabla1[[#This Row],[MONEDA]]="PEN",Tabla1[[#This Row],[MONTO]],Tabla1[[#This Row],[MONTO]]*3.56)</f>
        <v>3175</v>
      </c>
      <c r="X209" t="s">
        <v>81</v>
      </c>
      <c r="Y209" t="s">
        <v>42</v>
      </c>
      <c r="Z209" t="s">
        <v>43</v>
      </c>
      <c r="AA209" t="s">
        <v>7487</v>
      </c>
      <c r="AB209" t="s">
        <v>7488</v>
      </c>
      <c r="AC209" t="s">
        <v>7489</v>
      </c>
      <c r="AD209" t="s">
        <v>7490</v>
      </c>
      <c r="AE209">
        <v>3080.72</v>
      </c>
      <c r="AF209" t="s">
        <v>87</v>
      </c>
      <c r="AG209" t="s">
        <v>169</v>
      </c>
    </row>
    <row r="210" spans="1:33" hidden="1" x14ac:dyDescent="0.25">
      <c r="A210">
        <v>26854</v>
      </c>
      <c r="B210" t="s">
        <v>32</v>
      </c>
      <c r="C210">
        <v>2</v>
      </c>
      <c r="D210" t="s">
        <v>8781</v>
      </c>
      <c r="E210" t="s">
        <v>70</v>
      </c>
      <c r="F210" t="s">
        <v>33</v>
      </c>
      <c r="G210" t="s">
        <v>71</v>
      </c>
      <c r="H210" t="s">
        <v>72</v>
      </c>
      <c r="I210" t="s">
        <v>8774</v>
      </c>
      <c r="J210" t="s">
        <v>8782</v>
      </c>
      <c r="K210" t="s">
        <v>36</v>
      </c>
      <c r="L210" t="s">
        <v>33</v>
      </c>
      <c r="M210">
        <v>20603346735</v>
      </c>
      <c r="N210" t="s">
        <v>3194</v>
      </c>
      <c r="O210" t="s">
        <v>76</v>
      </c>
      <c r="P210" t="s">
        <v>38</v>
      </c>
      <c r="Q210" t="s">
        <v>3195</v>
      </c>
      <c r="R210" t="s">
        <v>8783</v>
      </c>
      <c r="S210">
        <v>4981</v>
      </c>
      <c r="T210" t="s">
        <v>40</v>
      </c>
      <c r="U210">
        <f>+IF(Tabla1[[#This Row],[MONEDA]]="PEN",Tabla1[[#This Row],[MONTO]],Tabla1[[#This Row],[MONTO]]*3.56)</f>
        <v>4981</v>
      </c>
      <c r="X210" t="s">
        <v>81</v>
      </c>
      <c r="Y210" t="s">
        <v>42</v>
      </c>
      <c r="Z210" t="s">
        <v>82</v>
      </c>
      <c r="AA210" t="s">
        <v>8784</v>
      </c>
      <c r="AB210" t="s">
        <v>8785</v>
      </c>
      <c r="AC210" t="s">
        <v>8786</v>
      </c>
      <c r="AD210" t="s">
        <v>8787</v>
      </c>
      <c r="AE210">
        <v>4831.57</v>
      </c>
      <c r="AF210" t="s">
        <v>87</v>
      </c>
      <c r="AG210" t="s">
        <v>169</v>
      </c>
    </row>
    <row r="211" spans="1:33" hidden="1" x14ac:dyDescent="0.25">
      <c r="A211">
        <v>26469</v>
      </c>
      <c r="B211" t="s">
        <v>32</v>
      </c>
      <c r="C211">
        <v>1</v>
      </c>
      <c r="D211" t="s">
        <v>8951</v>
      </c>
      <c r="E211" t="s">
        <v>70</v>
      </c>
      <c r="F211" t="s">
        <v>33</v>
      </c>
      <c r="G211" t="s">
        <v>71</v>
      </c>
      <c r="H211" t="s">
        <v>72</v>
      </c>
      <c r="I211" t="s">
        <v>8944</v>
      </c>
      <c r="J211" t="s">
        <v>8952</v>
      </c>
      <c r="K211" t="s">
        <v>36</v>
      </c>
      <c r="L211" t="s">
        <v>33</v>
      </c>
      <c r="M211">
        <v>20603346735</v>
      </c>
      <c r="N211" t="s">
        <v>3194</v>
      </c>
      <c r="O211" t="s">
        <v>76</v>
      </c>
      <c r="P211" t="s">
        <v>38</v>
      </c>
      <c r="Q211" t="s">
        <v>3195</v>
      </c>
      <c r="R211" t="s">
        <v>8953</v>
      </c>
      <c r="S211">
        <v>4470</v>
      </c>
      <c r="T211" t="s">
        <v>40</v>
      </c>
      <c r="U211">
        <f>+IF(Tabla1[[#This Row],[MONEDA]]="PEN",Tabla1[[#This Row],[MONTO]],Tabla1[[#This Row],[MONTO]]*3.56)</f>
        <v>4470</v>
      </c>
      <c r="X211" t="s">
        <v>81</v>
      </c>
      <c r="Y211" t="s">
        <v>42</v>
      </c>
      <c r="Z211" t="s">
        <v>43</v>
      </c>
      <c r="AA211" t="s">
        <v>8954</v>
      </c>
      <c r="AB211" t="s">
        <v>8955</v>
      </c>
      <c r="AC211" t="s">
        <v>8956</v>
      </c>
      <c r="AD211" t="s">
        <v>8957</v>
      </c>
      <c r="AE211">
        <v>4335.8999999999996</v>
      </c>
      <c r="AF211" t="s">
        <v>87</v>
      </c>
      <c r="AG211" t="s">
        <v>169</v>
      </c>
    </row>
    <row r="212" spans="1:33" hidden="1" x14ac:dyDescent="0.25">
      <c r="A212">
        <v>26303</v>
      </c>
      <c r="B212" t="s">
        <v>32</v>
      </c>
      <c r="C212">
        <v>2</v>
      </c>
      <c r="D212" t="s">
        <v>9322</v>
      </c>
      <c r="E212" t="s">
        <v>70</v>
      </c>
      <c r="F212" t="s">
        <v>33</v>
      </c>
      <c r="G212" t="s">
        <v>71</v>
      </c>
      <c r="H212" t="s">
        <v>72</v>
      </c>
      <c r="I212" t="s">
        <v>9308</v>
      </c>
      <c r="J212" t="s">
        <v>9323</v>
      </c>
      <c r="K212" t="s">
        <v>36</v>
      </c>
      <c r="L212" t="s">
        <v>33</v>
      </c>
      <c r="M212">
        <v>20603346735</v>
      </c>
      <c r="N212" t="s">
        <v>3194</v>
      </c>
      <c r="O212" t="s">
        <v>76</v>
      </c>
      <c r="P212" t="s">
        <v>38</v>
      </c>
      <c r="Q212" t="s">
        <v>3195</v>
      </c>
      <c r="R212" t="s">
        <v>9324</v>
      </c>
      <c r="S212">
        <v>3613.5</v>
      </c>
      <c r="T212" t="s">
        <v>40</v>
      </c>
      <c r="U212">
        <f>+IF(Tabla1[[#This Row],[MONEDA]]="PEN",Tabla1[[#This Row],[MONTO]],Tabla1[[#This Row],[MONTO]]*3.56)</f>
        <v>3613.5</v>
      </c>
      <c r="X212" t="s">
        <v>81</v>
      </c>
      <c r="Y212" t="s">
        <v>42</v>
      </c>
      <c r="Z212" t="s">
        <v>82</v>
      </c>
      <c r="AA212" t="s">
        <v>9325</v>
      </c>
      <c r="AB212" t="s">
        <v>9326</v>
      </c>
      <c r="AC212" t="s">
        <v>9327</v>
      </c>
      <c r="AD212" t="s">
        <v>9328</v>
      </c>
      <c r="AE212">
        <v>3505.1</v>
      </c>
      <c r="AF212" t="s">
        <v>87</v>
      </c>
      <c r="AG212" t="s">
        <v>169</v>
      </c>
    </row>
    <row r="213" spans="1:33" hidden="1" x14ac:dyDescent="0.25">
      <c r="A213">
        <v>25992</v>
      </c>
      <c r="B213" t="s">
        <v>32</v>
      </c>
      <c r="C213">
        <v>1</v>
      </c>
      <c r="D213" t="s">
        <v>9432</v>
      </c>
      <c r="E213" t="s">
        <v>70</v>
      </c>
      <c r="F213" t="s">
        <v>33</v>
      </c>
      <c r="G213" t="s">
        <v>71</v>
      </c>
      <c r="H213" t="s">
        <v>72</v>
      </c>
      <c r="I213" t="s">
        <v>9433</v>
      </c>
      <c r="J213" t="s">
        <v>9434</v>
      </c>
      <c r="K213" t="s">
        <v>36</v>
      </c>
      <c r="L213" t="s">
        <v>33</v>
      </c>
      <c r="M213">
        <v>20603346735</v>
      </c>
      <c r="N213" t="s">
        <v>3194</v>
      </c>
      <c r="O213" t="s">
        <v>76</v>
      </c>
      <c r="P213" t="s">
        <v>38</v>
      </c>
      <c r="Q213" t="s">
        <v>3195</v>
      </c>
      <c r="R213" t="s">
        <v>9435</v>
      </c>
      <c r="S213">
        <v>2805.5</v>
      </c>
      <c r="T213" t="s">
        <v>40</v>
      </c>
      <c r="U213">
        <f>+IF(Tabla1[[#This Row],[MONEDA]]="PEN",Tabla1[[#This Row],[MONTO]],Tabla1[[#This Row],[MONTO]]*3.56)</f>
        <v>2805.5</v>
      </c>
      <c r="X213" t="s">
        <v>81</v>
      </c>
      <c r="Y213" t="s">
        <v>42</v>
      </c>
      <c r="Z213" t="s">
        <v>82</v>
      </c>
      <c r="AA213" t="s">
        <v>9436</v>
      </c>
      <c r="AB213" t="s">
        <v>9437</v>
      </c>
      <c r="AC213" t="s">
        <v>9438</v>
      </c>
      <c r="AD213" t="s">
        <v>9439</v>
      </c>
      <c r="AE213">
        <v>2721.34</v>
      </c>
      <c r="AF213" t="s">
        <v>87</v>
      </c>
      <c r="AG213" t="s">
        <v>169</v>
      </c>
    </row>
    <row r="214" spans="1:33" hidden="1" x14ac:dyDescent="0.25">
      <c r="A214">
        <v>24527</v>
      </c>
      <c r="B214" t="s">
        <v>32</v>
      </c>
      <c r="C214">
        <v>1</v>
      </c>
      <c r="D214" t="s">
        <v>10192</v>
      </c>
      <c r="E214" t="s">
        <v>70</v>
      </c>
      <c r="F214" t="s">
        <v>33</v>
      </c>
      <c r="G214" t="s">
        <v>71</v>
      </c>
      <c r="H214" t="s">
        <v>72</v>
      </c>
      <c r="I214" t="s">
        <v>10164</v>
      </c>
      <c r="J214" t="s">
        <v>10193</v>
      </c>
      <c r="K214" t="s">
        <v>36</v>
      </c>
      <c r="L214" t="s">
        <v>33</v>
      </c>
      <c r="M214">
        <v>20603346735</v>
      </c>
      <c r="N214" t="s">
        <v>3194</v>
      </c>
      <c r="O214" t="s">
        <v>76</v>
      </c>
      <c r="P214" t="s">
        <v>38</v>
      </c>
      <c r="Q214" t="s">
        <v>3195</v>
      </c>
      <c r="R214" t="s">
        <v>10194</v>
      </c>
      <c r="S214">
        <v>2405</v>
      </c>
      <c r="T214" t="s">
        <v>40</v>
      </c>
      <c r="U214">
        <f>+IF(Tabla1[[#This Row],[MONEDA]]="PEN",Tabla1[[#This Row],[MONTO]],Tabla1[[#This Row],[MONTO]]*3.56)</f>
        <v>2405</v>
      </c>
      <c r="X214" t="s">
        <v>81</v>
      </c>
      <c r="Y214" t="s">
        <v>42</v>
      </c>
      <c r="Z214" t="s">
        <v>43</v>
      </c>
      <c r="AA214" t="s">
        <v>10195</v>
      </c>
      <c r="AB214" t="s">
        <v>10196</v>
      </c>
      <c r="AC214" t="s">
        <v>10197</v>
      </c>
      <c r="AD214" t="s">
        <v>10198</v>
      </c>
      <c r="AE214">
        <v>2332.85</v>
      </c>
      <c r="AF214" t="s">
        <v>87</v>
      </c>
      <c r="AG214" t="s">
        <v>169</v>
      </c>
    </row>
    <row r="215" spans="1:33" hidden="1" x14ac:dyDescent="0.25">
      <c r="A215">
        <v>24061</v>
      </c>
      <c r="B215" t="s">
        <v>32</v>
      </c>
      <c r="C215">
        <v>1</v>
      </c>
      <c r="D215" t="s">
        <v>10730</v>
      </c>
      <c r="E215" t="s">
        <v>70</v>
      </c>
      <c r="F215" t="s">
        <v>33</v>
      </c>
      <c r="G215" t="s">
        <v>71</v>
      </c>
      <c r="H215" t="s">
        <v>72</v>
      </c>
      <c r="I215" t="s">
        <v>10709</v>
      </c>
      <c r="J215" t="s">
        <v>10731</v>
      </c>
      <c r="K215" t="s">
        <v>36</v>
      </c>
      <c r="L215" t="s">
        <v>33</v>
      </c>
      <c r="M215">
        <v>20603346735</v>
      </c>
      <c r="N215" t="s">
        <v>3194</v>
      </c>
      <c r="O215" t="s">
        <v>76</v>
      </c>
      <c r="P215" t="s">
        <v>38</v>
      </c>
      <c r="Q215" t="s">
        <v>3195</v>
      </c>
      <c r="R215" t="s">
        <v>10732</v>
      </c>
      <c r="S215">
        <v>6250</v>
      </c>
      <c r="T215" t="s">
        <v>40</v>
      </c>
      <c r="U215">
        <f>+IF(Tabla1[[#This Row],[MONEDA]]="PEN",Tabla1[[#This Row],[MONTO]],Tabla1[[#This Row],[MONTO]]*3.56)</f>
        <v>6250</v>
      </c>
      <c r="X215" t="s">
        <v>81</v>
      </c>
      <c r="Y215" t="s">
        <v>42</v>
      </c>
      <c r="Z215" t="s">
        <v>43</v>
      </c>
      <c r="AA215" t="s">
        <v>10733</v>
      </c>
      <c r="AB215" t="s">
        <v>10734</v>
      </c>
      <c r="AC215" t="s">
        <v>10735</v>
      </c>
      <c r="AD215" t="s">
        <v>10736</v>
      </c>
      <c r="AE215">
        <v>6062.5</v>
      </c>
      <c r="AF215" t="s">
        <v>87</v>
      </c>
      <c r="AG215" t="s">
        <v>169</v>
      </c>
    </row>
    <row r="216" spans="1:33" hidden="1" x14ac:dyDescent="0.25">
      <c r="A216">
        <v>24075</v>
      </c>
      <c r="B216" t="s">
        <v>32</v>
      </c>
      <c r="C216">
        <v>1</v>
      </c>
      <c r="D216" t="s">
        <v>10752</v>
      </c>
      <c r="E216" t="s">
        <v>70</v>
      </c>
      <c r="F216" t="s">
        <v>33</v>
      </c>
      <c r="G216" t="s">
        <v>9422</v>
      </c>
      <c r="H216" t="s">
        <v>72</v>
      </c>
      <c r="I216" t="s">
        <v>10738</v>
      </c>
      <c r="J216" t="s">
        <v>10753</v>
      </c>
      <c r="K216" t="s">
        <v>36</v>
      </c>
      <c r="L216" t="s">
        <v>33</v>
      </c>
      <c r="M216">
        <v>20603346735</v>
      </c>
      <c r="N216" t="s">
        <v>3194</v>
      </c>
      <c r="O216" t="s">
        <v>9423</v>
      </c>
      <c r="P216" t="s">
        <v>38</v>
      </c>
      <c r="Q216" t="s">
        <v>3195</v>
      </c>
      <c r="R216" t="s">
        <v>10754</v>
      </c>
      <c r="S216">
        <v>2626.5</v>
      </c>
      <c r="T216" t="s">
        <v>40</v>
      </c>
      <c r="U216">
        <f>+IF(Tabla1[[#This Row],[MONEDA]]="PEN",Tabla1[[#This Row],[MONTO]],Tabla1[[#This Row],[MONTO]]*3.56)</f>
        <v>2626.5</v>
      </c>
      <c r="X216" t="s">
        <v>41</v>
      </c>
      <c r="Y216" t="s">
        <v>42</v>
      </c>
      <c r="Z216" t="s">
        <v>43</v>
      </c>
      <c r="AA216" t="s">
        <v>10755</v>
      </c>
      <c r="AB216" t="s">
        <v>10756</v>
      </c>
      <c r="AC216" t="s">
        <v>10757</v>
      </c>
      <c r="AD216" t="s">
        <v>10758</v>
      </c>
      <c r="AE216">
        <v>2547.71</v>
      </c>
      <c r="AF216" t="s">
        <v>87</v>
      </c>
      <c r="AG216" t="s">
        <v>169</v>
      </c>
    </row>
    <row r="217" spans="1:33" hidden="1" x14ac:dyDescent="0.25">
      <c r="A217">
        <v>23741</v>
      </c>
      <c r="B217" t="s">
        <v>32</v>
      </c>
      <c r="C217">
        <v>1</v>
      </c>
      <c r="D217" t="s">
        <v>10957</v>
      </c>
      <c r="E217" t="s">
        <v>70</v>
      </c>
      <c r="F217" t="s">
        <v>33</v>
      </c>
      <c r="G217" t="s">
        <v>9422</v>
      </c>
      <c r="H217" t="s">
        <v>72</v>
      </c>
      <c r="I217" t="s">
        <v>10950</v>
      </c>
      <c r="J217" t="s">
        <v>10958</v>
      </c>
      <c r="K217" t="s">
        <v>36</v>
      </c>
      <c r="L217" t="s">
        <v>33</v>
      </c>
      <c r="M217">
        <v>20603346735</v>
      </c>
      <c r="N217" t="s">
        <v>3194</v>
      </c>
      <c r="O217" t="s">
        <v>9423</v>
      </c>
      <c r="P217" t="s">
        <v>38</v>
      </c>
      <c r="Q217" t="s">
        <v>3195</v>
      </c>
      <c r="R217" t="s">
        <v>10959</v>
      </c>
      <c r="S217">
        <v>3236</v>
      </c>
      <c r="T217" t="s">
        <v>40</v>
      </c>
      <c r="U217">
        <f>+IF(Tabla1[[#This Row],[MONEDA]]="PEN",Tabla1[[#This Row],[MONTO]],Tabla1[[#This Row],[MONTO]]*3.56)</f>
        <v>3236</v>
      </c>
      <c r="X217" t="s">
        <v>41</v>
      </c>
      <c r="Y217" t="s">
        <v>42</v>
      </c>
      <c r="Z217" t="s">
        <v>43</v>
      </c>
      <c r="AA217" t="s">
        <v>10960</v>
      </c>
      <c r="AB217" t="s">
        <v>10961</v>
      </c>
      <c r="AC217" t="s">
        <v>10962</v>
      </c>
      <c r="AD217" t="s">
        <v>10963</v>
      </c>
      <c r="AE217">
        <v>3138.92</v>
      </c>
      <c r="AF217" t="s">
        <v>87</v>
      </c>
      <c r="AG217" t="s">
        <v>169</v>
      </c>
    </row>
    <row r="218" spans="1:33" hidden="1" x14ac:dyDescent="0.25">
      <c r="A218">
        <v>23419</v>
      </c>
      <c r="B218" t="s">
        <v>32</v>
      </c>
      <c r="C218">
        <v>1</v>
      </c>
      <c r="D218" t="s">
        <v>11214</v>
      </c>
      <c r="E218" t="s">
        <v>70</v>
      </c>
      <c r="F218" t="s">
        <v>33</v>
      </c>
      <c r="G218" t="s">
        <v>71</v>
      </c>
      <c r="H218" t="s">
        <v>72</v>
      </c>
      <c r="I218" t="s">
        <v>11200</v>
      </c>
      <c r="J218" t="s">
        <v>11215</v>
      </c>
      <c r="K218" t="s">
        <v>36</v>
      </c>
      <c r="L218" t="s">
        <v>33</v>
      </c>
      <c r="M218">
        <v>20603346735</v>
      </c>
      <c r="N218" t="s">
        <v>3194</v>
      </c>
      <c r="O218" t="s">
        <v>76</v>
      </c>
      <c r="P218" t="s">
        <v>38</v>
      </c>
      <c r="Q218" t="s">
        <v>3195</v>
      </c>
      <c r="R218" t="s">
        <v>11216</v>
      </c>
      <c r="S218">
        <v>2233</v>
      </c>
      <c r="T218" t="s">
        <v>40</v>
      </c>
      <c r="U218">
        <f>+IF(Tabla1[[#This Row],[MONEDA]]="PEN",Tabla1[[#This Row],[MONTO]],Tabla1[[#This Row],[MONTO]]*3.56)</f>
        <v>2233</v>
      </c>
      <c r="X218" t="s">
        <v>81</v>
      </c>
      <c r="Y218" t="s">
        <v>42</v>
      </c>
      <c r="Z218" t="s">
        <v>43</v>
      </c>
      <c r="AA218" t="s">
        <v>11217</v>
      </c>
      <c r="AB218" t="s">
        <v>11218</v>
      </c>
      <c r="AC218" t="s">
        <v>11219</v>
      </c>
      <c r="AD218" t="s">
        <v>11220</v>
      </c>
      <c r="AE218">
        <v>2166.0100000000002</v>
      </c>
      <c r="AF218" t="s">
        <v>87</v>
      </c>
      <c r="AG218" t="s">
        <v>169</v>
      </c>
    </row>
    <row r="219" spans="1:33" hidden="1" x14ac:dyDescent="0.25">
      <c r="A219">
        <v>23061</v>
      </c>
      <c r="B219" t="s">
        <v>32</v>
      </c>
      <c r="C219">
        <v>1</v>
      </c>
      <c r="D219" t="s">
        <v>11600</v>
      </c>
      <c r="E219" t="s">
        <v>70</v>
      </c>
      <c r="F219" t="s">
        <v>33</v>
      </c>
      <c r="G219" t="s">
        <v>9422</v>
      </c>
      <c r="H219" t="s">
        <v>72</v>
      </c>
      <c r="I219" t="s">
        <v>11573</v>
      </c>
      <c r="J219" t="s">
        <v>11601</v>
      </c>
      <c r="K219" t="s">
        <v>36</v>
      </c>
      <c r="L219" t="s">
        <v>33</v>
      </c>
      <c r="M219">
        <v>20603346735</v>
      </c>
      <c r="N219" t="s">
        <v>3194</v>
      </c>
      <c r="O219" t="s">
        <v>9423</v>
      </c>
      <c r="P219" t="s">
        <v>38</v>
      </c>
      <c r="Q219" t="s">
        <v>3195</v>
      </c>
      <c r="R219" t="s">
        <v>11602</v>
      </c>
      <c r="S219">
        <v>832</v>
      </c>
      <c r="T219" t="s">
        <v>40</v>
      </c>
      <c r="U219">
        <f>+IF(Tabla1[[#This Row],[MONEDA]]="PEN",Tabla1[[#This Row],[MONTO]],Tabla1[[#This Row],[MONTO]]*3.56)</f>
        <v>832</v>
      </c>
      <c r="X219" t="s">
        <v>41</v>
      </c>
      <c r="Y219" t="s">
        <v>42</v>
      </c>
      <c r="Z219" t="s">
        <v>82</v>
      </c>
      <c r="AA219" t="s">
        <v>11603</v>
      </c>
      <c r="AB219" t="s">
        <v>11604</v>
      </c>
      <c r="AC219" t="s">
        <v>11605</v>
      </c>
      <c r="AD219" t="s">
        <v>11606</v>
      </c>
      <c r="AE219">
        <v>807.04</v>
      </c>
      <c r="AF219" t="s">
        <v>87</v>
      </c>
      <c r="AG219" t="s">
        <v>169</v>
      </c>
    </row>
    <row r="220" spans="1:33" hidden="1" x14ac:dyDescent="0.25">
      <c r="A220">
        <v>31744</v>
      </c>
      <c r="B220" t="s">
        <v>32</v>
      </c>
      <c r="C220">
        <v>1</v>
      </c>
      <c r="D220" t="s">
        <v>5683</v>
      </c>
      <c r="E220" t="s">
        <v>70</v>
      </c>
      <c r="F220" t="s">
        <v>33</v>
      </c>
      <c r="G220" t="s">
        <v>71</v>
      </c>
      <c r="H220" t="s">
        <v>35</v>
      </c>
      <c r="I220" t="s">
        <v>5670</v>
      </c>
      <c r="J220" t="s">
        <v>5684</v>
      </c>
      <c r="K220" t="s">
        <v>36</v>
      </c>
      <c r="L220" t="s">
        <v>33</v>
      </c>
      <c r="M220">
        <v>20558088649</v>
      </c>
      <c r="N220" t="s">
        <v>5685</v>
      </c>
      <c r="O220" t="s">
        <v>76</v>
      </c>
      <c r="P220" t="s">
        <v>38</v>
      </c>
      <c r="Q220">
        <v>2152605256033</v>
      </c>
      <c r="R220" t="s">
        <v>5686</v>
      </c>
      <c r="S220">
        <v>212.4</v>
      </c>
      <c r="T220" t="s">
        <v>40</v>
      </c>
      <c r="U220">
        <f>+IF(Tabla1[[#This Row],[MONEDA]]="PEN",Tabla1[[#This Row],[MONTO]],Tabla1[[#This Row],[MONTO]]*3.56)</f>
        <v>212.4</v>
      </c>
      <c r="X220" t="s">
        <v>81</v>
      </c>
      <c r="Y220" t="s">
        <v>42</v>
      </c>
      <c r="Z220" t="s">
        <v>43</v>
      </c>
      <c r="AA220" t="s">
        <v>5687</v>
      </c>
      <c r="AB220" t="s">
        <v>5688</v>
      </c>
      <c r="AC220" t="s">
        <v>5689</v>
      </c>
      <c r="AD220" t="s">
        <v>5690</v>
      </c>
      <c r="AE220">
        <v>212.4</v>
      </c>
      <c r="AF220" t="s">
        <v>87</v>
      </c>
      <c r="AG220" t="s">
        <v>169</v>
      </c>
    </row>
    <row r="221" spans="1:33" hidden="1" x14ac:dyDescent="0.25">
      <c r="A221">
        <v>37489</v>
      </c>
      <c r="B221" t="s">
        <v>32</v>
      </c>
      <c r="C221">
        <v>1</v>
      </c>
      <c r="D221" t="s">
        <v>3367</v>
      </c>
      <c r="E221" t="s">
        <v>1238</v>
      </c>
      <c r="F221" t="s">
        <v>33</v>
      </c>
      <c r="G221" t="s">
        <v>71</v>
      </c>
      <c r="H221" t="s">
        <v>35</v>
      </c>
      <c r="I221" t="s">
        <v>3352</v>
      </c>
      <c r="J221" t="s">
        <v>3368</v>
      </c>
      <c r="K221" t="s">
        <v>36</v>
      </c>
      <c r="L221" t="s">
        <v>33</v>
      </c>
      <c r="M221">
        <v>20521999307</v>
      </c>
      <c r="N221" t="s">
        <v>3369</v>
      </c>
      <c r="O221" t="s">
        <v>76</v>
      </c>
      <c r="P221" t="s">
        <v>101</v>
      </c>
      <c r="Q221" t="s">
        <v>3370</v>
      </c>
      <c r="R221" t="s">
        <v>3371</v>
      </c>
      <c r="S221">
        <v>16184.88</v>
      </c>
      <c r="T221" t="s">
        <v>40</v>
      </c>
      <c r="U221">
        <f>+IF(Tabla1[[#This Row],[MONEDA]]="PEN",Tabla1[[#This Row],[MONTO]],Tabla1[[#This Row],[MONTO]]*3.56)</f>
        <v>16184.88</v>
      </c>
      <c r="X221" t="s">
        <v>41</v>
      </c>
      <c r="Y221" t="s">
        <v>42</v>
      </c>
      <c r="Z221" t="s">
        <v>511</v>
      </c>
      <c r="AA221" t="s">
        <v>3372</v>
      </c>
      <c r="AB221" t="s">
        <v>3373</v>
      </c>
      <c r="AC221" t="s">
        <v>3374</v>
      </c>
      <c r="AD221" t="s">
        <v>3375</v>
      </c>
      <c r="AE221">
        <v>15699.33</v>
      </c>
      <c r="AF221" t="s">
        <v>87</v>
      </c>
      <c r="AG221" t="s">
        <v>666</v>
      </c>
    </row>
    <row r="222" spans="1:33" x14ac:dyDescent="0.25">
      <c r="A222">
        <v>37212</v>
      </c>
      <c r="B222" t="s">
        <v>32</v>
      </c>
      <c r="C222">
        <v>1</v>
      </c>
      <c r="D222" t="s">
        <v>3203</v>
      </c>
      <c r="E222" t="s">
        <v>70</v>
      </c>
      <c r="F222" t="s">
        <v>90</v>
      </c>
      <c r="G222" t="s">
        <v>91</v>
      </c>
      <c r="H222" t="s">
        <v>35</v>
      </c>
      <c r="I222" t="s">
        <v>3204</v>
      </c>
      <c r="J222" t="s">
        <v>3205</v>
      </c>
      <c r="K222" t="s">
        <v>36</v>
      </c>
      <c r="L222" t="s">
        <v>33</v>
      </c>
      <c r="M222">
        <v>20612943495</v>
      </c>
      <c r="N222" t="s">
        <v>107</v>
      </c>
      <c r="P222" t="s">
        <v>77</v>
      </c>
      <c r="Q222">
        <v>4307213559174</v>
      </c>
      <c r="R222" t="s">
        <v>1805</v>
      </c>
      <c r="S222">
        <v>7886.77</v>
      </c>
      <c r="T222" t="s">
        <v>80</v>
      </c>
      <c r="U222">
        <f>+IF(Tabla1[[#This Row],[MONEDA]]="PEN",Tabla1[[#This Row],[MONTO]],Tabla1[[#This Row],[MONTO]]*3.56)</f>
        <v>28076.9012</v>
      </c>
      <c r="X222" t="s">
        <v>41</v>
      </c>
      <c r="Y222" t="s">
        <v>42</v>
      </c>
      <c r="Z222" t="s">
        <v>82</v>
      </c>
      <c r="AA222" t="s">
        <v>3206</v>
      </c>
      <c r="AB222" t="s">
        <v>3207</v>
      </c>
      <c r="AC222" t="s">
        <v>3208</v>
      </c>
      <c r="AD222" t="s">
        <v>3209</v>
      </c>
      <c r="AE222">
        <v>7098.09</v>
      </c>
      <c r="AF222" t="s">
        <v>87</v>
      </c>
      <c r="AG222" t="s">
        <v>88</v>
      </c>
    </row>
    <row r="223" spans="1:33" x14ac:dyDescent="0.25">
      <c r="A223">
        <v>37210</v>
      </c>
      <c r="B223" t="s">
        <v>32</v>
      </c>
      <c r="C223">
        <v>1</v>
      </c>
      <c r="D223" t="s">
        <v>3273</v>
      </c>
      <c r="E223" t="s">
        <v>70</v>
      </c>
      <c r="F223" t="s">
        <v>90</v>
      </c>
      <c r="G223" t="s">
        <v>91</v>
      </c>
      <c r="H223" t="s">
        <v>35</v>
      </c>
      <c r="I223" t="s">
        <v>3274</v>
      </c>
      <c r="J223" t="s">
        <v>3275</v>
      </c>
      <c r="K223" t="s">
        <v>36</v>
      </c>
      <c r="L223" t="s">
        <v>33</v>
      </c>
      <c r="M223">
        <v>20612943495</v>
      </c>
      <c r="N223" t="s">
        <v>107</v>
      </c>
      <c r="P223" t="s">
        <v>38</v>
      </c>
      <c r="Q223" t="s">
        <v>1807</v>
      </c>
      <c r="R223" t="s">
        <v>1808</v>
      </c>
      <c r="S223">
        <v>3540</v>
      </c>
      <c r="T223" t="s">
        <v>40</v>
      </c>
      <c r="U223">
        <f>+IF(Tabla1[[#This Row],[MONEDA]]="PEN",Tabla1[[#This Row],[MONTO]],Tabla1[[#This Row],[MONTO]]*3.56)</f>
        <v>3540</v>
      </c>
      <c r="X223" t="s">
        <v>41</v>
      </c>
      <c r="Y223" t="s">
        <v>51</v>
      </c>
      <c r="Z223" t="s">
        <v>43</v>
      </c>
      <c r="AA223" t="s">
        <v>3276</v>
      </c>
      <c r="AB223" t="s">
        <v>3277</v>
      </c>
      <c r="AC223" t="s">
        <v>3278</v>
      </c>
      <c r="AD223" t="s">
        <v>3279</v>
      </c>
      <c r="AE223">
        <v>3186</v>
      </c>
      <c r="AF223" t="s">
        <v>87</v>
      </c>
      <c r="AG223" t="s">
        <v>169</v>
      </c>
    </row>
    <row r="224" spans="1:33" x14ac:dyDescent="0.25">
      <c r="A224">
        <v>37211</v>
      </c>
      <c r="B224" t="s">
        <v>32</v>
      </c>
      <c r="C224">
        <v>1</v>
      </c>
      <c r="D224" t="s">
        <v>3280</v>
      </c>
      <c r="E224" t="s">
        <v>70</v>
      </c>
      <c r="F224" t="s">
        <v>90</v>
      </c>
      <c r="G224" t="s">
        <v>91</v>
      </c>
      <c r="H224" t="s">
        <v>35</v>
      </c>
      <c r="I224" t="s">
        <v>3274</v>
      </c>
      <c r="J224" t="s">
        <v>3281</v>
      </c>
      <c r="K224" t="s">
        <v>36</v>
      </c>
      <c r="L224" t="s">
        <v>33</v>
      </c>
      <c r="M224">
        <v>20612943495</v>
      </c>
      <c r="N224" t="s">
        <v>107</v>
      </c>
      <c r="P224" t="s">
        <v>77</v>
      </c>
      <c r="Q224">
        <v>4307213559174</v>
      </c>
      <c r="R224" t="s">
        <v>1806</v>
      </c>
      <c r="S224">
        <v>16351.26</v>
      </c>
      <c r="T224" t="s">
        <v>80</v>
      </c>
      <c r="U224">
        <f>+IF(Tabla1[[#This Row],[MONEDA]]="PEN",Tabla1[[#This Row],[MONTO]],Tabla1[[#This Row],[MONTO]]*3.56)</f>
        <v>58210.4856</v>
      </c>
      <c r="X224" t="s">
        <v>41</v>
      </c>
      <c r="Y224" t="s">
        <v>42</v>
      </c>
      <c r="Z224" t="s">
        <v>82</v>
      </c>
      <c r="AA224" t="s">
        <v>3282</v>
      </c>
      <c r="AB224" t="s">
        <v>3283</v>
      </c>
      <c r="AC224" t="s">
        <v>3284</v>
      </c>
      <c r="AD224" t="s">
        <v>3285</v>
      </c>
      <c r="AE224">
        <v>14716.13</v>
      </c>
      <c r="AF224" t="s">
        <v>87</v>
      </c>
      <c r="AG224" t="s">
        <v>88</v>
      </c>
    </row>
    <row r="225" spans="1:33" x14ac:dyDescent="0.25">
      <c r="A225">
        <v>31516</v>
      </c>
      <c r="B225" t="s">
        <v>32</v>
      </c>
      <c r="C225">
        <v>4</v>
      </c>
      <c r="D225" t="s">
        <v>4285</v>
      </c>
      <c r="E225" t="s">
        <v>70</v>
      </c>
      <c r="F225" t="s">
        <v>90</v>
      </c>
      <c r="G225" t="s">
        <v>91</v>
      </c>
      <c r="H225" t="s">
        <v>72</v>
      </c>
      <c r="I225" t="s">
        <v>4278</v>
      </c>
      <c r="J225" t="s">
        <v>4286</v>
      </c>
      <c r="K225" t="s">
        <v>36</v>
      </c>
      <c r="L225" t="s">
        <v>33</v>
      </c>
      <c r="M225">
        <v>20612943495</v>
      </c>
      <c r="N225" t="s">
        <v>107</v>
      </c>
      <c r="P225" t="s">
        <v>77</v>
      </c>
      <c r="Q225">
        <v>4307213559174</v>
      </c>
      <c r="R225" t="s">
        <v>4287</v>
      </c>
      <c r="S225">
        <v>17200.86</v>
      </c>
      <c r="T225" t="s">
        <v>80</v>
      </c>
      <c r="U225">
        <f>+IF(Tabla1[[#This Row],[MONEDA]]="PEN",Tabla1[[#This Row],[MONTO]],Tabla1[[#This Row],[MONTO]]*3.56)</f>
        <v>61235.061600000001</v>
      </c>
      <c r="X225" t="s">
        <v>41</v>
      </c>
      <c r="Y225" t="s">
        <v>42</v>
      </c>
      <c r="Z225" t="s">
        <v>82</v>
      </c>
      <c r="AA225" t="s">
        <v>4288</v>
      </c>
      <c r="AB225" t="s">
        <v>4289</v>
      </c>
      <c r="AC225" t="s">
        <v>4290</v>
      </c>
      <c r="AD225" t="s">
        <v>4291</v>
      </c>
      <c r="AE225">
        <v>15480.77</v>
      </c>
      <c r="AF225" t="s">
        <v>87</v>
      </c>
      <c r="AG225" t="s">
        <v>88</v>
      </c>
    </row>
    <row r="226" spans="1:33" x14ac:dyDescent="0.25">
      <c r="A226">
        <v>28161</v>
      </c>
      <c r="B226" t="s">
        <v>32</v>
      </c>
      <c r="C226">
        <v>2</v>
      </c>
      <c r="D226" t="s">
        <v>7590</v>
      </c>
      <c r="E226" t="s">
        <v>70</v>
      </c>
      <c r="F226" t="s">
        <v>90</v>
      </c>
      <c r="G226" t="s">
        <v>91</v>
      </c>
      <c r="H226" t="s">
        <v>72</v>
      </c>
      <c r="I226" t="s">
        <v>7531</v>
      </c>
      <c r="J226" t="s">
        <v>7591</v>
      </c>
      <c r="K226" t="s">
        <v>36</v>
      </c>
      <c r="L226" t="s">
        <v>33</v>
      </c>
      <c r="M226">
        <v>20612943495</v>
      </c>
      <c r="N226" t="s">
        <v>107</v>
      </c>
      <c r="P226" t="s">
        <v>77</v>
      </c>
      <c r="Q226">
        <v>4307213559174</v>
      </c>
      <c r="R226" t="s">
        <v>7592</v>
      </c>
      <c r="S226">
        <v>5828.02</v>
      </c>
      <c r="T226" t="s">
        <v>80</v>
      </c>
      <c r="U226">
        <f>+IF(Tabla1[[#This Row],[MONEDA]]="PEN",Tabla1[[#This Row],[MONTO]],Tabla1[[#This Row],[MONTO]]*3.56)</f>
        <v>20747.751200000002</v>
      </c>
      <c r="X226" t="s">
        <v>41</v>
      </c>
      <c r="Y226" t="s">
        <v>42</v>
      </c>
      <c r="Z226" t="s">
        <v>43</v>
      </c>
      <c r="AA226" t="s">
        <v>7593</v>
      </c>
      <c r="AB226" t="s">
        <v>7594</v>
      </c>
      <c r="AC226" t="s">
        <v>7595</v>
      </c>
      <c r="AD226" t="s">
        <v>7596</v>
      </c>
      <c r="AE226">
        <v>5245.22</v>
      </c>
      <c r="AF226" t="s">
        <v>87</v>
      </c>
      <c r="AG226" t="s">
        <v>88</v>
      </c>
    </row>
    <row r="227" spans="1:33" x14ac:dyDescent="0.25">
      <c r="A227">
        <v>26479</v>
      </c>
      <c r="B227" t="s">
        <v>32</v>
      </c>
      <c r="C227">
        <v>1</v>
      </c>
      <c r="D227" t="s">
        <v>8411</v>
      </c>
      <c r="E227" t="s">
        <v>70</v>
      </c>
      <c r="F227" t="s">
        <v>90</v>
      </c>
      <c r="G227" t="s">
        <v>91</v>
      </c>
      <c r="H227" t="s">
        <v>72</v>
      </c>
      <c r="I227" t="s">
        <v>8412</v>
      </c>
      <c r="J227" t="s">
        <v>8413</v>
      </c>
      <c r="K227" t="s">
        <v>36</v>
      </c>
      <c r="L227" t="s">
        <v>33</v>
      </c>
      <c r="M227">
        <v>20612943495</v>
      </c>
      <c r="N227" t="s">
        <v>107</v>
      </c>
      <c r="P227" t="s">
        <v>77</v>
      </c>
      <c r="Q227">
        <v>4307213559174</v>
      </c>
      <c r="R227" t="s">
        <v>8414</v>
      </c>
      <c r="S227">
        <v>3370.08</v>
      </c>
      <c r="T227" t="s">
        <v>80</v>
      </c>
      <c r="U227">
        <f>+IF(Tabla1[[#This Row],[MONEDA]]="PEN",Tabla1[[#This Row],[MONTO]],Tabla1[[#This Row],[MONTO]]*3.56)</f>
        <v>11997.4848</v>
      </c>
      <c r="X227" t="s">
        <v>41</v>
      </c>
      <c r="Y227" t="s">
        <v>42</v>
      </c>
      <c r="Z227" t="s">
        <v>82</v>
      </c>
      <c r="AA227" t="s">
        <v>8415</v>
      </c>
      <c r="AB227" t="s">
        <v>8416</v>
      </c>
      <c r="AC227" t="s">
        <v>8417</v>
      </c>
      <c r="AD227" t="s">
        <v>8418</v>
      </c>
      <c r="AE227">
        <v>3033.07</v>
      </c>
      <c r="AF227" t="s">
        <v>87</v>
      </c>
      <c r="AG227" t="s">
        <v>88</v>
      </c>
    </row>
    <row r="228" spans="1:33" x14ac:dyDescent="0.25">
      <c r="A228">
        <v>45856</v>
      </c>
      <c r="B228" t="s">
        <v>32</v>
      </c>
      <c r="C228">
        <v>1</v>
      </c>
      <c r="D228" t="s">
        <v>105</v>
      </c>
      <c r="E228" t="s">
        <v>45</v>
      </c>
      <c r="F228" t="s">
        <v>90</v>
      </c>
      <c r="G228" t="s">
        <v>91</v>
      </c>
      <c r="H228" t="s">
        <v>35</v>
      </c>
      <c r="I228" t="s">
        <v>98</v>
      </c>
      <c r="J228" t="s">
        <v>106</v>
      </c>
      <c r="K228" t="s">
        <v>36</v>
      </c>
      <c r="L228" t="s">
        <v>33</v>
      </c>
      <c r="M228">
        <v>20612943495</v>
      </c>
      <c r="N228" t="s">
        <v>107</v>
      </c>
      <c r="P228" t="s">
        <v>77</v>
      </c>
      <c r="Q228">
        <v>4307213559174</v>
      </c>
      <c r="R228" t="s">
        <v>108</v>
      </c>
      <c r="S228">
        <v>2926.4</v>
      </c>
      <c r="T228" t="s">
        <v>80</v>
      </c>
      <c r="U228">
        <f>+IF(Tabla1[[#This Row],[MONEDA]]="PEN",Tabla1[[#This Row],[MONTO]],Tabla1[[#This Row],[MONTO]]*3.56)</f>
        <v>10417.984</v>
      </c>
      <c r="X228" t="s">
        <v>41</v>
      </c>
      <c r="Y228" t="s">
        <v>51</v>
      </c>
      <c r="Z228" t="s">
        <v>43</v>
      </c>
      <c r="AB228" t="s">
        <v>109</v>
      </c>
      <c r="AD228" t="s">
        <v>110</v>
      </c>
    </row>
    <row r="229" spans="1:33" x14ac:dyDescent="0.25">
      <c r="A229">
        <v>40072</v>
      </c>
      <c r="B229" t="s">
        <v>32</v>
      </c>
      <c r="C229">
        <v>1</v>
      </c>
      <c r="D229" t="s">
        <v>2169</v>
      </c>
      <c r="E229" t="s">
        <v>45</v>
      </c>
      <c r="F229" t="s">
        <v>90</v>
      </c>
      <c r="G229" t="s">
        <v>91</v>
      </c>
      <c r="H229" t="s">
        <v>35</v>
      </c>
      <c r="I229" t="s">
        <v>2162</v>
      </c>
      <c r="J229" t="s">
        <v>2170</v>
      </c>
      <c r="K229" t="s">
        <v>36</v>
      </c>
      <c r="L229" t="s">
        <v>33</v>
      </c>
      <c r="M229">
        <v>20612943495</v>
      </c>
      <c r="N229" t="s">
        <v>107</v>
      </c>
      <c r="P229" t="s">
        <v>77</v>
      </c>
      <c r="Q229">
        <v>4307213559174</v>
      </c>
      <c r="R229" t="s">
        <v>2171</v>
      </c>
      <c r="S229">
        <v>5487</v>
      </c>
      <c r="T229" t="s">
        <v>80</v>
      </c>
      <c r="U229">
        <f>+IF(Tabla1[[#This Row],[MONEDA]]="PEN",Tabla1[[#This Row],[MONTO]],Tabla1[[#This Row],[MONTO]]*3.56)</f>
        <v>19533.72</v>
      </c>
      <c r="X229" t="s">
        <v>41</v>
      </c>
      <c r="Y229" t="s">
        <v>51</v>
      </c>
      <c r="Z229" t="s">
        <v>43</v>
      </c>
      <c r="AB229" t="s">
        <v>2172</v>
      </c>
      <c r="AD229" t="s">
        <v>2173</v>
      </c>
    </row>
    <row r="230" spans="1:33" x14ac:dyDescent="0.25">
      <c r="A230">
        <v>39111</v>
      </c>
      <c r="B230" t="s">
        <v>32</v>
      </c>
      <c r="C230">
        <v>1</v>
      </c>
      <c r="D230" t="s">
        <v>2551</v>
      </c>
      <c r="E230" t="s">
        <v>45</v>
      </c>
      <c r="F230" t="s">
        <v>90</v>
      </c>
      <c r="G230" t="s">
        <v>91</v>
      </c>
      <c r="H230" t="s">
        <v>35</v>
      </c>
      <c r="I230" t="s">
        <v>2552</v>
      </c>
      <c r="J230" t="s">
        <v>2553</v>
      </c>
      <c r="K230" t="s">
        <v>36</v>
      </c>
      <c r="L230" t="s">
        <v>33</v>
      </c>
      <c r="M230">
        <v>20612943495</v>
      </c>
      <c r="N230" t="s">
        <v>107</v>
      </c>
      <c r="P230" t="s">
        <v>77</v>
      </c>
      <c r="Q230">
        <v>4307213559174</v>
      </c>
      <c r="R230" t="s">
        <v>2554</v>
      </c>
      <c r="S230">
        <v>5487</v>
      </c>
      <c r="T230" t="s">
        <v>80</v>
      </c>
      <c r="U230">
        <f>+IF(Tabla1[[#This Row],[MONEDA]]="PEN",Tabla1[[#This Row],[MONTO]],Tabla1[[#This Row],[MONTO]]*3.56)</f>
        <v>19533.72</v>
      </c>
      <c r="X230" t="s">
        <v>41</v>
      </c>
      <c r="Y230" t="s">
        <v>51</v>
      </c>
      <c r="Z230" t="s">
        <v>43</v>
      </c>
      <c r="AB230" t="s">
        <v>2555</v>
      </c>
    </row>
    <row r="231" spans="1:33" hidden="1" x14ac:dyDescent="0.25">
      <c r="A231">
        <v>42448</v>
      </c>
      <c r="B231" t="s">
        <v>32</v>
      </c>
      <c r="C231">
        <v>1</v>
      </c>
      <c r="D231" t="s">
        <v>1089</v>
      </c>
      <c r="E231" t="s">
        <v>70</v>
      </c>
      <c r="F231" t="s">
        <v>33</v>
      </c>
      <c r="G231" t="s">
        <v>71</v>
      </c>
      <c r="H231" t="s">
        <v>72</v>
      </c>
      <c r="I231" t="s">
        <v>1073</v>
      </c>
      <c r="J231" t="s">
        <v>1090</v>
      </c>
      <c r="K231" t="s">
        <v>36</v>
      </c>
      <c r="L231" t="s">
        <v>33</v>
      </c>
      <c r="M231">
        <v>20453830323</v>
      </c>
      <c r="N231" t="s">
        <v>286</v>
      </c>
      <c r="O231" t="s">
        <v>76</v>
      </c>
      <c r="P231" t="s">
        <v>38</v>
      </c>
      <c r="Q231" t="s">
        <v>1091</v>
      </c>
      <c r="R231" t="s">
        <v>1092</v>
      </c>
      <c r="S231">
        <v>550</v>
      </c>
      <c r="T231" t="s">
        <v>40</v>
      </c>
      <c r="U231">
        <f>+IF(Tabla1[[#This Row],[MONEDA]]="PEN",Tabla1[[#This Row],[MONTO]],Tabla1[[#This Row],[MONTO]]*3.56)</f>
        <v>550</v>
      </c>
      <c r="X231" t="s">
        <v>41</v>
      </c>
      <c r="Y231" t="s">
        <v>42</v>
      </c>
      <c r="Z231" t="s">
        <v>82</v>
      </c>
      <c r="AA231" t="s">
        <v>1093</v>
      </c>
      <c r="AB231" t="s">
        <v>1094</v>
      </c>
      <c r="AC231" t="s">
        <v>1095</v>
      </c>
      <c r="AD231" t="s">
        <v>1096</v>
      </c>
      <c r="AE231">
        <v>550</v>
      </c>
      <c r="AF231" t="s">
        <v>87</v>
      </c>
      <c r="AG231" t="s">
        <v>169</v>
      </c>
    </row>
    <row r="232" spans="1:33" hidden="1" x14ac:dyDescent="0.25">
      <c r="A232">
        <v>42254</v>
      </c>
      <c r="B232" t="s">
        <v>32</v>
      </c>
      <c r="C232">
        <v>1</v>
      </c>
      <c r="D232" t="s">
        <v>1170</v>
      </c>
      <c r="E232" t="s">
        <v>70</v>
      </c>
      <c r="F232" t="s">
        <v>33</v>
      </c>
      <c r="G232" t="s">
        <v>71</v>
      </c>
      <c r="H232" t="s">
        <v>35</v>
      </c>
      <c r="I232" t="s">
        <v>1120</v>
      </c>
      <c r="J232" t="s">
        <v>1171</v>
      </c>
      <c r="K232" t="s">
        <v>36</v>
      </c>
      <c r="L232" t="s">
        <v>33</v>
      </c>
      <c r="M232">
        <v>20453830323</v>
      </c>
      <c r="N232" t="s">
        <v>286</v>
      </c>
      <c r="O232" t="s">
        <v>76</v>
      </c>
      <c r="P232" t="s">
        <v>38</v>
      </c>
      <c r="Q232">
        <v>21596760472045</v>
      </c>
      <c r="R232" t="s">
        <v>1172</v>
      </c>
      <c r="S232">
        <v>2000</v>
      </c>
      <c r="T232" t="s">
        <v>40</v>
      </c>
      <c r="U232">
        <f>+IF(Tabla1[[#This Row],[MONEDA]]="PEN",Tabla1[[#This Row],[MONTO]],Tabla1[[#This Row],[MONTO]]*3.56)</f>
        <v>2000</v>
      </c>
      <c r="V232" t="s">
        <v>639</v>
      </c>
      <c r="X232" t="s">
        <v>81</v>
      </c>
      <c r="Y232" t="s">
        <v>51</v>
      </c>
      <c r="Z232" t="s">
        <v>43</v>
      </c>
      <c r="AA232" t="s">
        <v>1173</v>
      </c>
      <c r="AC232" t="s">
        <v>1174</v>
      </c>
      <c r="AE232">
        <v>2000</v>
      </c>
      <c r="AF232" t="s">
        <v>87</v>
      </c>
      <c r="AG232" t="s">
        <v>169</v>
      </c>
    </row>
    <row r="233" spans="1:33" hidden="1" x14ac:dyDescent="0.25">
      <c r="A233">
        <v>41217</v>
      </c>
      <c r="B233" t="s">
        <v>32</v>
      </c>
      <c r="C233">
        <v>1</v>
      </c>
      <c r="D233" t="s">
        <v>1387</v>
      </c>
      <c r="E233" t="s">
        <v>70</v>
      </c>
      <c r="F233" t="s">
        <v>33</v>
      </c>
      <c r="G233" t="s">
        <v>71</v>
      </c>
      <c r="H233" t="s">
        <v>35</v>
      </c>
      <c r="I233" t="s">
        <v>1380</v>
      </c>
      <c r="J233" t="s">
        <v>1388</v>
      </c>
      <c r="K233" t="s">
        <v>36</v>
      </c>
      <c r="L233" t="s">
        <v>33</v>
      </c>
      <c r="M233">
        <v>20453830323</v>
      </c>
      <c r="N233" t="s">
        <v>286</v>
      </c>
      <c r="O233" t="s">
        <v>76</v>
      </c>
      <c r="P233" t="s">
        <v>38</v>
      </c>
      <c r="Q233">
        <v>21596760472045</v>
      </c>
      <c r="R233" t="s">
        <v>1389</v>
      </c>
      <c r="S233">
        <v>2000</v>
      </c>
      <c r="T233" t="s">
        <v>40</v>
      </c>
      <c r="U233">
        <f>+IF(Tabla1[[#This Row],[MONEDA]]="PEN",Tabla1[[#This Row],[MONTO]],Tabla1[[#This Row],[MONTO]]*3.56)</f>
        <v>2000</v>
      </c>
      <c r="V233" t="s">
        <v>639</v>
      </c>
      <c r="X233" t="s">
        <v>81</v>
      </c>
      <c r="Y233" t="s">
        <v>42</v>
      </c>
      <c r="Z233" t="s">
        <v>82</v>
      </c>
      <c r="AA233" t="s">
        <v>1390</v>
      </c>
      <c r="AC233" t="s">
        <v>1391</v>
      </c>
      <c r="AE233">
        <v>2000</v>
      </c>
      <c r="AF233" t="s">
        <v>87</v>
      </c>
      <c r="AG233" t="s">
        <v>169</v>
      </c>
    </row>
    <row r="234" spans="1:33" hidden="1" x14ac:dyDescent="0.25">
      <c r="A234">
        <v>41036</v>
      </c>
      <c r="B234" t="s">
        <v>32</v>
      </c>
      <c r="C234">
        <v>1</v>
      </c>
      <c r="D234" t="s">
        <v>1662</v>
      </c>
      <c r="E234" t="s">
        <v>70</v>
      </c>
      <c r="F234" t="s">
        <v>33</v>
      </c>
      <c r="G234" t="s">
        <v>71</v>
      </c>
      <c r="H234" t="s">
        <v>35</v>
      </c>
      <c r="I234" t="s">
        <v>1663</v>
      </c>
      <c r="J234" t="s">
        <v>1664</v>
      </c>
      <c r="K234" t="s">
        <v>36</v>
      </c>
      <c r="L234" t="s">
        <v>33</v>
      </c>
      <c r="M234">
        <v>20453830323</v>
      </c>
      <c r="N234" t="s">
        <v>286</v>
      </c>
      <c r="O234" t="s">
        <v>76</v>
      </c>
      <c r="P234" t="s">
        <v>38</v>
      </c>
      <c r="Q234">
        <v>21596760472045</v>
      </c>
      <c r="R234" t="s">
        <v>1665</v>
      </c>
      <c r="S234">
        <v>705</v>
      </c>
      <c r="T234" t="s">
        <v>40</v>
      </c>
      <c r="U234">
        <f>+IF(Tabla1[[#This Row],[MONEDA]]="PEN",Tabla1[[#This Row],[MONTO]],Tabla1[[#This Row],[MONTO]]*3.56)</f>
        <v>705</v>
      </c>
      <c r="X234" t="s">
        <v>81</v>
      </c>
      <c r="Y234" t="s">
        <v>42</v>
      </c>
      <c r="Z234" t="s">
        <v>82</v>
      </c>
      <c r="AA234" t="s">
        <v>1666</v>
      </c>
      <c r="AB234" t="s">
        <v>1667</v>
      </c>
      <c r="AC234" t="s">
        <v>1668</v>
      </c>
      <c r="AD234" t="s">
        <v>1669</v>
      </c>
      <c r="AE234">
        <v>705</v>
      </c>
      <c r="AF234" t="s">
        <v>87</v>
      </c>
      <c r="AG234" t="s">
        <v>169</v>
      </c>
    </row>
    <row r="235" spans="1:33" hidden="1" x14ac:dyDescent="0.25">
      <c r="A235">
        <v>40997</v>
      </c>
      <c r="B235" t="s">
        <v>32</v>
      </c>
      <c r="C235">
        <v>1</v>
      </c>
      <c r="D235" t="s">
        <v>1686</v>
      </c>
      <c r="E235" t="s">
        <v>70</v>
      </c>
      <c r="F235" t="s">
        <v>33</v>
      </c>
      <c r="G235" t="s">
        <v>71</v>
      </c>
      <c r="H235" t="s">
        <v>72</v>
      </c>
      <c r="I235" t="s">
        <v>1687</v>
      </c>
      <c r="J235" t="s">
        <v>1688</v>
      </c>
      <c r="K235" t="s">
        <v>36</v>
      </c>
      <c r="L235" t="s">
        <v>33</v>
      </c>
      <c r="M235">
        <v>20453830323</v>
      </c>
      <c r="N235" t="s">
        <v>286</v>
      </c>
      <c r="O235" t="s">
        <v>76</v>
      </c>
      <c r="P235" t="s">
        <v>38</v>
      </c>
      <c r="Q235" t="s">
        <v>1091</v>
      </c>
      <c r="R235" t="s">
        <v>1689</v>
      </c>
      <c r="S235">
        <v>550</v>
      </c>
      <c r="T235" t="s">
        <v>40</v>
      </c>
      <c r="U235">
        <f>+IF(Tabla1[[#This Row],[MONEDA]]="PEN",Tabla1[[#This Row],[MONTO]],Tabla1[[#This Row],[MONTO]]*3.56)</f>
        <v>550</v>
      </c>
      <c r="X235" t="s">
        <v>81</v>
      </c>
      <c r="Y235" t="s">
        <v>42</v>
      </c>
      <c r="Z235" t="s">
        <v>43</v>
      </c>
      <c r="AA235" t="s">
        <v>1690</v>
      </c>
      <c r="AB235" t="s">
        <v>1691</v>
      </c>
      <c r="AC235" t="s">
        <v>1692</v>
      </c>
      <c r="AD235" t="s">
        <v>1693</v>
      </c>
      <c r="AE235">
        <v>550</v>
      </c>
      <c r="AF235" t="s">
        <v>87</v>
      </c>
      <c r="AG235" t="s">
        <v>169</v>
      </c>
    </row>
    <row r="236" spans="1:33" hidden="1" x14ac:dyDescent="0.25">
      <c r="A236">
        <v>40998</v>
      </c>
      <c r="B236" t="s">
        <v>32</v>
      </c>
      <c r="C236">
        <v>1</v>
      </c>
      <c r="D236" t="s">
        <v>1694</v>
      </c>
      <c r="E236" t="s">
        <v>70</v>
      </c>
      <c r="F236" t="s">
        <v>33</v>
      </c>
      <c r="G236" t="s">
        <v>71</v>
      </c>
      <c r="H236" t="s">
        <v>72</v>
      </c>
      <c r="I236" t="s">
        <v>1687</v>
      </c>
      <c r="J236" t="s">
        <v>1695</v>
      </c>
      <c r="K236" t="s">
        <v>36</v>
      </c>
      <c r="L236" t="s">
        <v>33</v>
      </c>
      <c r="M236">
        <v>20453830323</v>
      </c>
      <c r="N236" t="s">
        <v>286</v>
      </c>
      <c r="O236" t="s">
        <v>76</v>
      </c>
      <c r="P236" t="s">
        <v>38</v>
      </c>
      <c r="Q236" t="s">
        <v>1091</v>
      </c>
      <c r="R236" t="s">
        <v>1696</v>
      </c>
      <c r="S236">
        <v>550</v>
      </c>
      <c r="T236" t="s">
        <v>40</v>
      </c>
      <c r="U236">
        <f>+IF(Tabla1[[#This Row],[MONEDA]]="PEN",Tabla1[[#This Row],[MONTO]],Tabla1[[#This Row],[MONTO]]*3.56)</f>
        <v>550</v>
      </c>
      <c r="X236" t="s">
        <v>41</v>
      </c>
      <c r="Y236" t="s">
        <v>42</v>
      </c>
      <c r="Z236" t="s">
        <v>511</v>
      </c>
      <c r="AA236" t="s">
        <v>1697</v>
      </c>
      <c r="AB236" t="s">
        <v>1698</v>
      </c>
      <c r="AC236" t="s">
        <v>1699</v>
      </c>
      <c r="AD236" t="s">
        <v>1700</v>
      </c>
      <c r="AE236">
        <v>550</v>
      </c>
      <c r="AF236" t="s">
        <v>87</v>
      </c>
      <c r="AG236" t="s">
        <v>169</v>
      </c>
    </row>
    <row r="237" spans="1:33" x14ac:dyDescent="0.25">
      <c r="A237">
        <v>40946</v>
      </c>
      <c r="B237" t="s">
        <v>32</v>
      </c>
      <c r="C237">
        <v>1</v>
      </c>
      <c r="D237" t="s">
        <v>1745</v>
      </c>
      <c r="E237" t="s">
        <v>70</v>
      </c>
      <c r="F237" t="s">
        <v>90</v>
      </c>
      <c r="G237" t="s">
        <v>91</v>
      </c>
      <c r="H237" t="s">
        <v>35</v>
      </c>
      <c r="I237" t="s">
        <v>1738</v>
      </c>
      <c r="J237" t="s">
        <v>1746</v>
      </c>
      <c r="K237" t="s">
        <v>36</v>
      </c>
      <c r="L237" t="s">
        <v>33</v>
      </c>
      <c r="M237">
        <v>20453830323</v>
      </c>
      <c r="N237" t="s">
        <v>286</v>
      </c>
      <c r="O237" t="s">
        <v>1747</v>
      </c>
      <c r="P237" t="s">
        <v>77</v>
      </c>
      <c r="Q237">
        <v>43002256819128</v>
      </c>
      <c r="R237" t="s">
        <v>1748</v>
      </c>
      <c r="S237">
        <v>79.19</v>
      </c>
      <c r="T237" t="s">
        <v>80</v>
      </c>
      <c r="U237">
        <f>+IF(Tabla1[[#This Row],[MONEDA]]="PEN",Tabla1[[#This Row],[MONTO]],Tabla1[[#This Row],[MONTO]]*3.56)</f>
        <v>281.91640000000001</v>
      </c>
      <c r="X237" t="s">
        <v>41</v>
      </c>
      <c r="Y237" t="s">
        <v>42</v>
      </c>
      <c r="Z237" t="s">
        <v>82</v>
      </c>
      <c r="AA237" t="s">
        <v>1749</v>
      </c>
      <c r="AC237" t="s">
        <v>1750</v>
      </c>
      <c r="AD237" t="s">
        <v>1751</v>
      </c>
      <c r="AE237">
        <v>79.19</v>
      </c>
      <c r="AF237" t="s">
        <v>87</v>
      </c>
      <c r="AG237" t="s">
        <v>88</v>
      </c>
    </row>
    <row r="238" spans="1:33" hidden="1" x14ac:dyDescent="0.25">
      <c r="A238">
        <v>40535</v>
      </c>
      <c r="B238" t="s">
        <v>32</v>
      </c>
      <c r="C238">
        <v>1</v>
      </c>
      <c r="D238" t="s">
        <v>2050</v>
      </c>
      <c r="E238" t="s">
        <v>70</v>
      </c>
      <c r="F238" t="s">
        <v>33</v>
      </c>
      <c r="G238" t="s">
        <v>71</v>
      </c>
      <c r="H238" t="s">
        <v>35</v>
      </c>
      <c r="I238" t="s">
        <v>2024</v>
      </c>
      <c r="J238" t="s">
        <v>2051</v>
      </c>
      <c r="K238" t="s">
        <v>36</v>
      </c>
      <c r="L238" t="s">
        <v>33</v>
      </c>
      <c r="M238">
        <v>20453830323</v>
      </c>
      <c r="N238" t="s">
        <v>286</v>
      </c>
      <c r="O238" t="s">
        <v>76</v>
      </c>
      <c r="P238" t="s">
        <v>38</v>
      </c>
      <c r="Q238">
        <v>21596760472045</v>
      </c>
      <c r="R238" t="s">
        <v>2052</v>
      </c>
      <c r="S238">
        <v>343</v>
      </c>
      <c r="T238" t="s">
        <v>40</v>
      </c>
      <c r="U238">
        <f>+IF(Tabla1[[#This Row],[MONEDA]]="PEN",Tabla1[[#This Row],[MONTO]],Tabla1[[#This Row],[MONTO]]*3.56)</f>
        <v>343</v>
      </c>
      <c r="X238" t="s">
        <v>81</v>
      </c>
      <c r="Y238" t="s">
        <v>42</v>
      </c>
      <c r="Z238" t="s">
        <v>82</v>
      </c>
      <c r="AA238" t="s">
        <v>2053</v>
      </c>
      <c r="AB238" t="s">
        <v>2054</v>
      </c>
      <c r="AC238" t="s">
        <v>2055</v>
      </c>
      <c r="AD238" t="s">
        <v>2056</v>
      </c>
      <c r="AE238">
        <v>343</v>
      </c>
      <c r="AF238" t="s">
        <v>87</v>
      </c>
      <c r="AG238" t="s">
        <v>169</v>
      </c>
    </row>
    <row r="239" spans="1:33" x14ac:dyDescent="0.25">
      <c r="A239">
        <v>40613</v>
      </c>
      <c r="B239" t="s">
        <v>32</v>
      </c>
      <c r="C239">
        <v>1</v>
      </c>
      <c r="D239" t="s">
        <v>2070</v>
      </c>
      <c r="E239" t="s">
        <v>70</v>
      </c>
      <c r="F239" t="s">
        <v>90</v>
      </c>
      <c r="G239" t="s">
        <v>91</v>
      </c>
      <c r="H239" t="s">
        <v>35</v>
      </c>
      <c r="I239" t="s">
        <v>2024</v>
      </c>
      <c r="J239" t="s">
        <v>2071</v>
      </c>
      <c r="K239" t="s">
        <v>36</v>
      </c>
      <c r="L239" t="s">
        <v>33</v>
      </c>
      <c r="M239">
        <v>20453830323</v>
      </c>
      <c r="N239" t="s">
        <v>286</v>
      </c>
      <c r="O239" t="s">
        <v>2072</v>
      </c>
      <c r="P239" t="s">
        <v>38</v>
      </c>
      <c r="Q239">
        <v>21510536125046</v>
      </c>
      <c r="R239" t="s">
        <v>2073</v>
      </c>
      <c r="S239">
        <v>1000</v>
      </c>
      <c r="T239" t="s">
        <v>40</v>
      </c>
      <c r="U239">
        <f>+IF(Tabla1[[#This Row],[MONEDA]]="PEN",Tabla1[[#This Row],[MONTO]],Tabla1[[#This Row],[MONTO]]*3.56)</f>
        <v>1000</v>
      </c>
      <c r="X239" t="s">
        <v>41</v>
      </c>
      <c r="Y239" t="s">
        <v>51</v>
      </c>
      <c r="Z239" t="s">
        <v>43</v>
      </c>
      <c r="AA239" t="s">
        <v>2074</v>
      </c>
      <c r="AC239" t="s">
        <v>2075</v>
      </c>
      <c r="AD239" t="s">
        <v>2076</v>
      </c>
      <c r="AE239">
        <v>1000</v>
      </c>
      <c r="AF239" t="s">
        <v>87</v>
      </c>
      <c r="AG239" t="s">
        <v>169</v>
      </c>
    </row>
    <row r="240" spans="1:33" hidden="1" x14ac:dyDescent="0.25">
      <c r="A240">
        <v>39699</v>
      </c>
      <c r="B240" t="s">
        <v>32</v>
      </c>
      <c r="C240">
        <v>1</v>
      </c>
      <c r="D240" t="s">
        <v>2244</v>
      </c>
      <c r="E240" t="s">
        <v>70</v>
      </c>
      <c r="F240" t="s">
        <v>33</v>
      </c>
      <c r="G240" t="s">
        <v>71</v>
      </c>
      <c r="H240" t="s">
        <v>35</v>
      </c>
      <c r="I240" t="s">
        <v>2245</v>
      </c>
      <c r="J240" t="s">
        <v>2246</v>
      </c>
      <c r="K240" t="s">
        <v>36</v>
      </c>
      <c r="L240" t="s">
        <v>33</v>
      </c>
      <c r="M240">
        <v>20453830323</v>
      </c>
      <c r="N240" t="s">
        <v>286</v>
      </c>
      <c r="O240" t="s">
        <v>76</v>
      </c>
      <c r="P240" t="s">
        <v>38</v>
      </c>
      <c r="Q240">
        <v>21596760472045</v>
      </c>
      <c r="R240" t="s">
        <v>2247</v>
      </c>
      <c r="S240">
        <v>2000</v>
      </c>
      <c r="T240" t="s">
        <v>40</v>
      </c>
      <c r="U240">
        <f>+IF(Tabla1[[#This Row],[MONEDA]]="PEN",Tabla1[[#This Row],[MONTO]],Tabla1[[#This Row],[MONTO]]*3.56)</f>
        <v>2000</v>
      </c>
      <c r="V240" t="s">
        <v>639</v>
      </c>
      <c r="X240" t="s">
        <v>81</v>
      </c>
      <c r="Y240" t="s">
        <v>42</v>
      </c>
      <c r="Z240" t="s">
        <v>43</v>
      </c>
      <c r="AA240" t="s">
        <v>2248</v>
      </c>
      <c r="AC240" t="s">
        <v>2249</v>
      </c>
      <c r="AE240">
        <v>2000</v>
      </c>
      <c r="AG240" t="s">
        <v>169</v>
      </c>
    </row>
    <row r="241" spans="1:33" x14ac:dyDescent="0.25">
      <c r="A241">
        <v>39205</v>
      </c>
      <c r="B241" t="s">
        <v>32</v>
      </c>
      <c r="C241">
        <v>6</v>
      </c>
      <c r="D241" t="s">
        <v>2491</v>
      </c>
      <c r="E241" t="s">
        <v>70</v>
      </c>
      <c r="F241" t="s">
        <v>130</v>
      </c>
      <c r="G241" t="s">
        <v>131</v>
      </c>
      <c r="H241" t="s">
        <v>132</v>
      </c>
      <c r="I241" t="s">
        <v>2492</v>
      </c>
      <c r="J241" t="s">
        <v>2493</v>
      </c>
      <c r="K241" t="s">
        <v>36</v>
      </c>
      <c r="L241" t="s">
        <v>33</v>
      </c>
      <c r="M241">
        <v>20453830323</v>
      </c>
      <c r="N241" t="s">
        <v>286</v>
      </c>
      <c r="P241" t="s">
        <v>136</v>
      </c>
      <c r="Q241" t="s">
        <v>2494</v>
      </c>
      <c r="R241" t="s">
        <v>2495</v>
      </c>
      <c r="S241">
        <v>98841.13</v>
      </c>
      <c r="T241" t="s">
        <v>40</v>
      </c>
      <c r="U241">
        <f>+IF(Tabla1[[#This Row],[MONEDA]]="PEN",Tabla1[[#This Row],[MONTO]],Tabla1[[#This Row],[MONTO]]*3.56)</f>
        <v>98841.13</v>
      </c>
      <c r="X241" t="s">
        <v>139</v>
      </c>
      <c r="Y241" t="s">
        <v>42</v>
      </c>
      <c r="Z241" t="s">
        <v>82</v>
      </c>
      <c r="AA241" t="s">
        <v>2496</v>
      </c>
      <c r="AB241" t="s">
        <v>2497</v>
      </c>
      <c r="AC241" t="s">
        <v>2498</v>
      </c>
      <c r="AE241">
        <v>98841.13</v>
      </c>
      <c r="AF241" t="s">
        <v>87</v>
      </c>
      <c r="AG241" t="s">
        <v>169</v>
      </c>
    </row>
    <row r="242" spans="1:33" x14ac:dyDescent="0.25">
      <c r="A242">
        <v>39069</v>
      </c>
      <c r="B242" t="s">
        <v>32</v>
      </c>
      <c r="C242">
        <v>1</v>
      </c>
      <c r="D242" t="s">
        <v>2566</v>
      </c>
      <c r="E242" t="s">
        <v>70</v>
      </c>
      <c r="F242" t="s">
        <v>90</v>
      </c>
      <c r="G242" t="s">
        <v>91</v>
      </c>
      <c r="H242" t="s">
        <v>35</v>
      </c>
      <c r="I242" t="s">
        <v>2567</v>
      </c>
      <c r="J242" t="s">
        <v>2568</v>
      </c>
      <c r="K242" t="s">
        <v>36</v>
      </c>
      <c r="L242" t="s">
        <v>33</v>
      </c>
      <c r="M242">
        <v>20453830323</v>
      </c>
      <c r="N242" t="s">
        <v>286</v>
      </c>
      <c r="O242" t="s">
        <v>2072</v>
      </c>
      <c r="P242" t="s">
        <v>38</v>
      </c>
      <c r="Q242">
        <v>21510536125046</v>
      </c>
      <c r="R242" t="s">
        <v>2569</v>
      </c>
      <c r="S242">
        <v>1000</v>
      </c>
      <c r="T242" t="s">
        <v>40</v>
      </c>
      <c r="U242">
        <f>+IF(Tabla1[[#This Row],[MONEDA]]="PEN",Tabla1[[#This Row],[MONTO]],Tabla1[[#This Row],[MONTO]]*3.56)</f>
        <v>1000</v>
      </c>
      <c r="X242" t="s">
        <v>41</v>
      </c>
      <c r="Y242" t="s">
        <v>51</v>
      </c>
      <c r="Z242" t="s">
        <v>43</v>
      </c>
      <c r="AA242" t="s">
        <v>2570</v>
      </c>
      <c r="AB242" t="s">
        <v>2571</v>
      </c>
      <c r="AC242" t="s">
        <v>2572</v>
      </c>
      <c r="AD242" t="s">
        <v>2573</v>
      </c>
      <c r="AE242">
        <v>1000</v>
      </c>
      <c r="AF242" t="s">
        <v>87</v>
      </c>
      <c r="AG242" t="s">
        <v>169</v>
      </c>
    </row>
    <row r="243" spans="1:33" hidden="1" x14ac:dyDescent="0.25">
      <c r="A243">
        <v>38906</v>
      </c>
      <c r="B243" t="s">
        <v>32</v>
      </c>
      <c r="C243">
        <v>1</v>
      </c>
      <c r="D243" t="s">
        <v>2714</v>
      </c>
      <c r="E243" t="s">
        <v>70</v>
      </c>
      <c r="F243" t="s">
        <v>33</v>
      </c>
      <c r="G243" t="s">
        <v>71</v>
      </c>
      <c r="H243" t="s">
        <v>35</v>
      </c>
      <c r="I243" t="s">
        <v>2689</v>
      </c>
      <c r="J243" t="s">
        <v>2715</v>
      </c>
      <c r="K243" t="s">
        <v>36</v>
      </c>
      <c r="L243" t="s">
        <v>33</v>
      </c>
      <c r="M243">
        <v>20453830323</v>
      </c>
      <c r="N243" t="s">
        <v>286</v>
      </c>
      <c r="O243" t="s">
        <v>76</v>
      </c>
      <c r="P243" t="s">
        <v>38</v>
      </c>
      <c r="Q243">
        <v>21596760472045</v>
      </c>
      <c r="R243" t="s">
        <v>2716</v>
      </c>
      <c r="S243">
        <v>2000</v>
      </c>
      <c r="T243" t="s">
        <v>40</v>
      </c>
      <c r="U243">
        <f>+IF(Tabla1[[#This Row],[MONEDA]]="PEN",Tabla1[[#This Row],[MONTO]],Tabla1[[#This Row],[MONTO]]*3.56)</f>
        <v>2000</v>
      </c>
      <c r="V243" t="s">
        <v>639</v>
      </c>
      <c r="X243" t="s">
        <v>81</v>
      </c>
      <c r="Y243" t="s">
        <v>42</v>
      </c>
      <c r="Z243" t="s">
        <v>43</v>
      </c>
      <c r="AA243" t="s">
        <v>2717</v>
      </c>
      <c r="AC243" t="s">
        <v>2718</v>
      </c>
      <c r="AE243">
        <v>2000</v>
      </c>
      <c r="AF243" t="s">
        <v>87</v>
      </c>
      <c r="AG243" t="s">
        <v>169</v>
      </c>
    </row>
    <row r="244" spans="1:33" hidden="1" x14ac:dyDescent="0.25">
      <c r="A244">
        <v>38360</v>
      </c>
      <c r="B244" t="s">
        <v>32</v>
      </c>
      <c r="C244">
        <v>1</v>
      </c>
      <c r="D244" t="s">
        <v>2847</v>
      </c>
      <c r="E244" t="s">
        <v>70</v>
      </c>
      <c r="F244" t="s">
        <v>33</v>
      </c>
      <c r="G244" t="s">
        <v>71</v>
      </c>
      <c r="H244" t="s">
        <v>35</v>
      </c>
      <c r="I244" t="s">
        <v>2848</v>
      </c>
      <c r="J244" t="s">
        <v>2849</v>
      </c>
      <c r="K244" t="s">
        <v>36</v>
      </c>
      <c r="L244" t="s">
        <v>33</v>
      </c>
      <c r="M244">
        <v>20453830323</v>
      </c>
      <c r="N244" t="s">
        <v>286</v>
      </c>
      <c r="O244" t="s">
        <v>76</v>
      </c>
      <c r="P244" t="s">
        <v>38</v>
      </c>
      <c r="Q244">
        <v>21596760472045</v>
      </c>
      <c r="R244" t="s">
        <v>2850</v>
      </c>
      <c r="S244">
        <v>230</v>
      </c>
      <c r="T244" t="s">
        <v>40</v>
      </c>
      <c r="U244">
        <f>+IF(Tabla1[[#This Row],[MONEDA]]="PEN",Tabla1[[#This Row],[MONTO]],Tabla1[[#This Row],[MONTO]]*3.56)</f>
        <v>230</v>
      </c>
      <c r="X244" t="s">
        <v>81</v>
      </c>
      <c r="Y244" t="s">
        <v>42</v>
      </c>
      <c r="Z244" t="s">
        <v>82</v>
      </c>
      <c r="AA244" t="s">
        <v>2851</v>
      </c>
      <c r="AB244" t="s">
        <v>2852</v>
      </c>
      <c r="AC244" t="s">
        <v>2853</v>
      </c>
      <c r="AD244" t="s">
        <v>2854</v>
      </c>
      <c r="AE244">
        <v>230</v>
      </c>
      <c r="AF244" t="s">
        <v>87</v>
      </c>
      <c r="AG244" t="s">
        <v>169</v>
      </c>
    </row>
    <row r="245" spans="1:33" hidden="1" x14ac:dyDescent="0.25">
      <c r="A245">
        <v>37963</v>
      </c>
      <c r="B245" t="s">
        <v>32</v>
      </c>
      <c r="C245">
        <v>2</v>
      </c>
      <c r="D245" t="s">
        <v>2983</v>
      </c>
      <c r="E245" t="s">
        <v>70</v>
      </c>
      <c r="F245" t="s">
        <v>33</v>
      </c>
      <c r="G245" t="s">
        <v>71</v>
      </c>
      <c r="H245" t="s">
        <v>35</v>
      </c>
      <c r="I245" t="s">
        <v>2984</v>
      </c>
      <c r="J245" t="s">
        <v>2985</v>
      </c>
      <c r="K245" t="s">
        <v>36</v>
      </c>
      <c r="L245" t="s">
        <v>33</v>
      </c>
      <c r="M245">
        <v>20453830323</v>
      </c>
      <c r="N245" t="s">
        <v>286</v>
      </c>
      <c r="O245" t="s">
        <v>76</v>
      </c>
      <c r="P245" t="s">
        <v>38</v>
      </c>
      <c r="Q245">
        <v>21596760472045</v>
      </c>
      <c r="R245" t="s">
        <v>2986</v>
      </c>
      <c r="S245">
        <v>400</v>
      </c>
      <c r="T245" t="s">
        <v>40</v>
      </c>
      <c r="U245">
        <f>+IF(Tabla1[[#This Row],[MONEDA]]="PEN",Tabla1[[#This Row],[MONTO]],Tabla1[[#This Row],[MONTO]]*3.56)</f>
        <v>400</v>
      </c>
      <c r="X245" t="s">
        <v>81</v>
      </c>
      <c r="Y245" t="s">
        <v>42</v>
      </c>
      <c r="Z245" t="s">
        <v>82</v>
      </c>
      <c r="AA245" t="s">
        <v>2987</v>
      </c>
      <c r="AB245" t="s">
        <v>2988</v>
      </c>
      <c r="AC245" t="s">
        <v>2989</v>
      </c>
      <c r="AD245" t="s">
        <v>2990</v>
      </c>
      <c r="AE245">
        <v>400</v>
      </c>
      <c r="AF245" t="s">
        <v>87</v>
      </c>
      <c r="AG245" t="s">
        <v>169</v>
      </c>
    </row>
    <row r="246" spans="1:33" x14ac:dyDescent="0.25">
      <c r="A246">
        <v>37581</v>
      </c>
      <c r="B246" t="s">
        <v>32</v>
      </c>
      <c r="C246">
        <v>6</v>
      </c>
      <c r="D246" t="s">
        <v>3303</v>
      </c>
      <c r="E246" t="s">
        <v>70</v>
      </c>
      <c r="F246" t="s">
        <v>130</v>
      </c>
      <c r="G246" t="s">
        <v>131</v>
      </c>
      <c r="H246" t="s">
        <v>132</v>
      </c>
      <c r="I246" t="s">
        <v>3304</v>
      </c>
      <c r="J246" t="s">
        <v>3305</v>
      </c>
      <c r="K246" t="s">
        <v>36</v>
      </c>
      <c r="L246" t="s">
        <v>33</v>
      </c>
      <c r="M246">
        <v>20453830323</v>
      </c>
      <c r="N246" t="s">
        <v>286</v>
      </c>
      <c r="P246" t="s">
        <v>136</v>
      </c>
      <c r="Q246" t="s">
        <v>2494</v>
      </c>
      <c r="R246" t="s">
        <v>3306</v>
      </c>
      <c r="S246">
        <v>89627.22</v>
      </c>
      <c r="T246" t="s">
        <v>40</v>
      </c>
      <c r="U246">
        <f>+IF(Tabla1[[#This Row],[MONEDA]]="PEN",Tabla1[[#This Row],[MONTO]],Tabla1[[#This Row],[MONTO]]*3.56)</f>
        <v>89627.22</v>
      </c>
      <c r="X246" t="s">
        <v>139</v>
      </c>
      <c r="Y246" t="s">
        <v>42</v>
      </c>
      <c r="Z246" t="s">
        <v>43</v>
      </c>
      <c r="AA246" t="s">
        <v>3307</v>
      </c>
      <c r="AB246" t="s">
        <v>3308</v>
      </c>
      <c r="AC246" t="s">
        <v>3309</v>
      </c>
      <c r="AE246">
        <v>89627.22</v>
      </c>
      <c r="AF246" t="s">
        <v>87</v>
      </c>
      <c r="AG246" t="s">
        <v>143</v>
      </c>
    </row>
    <row r="247" spans="1:33" x14ac:dyDescent="0.25">
      <c r="A247">
        <v>37289</v>
      </c>
      <c r="B247" t="s">
        <v>32</v>
      </c>
      <c r="C247">
        <v>1</v>
      </c>
      <c r="D247" t="s">
        <v>3359</v>
      </c>
      <c r="E247" t="s">
        <v>70</v>
      </c>
      <c r="F247" t="s">
        <v>90</v>
      </c>
      <c r="G247" t="s">
        <v>91</v>
      </c>
      <c r="H247" t="s">
        <v>35</v>
      </c>
      <c r="I247" t="s">
        <v>3352</v>
      </c>
      <c r="J247" t="s">
        <v>3360</v>
      </c>
      <c r="K247" t="s">
        <v>36</v>
      </c>
      <c r="L247" t="s">
        <v>33</v>
      </c>
      <c r="M247">
        <v>20453830323</v>
      </c>
      <c r="N247" t="s">
        <v>286</v>
      </c>
      <c r="O247" t="s">
        <v>3361</v>
      </c>
      <c r="P247" t="s">
        <v>38</v>
      </c>
      <c r="Q247">
        <v>21503216548034</v>
      </c>
      <c r="R247" t="s">
        <v>3362</v>
      </c>
      <c r="S247">
        <v>1400</v>
      </c>
      <c r="T247" t="s">
        <v>40</v>
      </c>
      <c r="U247">
        <f>+IF(Tabla1[[#This Row],[MONEDA]]="PEN",Tabla1[[#This Row],[MONTO]],Tabla1[[#This Row],[MONTO]]*3.56)</f>
        <v>1400</v>
      </c>
      <c r="X247" t="s">
        <v>41</v>
      </c>
      <c r="Y247" t="s">
        <v>42</v>
      </c>
      <c r="Z247" t="s">
        <v>82</v>
      </c>
      <c r="AA247" t="s">
        <v>3363</v>
      </c>
      <c r="AB247" t="s">
        <v>3364</v>
      </c>
      <c r="AC247" t="s">
        <v>3365</v>
      </c>
      <c r="AD247" t="s">
        <v>3366</v>
      </c>
      <c r="AE247">
        <v>1400</v>
      </c>
      <c r="AF247" t="s">
        <v>87</v>
      </c>
      <c r="AG247" t="s">
        <v>169</v>
      </c>
    </row>
    <row r="248" spans="1:33" x14ac:dyDescent="0.25">
      <c r="A248">
        <v>36279</v>
      </c>
      <c r="B248" t="s">
        <v>32</v>
      </c>
      <c r="C248">
        <v>6</v>
      </c>
      <c r="D248" t="s">
        <v>3909</v>
      </c>
      <c r="E248" t="s">
        <v>70</v>
      </c>
      <c r="F248" t="s">
        <v>130</v>
      </c>
      <c r="G248" t="s">
        <v>131</v>
      </c>
      <c r="H248" t="s">
        <v>132</v>
      </c>
      <c r="I248" t="s">
        <v>3910</v>
      </c>
      <c r="J248" t="s">
        <v>3911</v>
      </c>
      <c r="K248" t="s">
        <v>36</v>
      </c>
      <c r="L248" t="s">
        <v>33</v>
      </c>
      <c r="M248">
        <v>20453830323</v>
      </c>
      <c r="N248" t="s">
        <v>286</v>
      </c>
      <c r="P248" t="s">
        <v>136</v>
      </c>
      <c r="Q248" t="s">
        <v>2494</v>
      </c>
      <c r="R248" t="s">
        <v>3912</v>
      </c>
      <c r="S248">
        <v>101196.88</v>
      </c>
      <c r="T248" t="s">
        <v>40</v>
      </c>
      <c r="U248">
        <f>+IF(Tabla1[[#This Row],[MONEDA]]="PEN",Tabla1[[#This Row],[MONTO]],Tabla1[[#This Row],[MONTO]]*3.56)</f>
        <v>101196.88</v>
      </c>
      <c r="X248" t="s">
        <v>139</v>
      </c>
      <c r="Y248" t="s">
        <v>42</v>
      </c>
      <c r="Z248" t="s">
        <v>43</v>
      </c>
      <c r="AA248" t="s">
        <v>3913</v>
      </c>
      <c r="AB248" t="s">
        <v>3914</v>
      </c>
      <c r="AC248" t="s">
        <v>3915</v>
      </c>
      <c r="AE248">
        <v>101196.88</v>
      </c>
      <c r="AF248" t="s">
        <v>87</v>
      </c>
      <c r="AG248" t="s">
        <v>143</v>
      </c>
    </row>
    <row r="249" spans="1:33" x14ac:dyDescent="0.25">
      <c r="A249">
        <v>36291</v>
      </c>
      <c r="B249" t="s">
        <v>32</v>
      </c>
      <c r="C249">
        <v>6</v>
      </c>
      <c r="D249" t="s">
        <v>3916</v>
      </c>
      <c r="E249" t="s">
        <v>70</v>
      </c>
      <c r="F249" t="s">
        <v>130</v>
      </c>
      <c r="G249" t="s">
        <v>131</v>
      </c>
      <c r="H249" t="s">
        <v>132</v>
      </c>
      <c r="I249" t="s">
        <v>3910</v>
      </c>
      <c r="J249" t="s">
        <v>3917</v>
      </c>
      <c r="K249" t="s">
        <v>36</v>
      </c>
      <c r="L249" t="s">
        <v>33</v>
      </c>
      <c r="M249">
        <v>20453830323</v>
      </c>
      <c r="N249" t="s">
        <v>286</v>
      </c>
      <c r="P249" t="s">
        <v>136</v>
      </c>
      <c r="Q249" t="s">
        <v>2494</v>
      </c>
      <c r="R249" t="s">
        <v>3918</v>
      </c>
      <c r="S249">
        <v>107963.02</v>
      </c>
      <c r="T249" t="s">
        <v>40</v>
      </c>
      <c r="U249">
        <f>+IF(Tabla1[[#This Row],[MONEDA]]="PEN",Tabla1[[#This Row],[MONTO]],Tabla1[[#This Row],[MONTO]]*3.56)</f>
        <v>107963.02</v>
      </c>
      <c r="X249" t="s">
        <v>139</v>
      </c>
      <c r="Y249" t="s">
        <v>42</v>
      </c>
      <c r="Z249" t="s">
        <v>43</v>
      </c>
      <c r="AA249" t="s">
        <v>3919</v>
      </c>
      <c r="AB249" t="s">
        <v>3920</v>
      </c>
      <c r="AC249" t="s">
        <v>3921</v>
      </c>
      <c r="AE249">
        <v>107963.02</v>
      </c>
      <c r="AG249" t="s">
        <v>143</v>
      </c>
    </row>
    <row r="250" spans="1:33" x14ac:dyDescent="0.25">
      <c r="A250">
        <v>36295</v>
      </c>
      <c r="B250" t="s">
        <v>32</v>
      </c>
      <c r="C250">
        <v>6</v>
      </c>
      <c r="D250" t="s">
        <v>3922</v>
      </c>
      <c r="E250" t="s">
        <v>70</v>
      </c>
      <c r="F250" t="s">
        <v>130</v>
      </c>
      <c r="G250" t="s">
        <v>131</v>
      </c>
      <c r="H250" t="s">
        <v>132</v>
      </c>
      <c r="I250" t="s">
        <v>3910</v>
      </c>
      <c r="J250" t="s">
        <v>3923</v>
      </c>
      <c r="K250" t="s">
        <v>36</v>
      </c>
      <c r="L250" t="s">
        <v>33</v>
      </c>
      <c r="M250">
        <v>20453830323</v>
      </c>
      <c r="N250" t="s">
        <v>286</v>
      </c>
      <c r="P250" t="s">
        <v>136</v>
      </c>
      <c r="Q250" t="s">
        <v>2494</v>
      </c>
      <c r="R250" t="s">
        <v>3924</v>
      </c>
      <c r="S250">
        <v>94822.07</v>
      </c>
      <c r="T250" t="s">
        <v>40</v>
      </c>
      <c r="U250">
        <f>+IF(Tabla1[[#This Row],[MONEDA]]="PEN",Tabla1[[#This Row],[MONTO]],Tabla1[[#This Row],[MONTO]]*3.56)</f>
        <v>94822.07</v>
      </c>
      <c r="X250" t="s">
        <v>139</v>
      </c>
      <c r="Y250" t="s">
        <v>42</v>
      </c>
      <c r="Z250" t="s">
        <v>43</v>
      </c>
      <c r="AA250" t="s">
        <v>3925</v>
      </c>
      <c r="AB250" t="s">
        <v>3926</v>
      </c>
      <c r="AC250" t="s">
        <v>3927</v>
      </c>
      <c r="AE250">
        <v>94822.07</v>
      </c>
      <c r="AG250" t="s">
        <v>143</v>
      </c>
    </row>
    <row r="251" spans="1:33" hidden="1" x14ac:dyDescent="0.25">
      <c r="A251">
        <v>36370</v>
      </c>
      <c r="B251" t="s">
        <v>32</v>
      </c>
      <c r="C251">
        <v>2</v>
      </c>
      <c r="D251" t="s">
        <v>3934</v>
      </c>
      <c r="E251" t="s">
        <v>70</v>
      </c>
      <c r="F251" t="s">
        <v>33</v>
      </c>
      <c r="G251" t="s">
        <v>71</v>
      </c>
      <c r="H251" t="s">
        <v>35</v>
      </c>
      <c r="I251" t="s">
        <v>3935</v>
      </c>
      <c r="J251" t="s">
        <v>3936</v>
      </c>
      <c r="K251" t="s">
        <v>36</v>
      </c>
      <c r="L251" t="s">
        <v>33</v>
      </c>
      <c r="M251">
        <v>20453830323</v>
      </c>
      <c r="N251" t="s">
        <v>286</v>
      </c>
      <c r="O251" t="s">
        <v>76</v>
      </c>
      <c r="P251" t="s">
        <v>38</v>
      </c>
      <c r="Q251">
        <v>21596760472045</v>
      </c>
      <c r="R251" t="s">
        <v>3937</v>
      </c>
      <c r="S251">
        <v>2000</v>
      </c>
      <c r="T251" t="s">
        <v>40</v>
      </c>
      <c r="U251">
        <f>+IF(Tabla1[[#This Row],[MONEDA]]="PEN",Tabla1[[#This Row],[MONTO]],Tabla1[[#This Row],[MONTO]]*3.56)</f>
        <v>2000</v>
      </c>
      <c r="V251" t="s">
        <v>639</v>
      </c>
      <c r="X251" t="s">
        <v>81</v>
      </c>
      <c r="Y251" t="s">
        <v>42</v>
      </c>
      <c r="Z251" t="s">
        <v>82</v>
      </c>
      <c r="AA251" t="s">
        <v>3938</v>
      </c>
      <c r="AC251" t="s">
        <v>3939</v>
      </c>
      <c r="AE251">
        <v>2000</v>
      </c>
      <c r="AF251" t="s">
        <v>87</v>
      </c>
      <c r="AG251" t="s">
        <v>169</v>
      </c>
    </row>
    <row r="252" spans="1:33" hidden="1" x14ac:dyDescent="0.25">
      <c r="A252">
        <v>36055</v>
      </c>
      <c r="B252" t="s">
        <v>32</v>
      </c>
      <c r="C252">
        <v>1</v>
      </c>
      <c r="D252" t="s">
        <v>3988</v>
      </c>
      <c r="E252" t="s">
        <v>70</v>
      </c>
      <c r="F252" t="s">
        <v>33</v>
      </c>
      <c r="G252" t="s">
        <v>71</v>
      </c>
      <c r="H252" t="s">
        <v>72</v>
      </c>
      <c r="I252" t="s">
        <v>3973</v>
      </c>
      <c r="J252" t="s">
        <v>3989</v>
      </c>
      <c r="K252" t="s">
        <v>36</v>
      </c>
      <c r="L252" t="s">
        <v>33</v>
      </c>
      <c r="M252">
        <v>20453830323</v>
      </c>
      <c r="N252" t="s">
        <v>286</v>
      </c>
      <c r="O252" t="s">
        <v>76</v>
      </c>
      <c r="P252" t="s">
        <v>38</v>
      </c>
      <c r="Q252" t="s">
        <v>1091</v>
      </c>
      <c r="R252" t="s">
        <v>3990</v>
      </c>
      <c r="S252">
        <v>550</v>
      </c>
      <c r="T252" t="s">
        <v>40</v>
      </c>
      <c r="U252">
        <f>+IF(Tabla1[[#This Row],[MONEDA]]="PEN",Tabla1[[#This Row],[MONTO]],Tabla1[[#This Row],[MONTO]]*3.56)</f>
        <v>550</v>
      </c>
      <c r="X252" t="s">
        <v>41</v>
      </c>
      <c r="Y252" t="s">
        <v>42</v>
      </c>
      <c r="Z252" t="s">
        <v>82</v>
      </c>
      <c r="AA252" t="s">
        <v>3991</v>
      </c>
      <c r="AB252" t="s">
        <v>3992</v>
      </c>
      <c r="AC252" t="s">
        <v>3993</v>
      </c>
      <c r="AD252" t="s">
        <v>3994</v>
      </c>
      <c r="AE252">
        <v>550</v>
      </c>
      <c r="AF252" t="s">
        <v>87</v>
      </c>
      <c r="AG252" t="s">
        <v>169</v>
      </c>
    </row>
    <row r="253" spans="1:33" hidden="1" x14ac:dyDescent="0.25">
      <c r="A253">
        <v>35319</v>
      </c>
      <c r="B253" t="s">
        <v>32</v>
      </c>
      <c r="C253">
        <v>2</v>
      </c>
      <c r="D253" t="s">
        <v>4323</v>
      </c>
      <c r="E253" t="s">
        <v>70</v>
      </c>
      <c r="F253" t="s">
        <v>33</v>
      </c>
      <c r="G253" t="s">
        <v>71</v>
      </c>
      <c r="H253" t="s">
        <v>35</v>
      </c>
      <c r="I253" t="s">
        <v>4306</v>
      </c>
      <c r="J253" t="s">
        <v>4324</v>
      </c>
      <c r="K253" t="s">
        <v>36</v>
      </c>
      <c r="L253" t="s">
        <v>33</v>
      </c>
      <c r="M253">
        <v>20453830323</v>
      </c>
      <c r="N253" t="s">
        <v>286</v>
      </c>
      <c r="O253" t="s">
        <v>76</v>
      </c>
      <c r="P253" t="s">
        <v>38</v>
      </c>
      <c r="Q253">
        <v>21596760472045</v>
      </c>
      <c r="R253" t="s">
        <v>4325</v>
      </c>
      <c r="S253">
        <v>680</v>
      </c>
      <c r="T253" t="s">
        <v>40</v>
      </c>
      <c r="U253">
        <f>+IF(Tabla1[[#This Row],[MONEDA]]="PEN",Tabla1[[#This Row],[MONTO]],Tabla1[[#This Row],[MONTO]]*3.56)</f>
        <v>680</v>
      </c>
      <c r="X253" t="s">
        <v>41</v>
      </c>
      <c r="Y253" t="s">
        <v>42</v>
      </c>
      <c r="Z253" t="s">
        <v>43</v>
      </c>
      <c r="AA253" t="s">
        <v>4326</v>
      </c>
      <c r="AB253" t="s">
        <v>4327</v>
      </c>
      <c r="AC253" t="s">
        <v>4328</v>
      </c>
      <c r="AD253" t="s">
        <v>4329</v>
      </c>
      <c r="AE253">
        <v>680</v>
      </c>
      <c r="AF253" t="s">
        <v>87</v>
      </c>
      <c r="AG253" t="s">
        <v>169</v>
      </c>
    </row>
    <row r="254" spans="1:33" hidden="1" x14ac:dyDescent="0.25">
      <c r="A254">
        <v>34702</v>
      </c>
      <c r="B254" t="s">
        <v>32</v>
      </c>
      <c r="C254">
        <v>1</v>
      </c>
      <c r="D254" t="s">
        <v>4511</v>
      </c>
      <c r="E254" t="s">
        <v>70</v>
      </c>
      <c r="F254" t="s">
        <v>33</v>
      </c>
      <c r="G254" t="s">
        <v>71</v>
      </c>
      <c r="H254" t="s">
        <v>35</v>
      </c>
      <c r="I254" t="s">
        <v>4504</v>
      </c>
      <c r="J254" t="s">
        <v>4512</v>
      </c>
      <c r="K254" t="s">
        <v>36</v>
      </c>
      <c r="L254" t="s">
        <v>33</v>
      </c>
      <c r="M254">
        <v>20453830323</v>
      </c>
      <c r="N254" t="s">
        <v>286</v>
      </c>
      <c r="O254" t="s">
        <v>76</v>
      </c>
      <c r="P254" t="s">
        <v>38</v>
      </c>
      <c r="Q254">
        <v>21596760472045</v>
      </c>
      <c r="R254" t="s">
        <v>4513</v>
      </c>
      <c r="S254">
        <v>1056</v>
      </c>
      <c r="T254" t="s">
        <v>40</v>
      </c>
      <c r="U254">
        <f>+IF(Tabla1[[#This Row],[MONEDA]]="PEN",Tabla1[[#This Row],[MONTO]],Tabla1[[#This Row],[MONTO]]*3.56)</f>
        <v>1056</v>
      </c>
      <c r="X254" t="s">
        <v>81</v>
      </c>
      <c r="Y254" t="s">
        <v>42</v>
      </c>
      <c r="Z254" t="s">
        <v>82</v>
      </c>
      <c r="AA254" t="s">
        <v>4514</v>
      </c>
      <c r="AB254" t="s">
        <v>4515</v>
      </c>
      <c r="AC254" t="s">
        <v>4516</v>
      </c>
      <c r="AD254" t="s">
        <v>4517</v>
      </c>
      <c r="AE254">
        <v>1056</v>
      </c>
      <c r="AF254" t="s">
        <v>87</v>
      </c>
      <c r="AG254" t="s">
        <v>169</v>
      </c>
    </row>
    <row r="255" spans="1:33" hidden="1" x14ac:dyDescent="0.25">
      <c r="A255">
        <v>34656</v>
      </c>
      <c r="B255" t="s">
        <v>32</v>
      </c>
      <c r="C255">
        <v>1</v>
      </c>
      <c r="D255" t="s">
        <v>4586</v>
      </c>
      <c r="E255" t="s">
        <v>70</v>
      </c>
      <c r="F255" t="s">
        <v>33</v>
      </c>
      <c r="G255" t="s">
        <v>71</v>
      </c>
      <c r="H255" t="s">
        <v>35</v>
      </c>
      <c r="I255" t="s">
        <v>4579</v>
      </c>
      <c r="J255" t="s">
        <v>4587</v>
      </c>
      <c r="K255" t="s">
        <v>36</v>
      </c>
      <c r="L255" t="s">
        <v>33</v>
      </c>
      <c r="M255">
        <v>20453830323</v>
      </c>
      <c r="N255" t="s">
        <v>286</v>
      </c>
      <c r="O255" t="s">
        <v>76</v>
      </c>
      <c r="P255" t="s">
        <v>38</v>
      </c>
      <c r="Q255">
        <v>21596760472045</v>
      </c>
      <c r="R255" t="s">
        <v>4588</v>
      </c>
      <c r="S255">
        <v>2000</v>
      </c>
      <c r="T255" t="s">
        <v>40</v>
      </c>
      <c r="U255">
        <f>+IF(Tabla1[[#This Row],[MONEDA]]="PEN",Tabla1[[#This Row],[MONTO]],Tabla1[[#This Row],[MONTO]]*3.56)</f>
        <v>2000</v>
      </c>
      <c r="V255" t="s">
        <v>639</v>
      </c>
      <c r="X255" t="s">
        <v>81</v>
      </c>
      <c r="Y255" t="s">
        <v>42</v>
      </c>
      <c r="Z255" t="s">
        <v>43</v>
      </c>
      <c r="AA255" t="s">
        <v>4589</v>
      </c>
      <c r="AC255" t="s">
        <v>4590</v>
      </c>
      <c r="AE255">
        <v>2000</v>
      </c>
      <c r="AF255" t="s">
        <v>87</v>
      </c>
      <c r="AG255" t="s">
        <v>169</v>
      </c>
    </row>
    <row r="256" spans="1:33" x14ac:dyDescent="0.25">
      <c r="A256">
        <v>34661</v>
      </c>
      <c r="B256" t="s">
        <v>32</v>
      </c>
      <c r="C256">
        <v>1</v>
      </c>
      <c r="D256" t="s">
        <v>4591</v>
      </c>
      <c r="E256" t="s">
        <v>70</v>
      </c>
      <c r="F256" t="s">
        <v>90</v>
      </c>
      <c r="G256" t="s">
        <v>91</v>
      </c>
      <c r="H256" t="s">
        <v>35</v>
      </c>
      <c r="I256" t="s">
        <v>4579</v>
      </c>
      <c r="J256" t="s">
        <v>4592</v>
      </c>
      <c r="K256" t="s">
        <v>36</v>
      </c>
      <c r="L256" t="s">
        <v>33</v>
      </c>
      <c r="M256">
        <v>20453830323</v>
      </c>
      <c r="N256" t="s">
        <v>286</v>
      </c>
      <c r="O256" t="s">
        <v>3361</v>
      </c>
      <c r="P256" t="s">
        <v>38</v>
      </c>
      <c r="Q256">
        <v>21503216548034</v>
      </c>
      <c r="R256" t="s">
        <v>4593</v>
      </c>
      <c r="S256">
        <v>1400</v>
      </c>
      <c r="T256" t="s">
        <v>40</v>
      </c>
      <c r="U256">
        <f>+IF(Tabla1[[#This Row],[MONEDA]]="PEN",Tabla1[[#This Row],[MONTO]],Tabla1[[#This Row],[MONTO]]*3.56)</f>
        <v>1400</v>
      </c>
      <c r="X256" t="s">
        <v>41</v>
      </c>
      <c r="Y256" t="s">
        <v>42</v>
      </c>
      <c r="Z256" t="s">
        <v>82</v>
      </c>
      <c r="AA256" t="s">
        <v>4594</v>
      </c>
      <c r="AB256" t="s">
        <v>4595</v>
      </c>
      <c r="AC256" t="s">
        <v>4596</v>
      </c>
      <c r="AD256" t="s">
        <v>4597</v>
      </c>
      <c r="AE256">
        <v>1400</v>
      </c>
      <c r="AF256" t="s">
        <v>87</v>
      </c>
      <c r="AG256" t="s">
        <v>169</v>
      </c>
    </row>
    <row r="257" spans="1:33" x14ac:dyDescent="0.25">
      <c r="A257">
        <v>33940</v>
      </c>
      <c r="B257" t="s">
        <v>32</v>
      </c>
      <c r="C257">
        <v>1</v>
      </c>
      <c r="D257" t="s">
        <v>4749</v>
      </c>
      <c r="E257" t="s">
        <v>70</v>
      </c>
      <c r="F257" t="s">
        <v>90</v>
      </c>
      <c r="G257" t="s">
        <v>91</v>
      </c>
      <c r="H257" t="s">
        <v>35</v>
      </c>
      <c r="I257" t="s">
        <v>4735</v>
      </c>
      <c r="J257" t="s">
        <v>4750</v>
      </c>
      <c r="K257" t="s">
        <v>36</v>
      </c>
      <c r="L257" t="s">
        <v>33</v>
      </c>
      <c r="M257">
        <v>20453830323</v>
      </c>
      <c r="N257" t="s">
        <v>286</v>
      </c>
      <c r="O257" t="s">
        <v>4751</v>
      </c>
      <c r="P257" t="s">
        <v>77</v>
      </c>
      <c r="Q257">
        <v>24510958382197</v>
      </c>
      <c r="R257" t="s">
        <v>4752</v>
      </c>
      <c r="S257">
        <v>107.99</v>
      </c>
      <c r="T257" t="s">
        <v>80</v>
      </c>
      <c r="U257">
        <f>+IF(Tabla1[[#This Row],[MONEDA]]="PEN",Tabla1[[#This Row],[MONTO]],Tabla1[[#This Row],[MONTO]]*3.56)</f>
        <v>384.44439999999997</v>
      </c>
      <c r="X257" t="s">
        <v>41</v>
      </c>
      <c r="Y257" t="s">
        <v>42</v>
      </c>
      <c r="Z257" t="s">
        <v>82</v>
      </c>
      <c r="AA257" t="s">
        <v>4753</v>
      </c>
      <c r="AC257" t="s">
        <v>4754</v>
      </c>
      <c r="AD257" t="s">
        <v>4755</v>
      </c>
      <c r="AE257">
        <v>107.99</v>
      </c>
      <c r="AF257" t="s">
        <v>87</v>
      </c>
      <c r="AG257" t="s">
        <v>88</v>
      </c>
    </row>
    <row r="258" spans="1:33" x14ac:dyDescent="0.25">
      <c r="A258">
        <v>32976</v>
      </c>
      <c r="B258" t="s">
        <v>32</v>
      </c>
      <c r="C258">
        <v>1</v>
      </c>
      <c r="D258" t="s">
        <v>4849</v>
      </c>
      <c r="E258" t="s">
        <v>70</v>
      </c>
      <c r="F258" t="s">
        <v>90</v>
      </c>
      <c r="G258" t="s">
        <v>91</v>
      </c>
      <c r="H258" t="s">
        <v>72</v>
      </c>
      <c r="I258" t="s">
        <v>4850</v>
      </c>
      <c r="J258" t="s">
        <v>4851</v>
      </c>
      <c r="K258" t="s">
        <v>36</v>
      </c>
      <c r="L258" t="s">
        <v>33</v>
      </c>
      <c r="M258">
        <v>20453830323</v>
      </c>
      <c r="N258" t="s">
        <v>286</v>
      </c>
      <c r="O258" t="s">
        <v>1747</v>
      </c>
      <c r="P258" t="s">
        <v>38</v>
      </c>
      <c r="Q258">
        <v>54091403732025</v>
      </c>
      <c r="R258" t="s">
        <v>4852</v>
      </c>
      <c r="S258">
        <v>3000</v>
      </c>
      <c r="T258" t="s">
        <v>40</v>
      </c>
      <c r="U258">
        <f>+IF(Tabla1[[#This Row],[MONEDA]]="PEN",Tabla1[[#This Row],[MONTO]],Tabla1[[#This Row],[MONTO]]*3.56)</f>
        <v>3000</v>
      </c>
      <c r="V258" t="s">
        <v>639</v>
      </c>
      <c r="X258" t="s">
        <v>41</v>
      </c>
      <c r="Y258" t="s">
        <v>51</v>
      </c>
      <c r="Z258" t="s">
        <v>43</v>
      </c>
      <c r="AA258" t="s">
        <v>4853</v>
      </c>
      <c r="AB258" t="s">
        <v>4854</v>
      </c>
      <c r="AC258" t="s">
        <v>4855</v>
      </c>
      <c r="AE258">
        <v>3000</v>
      </c>
      <c r="AF258" t="s">
        <v>87</v>
      </c>
      <c r="AG258" t="s">
        <v>169</v>
      </c>
    </row>
    <row r="259" spans="1:33" hidden="1" x14ac:dyDescent="0.25">
      <c r="A259">
        <v>33331</v>
      </c>
      <c r="B259" t="s">
        <v>32</v>
      </c>
      <c r="C259">
        <v>1</v>
      </c>
      <c r="D259" t="s">
        <v>4951</v>
      </c>
      <c r="E259" t="s">
        <v>70</v>
      </c>
      <c r="F259" t="s">
        <v>33</v>
      </c>
      <c r="G259" t="s">
        <v>71</v>
      </c>
      <c r="H259" t="s">
        <v>35</v>
      </c>
      <c r="I259" t="s">
        <v>4952</v>
      </c>
      <c r="J259" t="s">
        <v>4953</v>
      </c>
      <c r="K259" t="s">
        <v>36</v>
      </c>
      <c r="L259" t="s">
        <v>33</v>
      </c>
      <c r="M259">
        <v>20453830323</v>
      </c>
      <c r="N259" t="s">
        <v>286</v>
      </c>
      <c r="O259" t="s">
        <v>76</v>
      </c>
      <c r="P259" t="s">
        <v>38</v>
      </c>
      <c r="Q259">
        <v>21596760472045</v>
      </c>
      <c r="R259" t="s">
        <v>4954</v>
      </c>
      <c r="S259">
        <v>2000</v>
      </c>
      <c r="T259" t="s">
        <v>40</v>
      </c>
      <c r="U259">
        <f>+IF(Tabla1[[#This Row],[MONEDA]]="PEN",Tabla1[[#This Row],[MONTO]],Tabla1[[#This Row],[MONTO]]*3.56)</f>
        <v>2000</v>
      </c>
      <c r="V259" t="s">
        <v>639</v>
      </c>
      <c r="X259" t="s">
        <v>81</v>
      </c>
      <c r="Y259" t="s">
        <v>42</v>
      </c>
      <c r="Z259" t="s">
        <v>43</v>
      </c>
      <c r="AA259" t="s">
        <v>4955</v>
      </c>
      <c r="AC259" t="s">
        <v>4956</v>
      </c>
      <c r="AE259">
        <v>2000</v>
      </c>
      <c r="AF259" t="s">
        <v>87</v>
      </c>
      <c r="AG259" t="s">
        <v>169</v>
      </c>
    </row>
    <row r="260" spans="1:33" x14ac:dyDescent="0.25">
      <c r="A260">
        <v>32857</v>
      </c>
      <c r="B260" t="s">
        <v>32</v>
      </c>
      <c r="C260">
        <v>6</v>
      </c>
      <c r="D260" t="s">
        <v>5162</v>
      </c>
      <c r="E260" t="s">
        <v>70</v>
      </c>
      <c r="F260" t="s">
        <v>130</v>
      </c>
      <c r="G260" t="s">
        <v>131</v>
      </c>
      <c r="H260" t="s">
        <v>132</v>
      </c>
      <c r="I260" t="s">
        <v>5163</v>
      </c>
      <c r="J260" t="s">
        <v>5164</v>
      </c>
      <c r="K260" t="s">
        <v>36</v>
      </c>
      <c r="L260" t="s">
        <v>33</v>
      </c>
      <c r="M260">
        <v>20453830323</v>
      </c>
      <c r="N260" t="s">
        <v>286</v>
      </c>
      <c r="P260" t="s">
        <v>136</v>
      </c>
      <c r="Q260" t="s">
        <v>2494</v>
      </c>
      <c r="R260" t="s">
        <v>5165</v>
      </c>
      <c r="S260">
        <v>80489.460000000006</v>
      </c>
      <c r="T260" t="s">
        <v>40</v>
      </c>
      <c r="U260">
        <f>+IF(Tabla1[[#This Row],[MONEDA]]="PEN",Tabla1[[#This Row],[MONTO]],Tabla1[[#This Row],[MONTO]]*3.56)</f>
        <v>80489.460000000006</v>
      </c>
      <c r="X260" t="s">
        <v>139</v>
      </c>
      <c r="Y260" t="s">
        <v>42</v>
      </c>
      <c r="Z260" t="s">
        <v>511</v>
      </c>
      <c r="AA260" t="s">
        <v>5166</v>
      </c>
      <c r="AB260" t="s">
        <v>5167</v>
      </c>
      <c r="AC260" t="s">
        <v>5168</v>
      </c>
      <c r="AE260">
        <v>80489.460000000006</v>
      </c>
      <c r="AF260" t="s">
        <v>87</v>
      </c>
      <c r="AG260" t="s">
        <v>143</v>
      </c>
    </row>
    <row r="261" spans="1:33" x14ac:dyDescent="0.25">
      <c r="A261">
        <v>32864</v>
      </c>
      <c r="B261" t="s">
        <v>32</v>
      </c>
      <c r="C261">
        <v>6</v>
      </c>
      <c r="D261" t="s">
        <v>5169</v>
      </c>
      <c r="E261" t="s">
        <v>70</v>
      </c>
      <c r="F261" t="s">
        <v>130</v>
      </c>
      <c r="G261" t="s">
        <v>131</v>
      </c>
      <c r="H261" t="s">
        <v>132</v>
      </c>
      <c r="I261" t="s">
        <v>5163</v>
      </c>
      <c r="J261" t="s">
        <v>5170</v>
      </c>
      <c r="K261" t="s">
        <v>36</v>
      </c>
      <c r="L261" t="s">
        <v>33</v>
      </c>
      <c r="M261">
        <v>20453830323</v>
      </c>
      <c r="N261" t="s">
        <v>286</v>
      </c>
      <c r="P261" t="s">
        <v>136</v>
      </c>
      <c r="Q261" t="s">
        <v>2494</v>
      </c>
      <c r="R261" t="s">
        <v>5171</v>
      </c>
      <c r="S261">
        <v>86812.32</v>
      </c>
      <c r="T261" t="s">
        <v>40</v>
      </c>
      <c r="U261">
        <f>+IF(Tabla1[[#This Row],[MONEDA]]="PEN",Tabla1[[#This Row],[MONTO]],Tabla1[[#This Row],[MONTO]]*3.56)</f>
        <v>86812.32</v>
      </c>
      <c r="X261" t="s">
        <v>139</v>
      </c>
      <c r="Y261" t="s">
        <v>42</v>
      </c>
      <c r="Z261" t="s">
        <v>511</v>
      </c>
      <c r="AA261" t="s">
        <v>5172</v>
      </c>
      <c r="AB261" t="s">
        <v>5173</v>
      </c>
      <c r="AC261" t="s">
        <v>5174</v>
      </c>
      <c r="AE261">
        <v>86812.32</v>
      </c>
      <c r="AF261" t="s">
        <v>87</v>
      </c>
      <c r="AG261" t="s">
        <v>143</v>
      </c>
    </row>
    <row r="262" spans="1:33" x14ac:dyDescent="0.25">
      <c r="A262">
        <v>32868</v>
      </c>
      <c r="B262" t="s">
        <v>32</v>
      </c>
      <c r="C262">
        <v>6</v>
      </c>
      <c r="D262" t="s">
        <v>5175</v>
      </c>
      <c r="E262" t="s">
        <v>70</v>
      </c>
      <c r="F262" t="s">
        <v>130</v>
      </c>
      <c r="G262" t="s">
        <v>131</v>
      </c>
      <c r="H262" t="s">
        <v>132</v>
      </c>
      <c r="I262" t="s">
        <v>5163</v>
      </c>
      <c r="J262" t="s">
        <v>5176</v>
      </c>
      <c r="K262" t="s">
        <v>36</v>
      </c>
      <c r="L262" t="s">
        <v>33</v>
      </c>
      <c r="M262">
        <v>20453830323</v>
      </c>
      <c r="N262" t="s">
        <v>286</v>
      </c>
      <c r="P262" t="s">
        <v>136</v>
      </c>
      <c r="Q262" t="s">
        <v>2494</v>
      </c>
      <c r="R262" t="s">
        <v>5177</v>
      </c>
      <c r="S262">
        <v>87001.9</v>
      </c>
      <c r="T262" t="s">
        <v>40</v>
      </c>
      <c r="U262">
        <f>+IF(Tabla1[[#This Row],[MONEDA]]="PEN",Tabla1[[#This Row],[MONTO]],Tabla1[[#This Row],[MONTO]]*3.56)</f>
        <v>87001.9</v>
      </c>
      <c r="X262" t="s">
        <v>139</v>
      </c>
      <c r="Y262" t="s">
        <v>42</v>
      </c>
      <c r="Z262" t="s">
        <v>511</v>
      </c>
      <c r="AA262" t="s">
        <v>5178</v>
      </c>
      <c r="AB262" t="s">
        <v>5179</v>
      </c>
      <c r="AC262" t="s">
        <v>5180</v>
      </c>
      <c r="AE262">
        <v>87001.9</v>
      </c>
      <c r="AF262" t="s">
        <v>87</v>
      </c>
      <c r="AG262" t="s">
        <v>143</v>
      </c>
    </row>
    <row r="263" spans="1:33" hidden="1" x14ac:dyDescent="0.25">
      <c r="A263">
        <v>32875</v>
      </c>
      <c r="B263" t="s">
        <v>32</v>
      </c>
      <c r="C263">
        <v>1</v>
      </c>
      <c r="D263" t="s">
        <v>5212</v>
      </c>
      <c r="E263" t="s">
        <v>70</v>
      </c>
      <c r="F263" t="s">
        <v>33</v>
      </c>
      <c r="G263" t="s">
        <v>71</v>
      </c>
      <c r="H263" t="s">
        <v>35</v>
      </c>
      <c r="I263" t="s">
        <v>5199</v>
      </c>
      <c r="J263" t="s">
        <v>5213</v>
      </c>
      <c r="K263" t="s">
        <v>36</v>
      </c>
      <c r="L263" t="s">
        <v>33</v>
      </c>
      <c r="M263">
        <v>20453830323</v>
      </c>
      <c r="N263" t="s">
        <v>286</v>
      </c>
      <c r="O263" t="s">
        <v>76</v>
      </c>
      <c r="P263" t="s">
        <v>38</v>
      </c>
      <c r="Q263">
        <v>21596760472045</v>
      </c>
      <c r="R263" t="s">
        <v>5214</v>
      </c>
      <c r="S263">
        <v>539</v>
      </c>
      <c r="T263" t="s">
        <v>40</v>
      </c>
      <c r="U263">
        <f>+IF(Tabla1[[#This Row],[MONEDA]]="PEN",Tabla1[[#This Row],[MONTO]],Tabla1[[#This Row],[MONTO]]*3.56)</f>
        <v>539</v>
      </c>
      <c r="X263" t="s">
        <v>81</v>
      </c>
      <c r="Y263" t="s">
        <v>42</v>
      </c>
      <c r="Z263" t="s">
        <v>43</v>
      </c>
      <c r="AA263" t="s">
        <v>5215</v>
      </c>
      <c r="AB263" t="s">
        <v>5216</v>
      </c>
      <c r="AC263" t="s">
        <v>5217</v>
      </c>
      <c r="AD263" t="s">
        <v>5218</v>
      </c>
      <c r="AE263">
        <v>539</v>
      </c>
      <c r="AF263" t="s">
        <v>87</v>
      </c>
      <c r="AG263" t="s">
        <v>169</v>
      </c>
    </row>
    <row r="264" spans="1:33" x14ac:dyDescent="0.25">
      <c r="A264">
        <v>32100</v>
      </c>
      <c r="B264" t="s">
        <v>32</v>
      </c>
      <c r="C264">
        <v>2</v>
      </c>
      <c r="D264" t="s">
        <v>5390</v>
      </c>
      <c r="E264" t="s">
        <v>70</v>
      </c>
      <c r="F264" t="s">
        <v>90</v>
      </c>
      <c r="G264" t="s">
        <v>91</v>
      </c>
      <c r="H264" t="s">
        <v>35</v>
      </c>
      <c r="I264" t="s">
        <v>5391</v>
      </c>
      <c r="J264" t="s">
        <v>5392</v>
      </c>
      <c r="K264" t="s">
        <v>36</v>
      </c>
      <c r="L264" t="s">
        <v>33</v>
      </c>
      <c r="M264">
        <v>20453830323</v>
      </c>
      <c r="N264" t="s">
        <v>286</v>
      </c>
      <c r="O264" t="s">
        <v>1747</v>
      </c>
      <c r="P264" t="s">
        <v>38</v>
      </c>
      <c r="Q264">
        <v>56504396470027</v>
      </c>
      <c r="R264" t="s">
        <v>5393</v>
      </c>
      <c r="S264">
        <v>671.8</v>
      </c>
      <c r="T264" t="s">
        <v>40</v>
      </c>
      <c r="U264">
        <f>+IF(Tabla1[[#This Row],[MONEDA]]="PEN",Tabla1[[#This Row],[MONTO]],Tabla1[[#This Row],[MONTO]]*3.56)</f>
        <v>671.8</v>
      </c>
      <c r="V264" t="s">
        <v>639</v>
      </c>
      <c r="X264" t="s">
        <v>41</v>
      </c>
      <c r="Y264" t="s">
        <v>51</v>
      </c>
      <c r="Z264" t="s">
        <v>43</v>
      </c>
      <c r="AA264" t="s">
        <v>5394</v>
      </c>
      <c r="AC264" t="s">
        <v>5395</v>
      </c>
      <c r="AE264">
        <v>671.8</v>
      </c>
      <c r="AG264" t="s">
        <v>169</v>
      </c>
    </row>
    <row r="265" spans="1:33" hidden="1" x14ac:dyDescent="0.25">
      <c r="A265">
        <v>32138</v>
      </c>
      <c r="B265" t="s">
        <v>32</v>
      </c>
      <c r="C265">
        <v>1</v>
      </c>
      <c r="D265" t="s">
        <v>5403</v>
      </c>
      <c r="E265" t="s">
        <v>70</v>
      </c>
      <c r="F265" t="s">
        <v>33</v>
      </c>
      <c r="G265" t="s">
        <v>71</v>
      </c>
      <c r="H265" t="s">
        <v>35</v>
      </c>
      <c r="I265" t="s">
        <v>5391</v>
      </c>
      <c r="J265" t="s">
        <v>5404</v>
      </c>
      <c r="K265" t="s">
        <v>36</v>
      </c>
      <c r="L265" t="s">
        <v>33</v>
      </c>
      <c r="M265">
        <v>20453830323</v>
      </c>
      <c r="N265" t="s">
        <v>286</v>
      </c>
      <c r="O265" t="s">
        <v>76</v>
      </c>
      <c r="P265" t="s">
        <v>38</v>
      </c>
      <c r="Q265">
        <v>21596760472045</v>
      </c>
      <c r="R265" t="s">
        <v>5405</v>
      </c>
      <c r="S265">
        <v>2000</v>
      </c>
      <c r="T265" t="s">
        <v>40</v>
      </c>
      <c r="U265">
        <f>+IF(Tabla1[[#This Row],[MONEDA]]="PEN",Tabla1[[#This Row],[MONTO]],Tabla1[[#This Row],[MONTO]]*3.56)</f>
        <v>2000</v>
      </c>
      <c r="V265" t="s">
        <v>639</v>
      </c>
      <c r="X265" t="s">
        <v>81</v>
      </c>
      <c r="Y265" t="s">
        <v>42</v>
      </c>
      <c r="Z265" t="s">
        <v>43</v>
      </c>
      <c r="AA265" t="s">
        <v>5406</v>
      </c>
      <c r="AC265" t="s">
        <v>5407</v>
      </c>
      <c r="AE265">
        <v>2000</v>
      </c>
      <c r="AF265" t="s">
        <v>87</v>
      </c>
      <c r="AG265" t="s">
        <v>169</v>
      </c>
    </row>
    <row r="266" spans="1:33" hidden="1" x14ac:dyDescent="0.25">
      <c r="A266">
        <v>32113</v>
      </c>
      <c r="B266" t="s">
        <v>32</v>
      </c>
      <c r="C266">
        <v>2</v>
      </c>
      <c r="D266" t="s">
        <v>5424</v>
      </c>
      <c r="E266" t="s">
        <v>70</v>
      </c>
      <c r="F266" t="s">
        <v>33</v>
      </c>
      <c r="G266" t="s">
        <v>71</v>
      </c>
      <c r="H266" t="s">
        <v>72</v>
      </c>
      <c r="I266" t="s">
        <v>5425</v>
      </c>
      <c r="J266" t="s">
        <v>5426</v>
      </c>
      <c r="K266" t="s">
        <v>36</v>
      </c>
      <c r="L266" t="s">
        <v>33</v>
      </c>
      <c r="M266">
        <v>20453830323</v>
      </c>
      <c r="N266" t="s">
        <v>286</v>
      </c>
      <c r="O266" t="s">
        <v>76</v>
      </c>
      <c r="P266" t="s">
        <v>38</v>
      </c>
      <c r="Q266" t="s">
        <v>1091</v>
      </c>
      <c r="R266" t="s">
        <v>5427</v>
      </c>
      <c r="S266">
        <v>550</v>
      </c>
      <c r="T266" t="s">
        <v>40</v>
      </c>
      <c r="U266">
        <f>+IF(Tabla1[[#This Row],[MONEDA]]="PEN",Tabla1[[#This Row],[MONTO]],Tabla1[[#This Row],[MONTO]]*3.56)</f>
        <v>550</v>
      </c>
      <c r="X266" t="s">
        <v>41</v>
      </c>
      <c r="Y266" t="s">
        <v>42</v>
      </c>
      <c r="Z266" t="s">
        <v>43</v>
      </c>
      <c r="AA266" t="s">
        <v>5428</v>
      </c>
      <c r="AB266" t="s">
        <v>5429</v>
      </c>
      <c r="AC266" t="s">
        <v>5430</v>
      </c>
      <c r="AD266" t="s">
        <v>5431</v>
      </c>
      <c r="AE266">
        <v>550</v>
      </c>
      <c r="AF266" t="s">
        <v>87</v>
      </c>
      <c r="AG266" t="s">
        <v>169</v>
      </c>
    </row>
    <row r="267" spans="1:33" x14ac:dyDescent="0.25">
      <c r="A267">
        <v>32043</v>
      </c>
      <c r="B267" t="s">
        <v>32</v>
      </c>
      <c r="C267">
        <v>2</v>
      </c>
      <c r="D267" t="s">
        <v>5591</v>
      </c>
      <c r="E267" t="s">
        <v>70</v>
      </c>
      <c r="F267" t="s">
        <v>90</v>
      </c>
      <c r="G267" t="s">
        <v>91</v>
      </c>
      <c r="H267" t="s">
        <v>5153</v>
      </c>
      <c r="I267" t="s">
        <v>5584</v>
      </c>
      <c r="J267" t="s">
        <v>5592</v>
      </c>
      <c r="K267" t="s">
        <v>36</v>
      </c>
      <c r="L267" t="s">
        <v>33</v>
      </c>
      <c r="M267">
        <v>20453830323</v>
      </c>
      <c r="N267" t="s">
        <v>286</v>
      </c>
      <c r="O267" t="s">
        <v>5593</v>
      </c>
      <c r="P267" t="s">
        <v>38</v>
      </c>
      <c r="Q267" t="s">
        <v>5594</v>
      </c>
      <c r="R267" t="s">
        <v>5595</v>
      </c>
      <c r="S267">
        <v>360</v>
      </c>
      <c r="T267" t="s">
        <v>40</v>
      </c>
      <c r="U267">
        <f>+IF(Tabla1[[#This Row],[MONEDA]]="PEN",Tabla1[[#This Row],[MONTO]],Tabla1[[#This Row],[MONTO]]*3.56)</f>
        <v>360</v>
      </c>
      <c r="X267" t="s">
        <v>41</v>
      </c>
      <c r="Y267" t="s">
        <v>42</v>
      </c>
      <c r="Z267" t="s">
        <v>82</v>
      </c>
      <c r="AA267" t="s">
        <v>5596</v>
      </c>
      <c r="AB267" t="s">
        <v>5597</v>
      </c>
      <c r="AC267" t="s">
        <v>5598</v>
      </c>
      <c r="AD267" t="s">
        <v>5599</v>
      </c>
      <c r="AE267">
        <v>360</v>
      </c>
      <c r="AF267" t="s">
        <v>87</v>
      </c>
      <c r="AG267" t="s">
        <v>169</v>
      </c>
    </row>
    <row r="268" spans="1:33" x14ac:dyDescent="0.25">
      <c r="A268">
        <v>31677</v>
      </c>
      <c r="B268" t="s">
        <v>32</v>
      </c>
      <c r="C268">
        <v>1</v>
      </c>
      <c r="D268" t="s">
        <v>5669</v>
      </c>
      <c r="E268" t="s">
        <v>70</v>
      </c>
      <c r="F268" t="s">
        <v>90</v>
      </c>
      <c r="G268" t="s">
        <v>91</v>
      </c>
      <c r="H268" t="s">
        <v>35</v>
      </c>
      <c r="I268" t="s">
        <v>5670</v>
      </c>
      <c r="J268" t="s">
        <v>5671</v>
      </c>
      <c r="K268" t="s">
        <v>36</v>
      </c>
      <c r="L268" t="s">
        <v>33</v>
      </c>
      <c r="M268">
        <v>20453830323</v>
      </c>
      <c r="N268" t="s">
        <v>286</v>
      </c>
      <c r="O268" t="s">
        <v>1747</v>
      </c>
      <c r="P268" t="s">
        <v>77</v>
      </c>
      <c r="Q268">
        <v>43002256819128</v>
      </c>
      <c r="R268" t="s">
        <v>5672</v>
      </c>
      <c r="S268">
        <v>149.99</v>
      </c>
      <c r="T268" t="s">
        <v>80</v>
      </c>
      <c r="U268">
        <f>+IF(Tabla1[[#This Row],[MONEDA]]="PEN",Tabla1[[#This Row],[MONTO]],Tabla1[[#This Row],[MONTO]]*3.56)</f>
        <v>533.96440000000007</v>
      </c>
      <c r="X268" t="s">
        <v>41</v>
      </c>
      <c r="Y268" t="s">
        <v>42</v>
      </c>
      <c r="Z268" t="s">
        <v>43</v>
      </c>
      <c r="AA268" t="s">
        <v>5673</v>
      </c>
      <c r="AC268" t="s">
        <v>5674</v>
      </c>
      <c r="AD268" t="s">
        <v>5675</v>
      </c>
      <c r="AE268">
        <v>149.99</v>
      </c>
      <c r="AG268" t="s">
        <v>88</v>
      </c>
    </row>
    <row r="269" spans="1:33" x14ac:dyDescent="0.25">
      <c r="A269">
        <v>31674</v>
      </c>
      <c r="B269" t="s">
        <v>32</v>
      </c>
      <c r="C269">
        <v>1</v>
      </c>
      <c r="D269" t="s">
        <v>5759</v>
      </c>
      <c r="E269" t="s">
        <v>70</v>
      </c>
      <c r="F269" t="s">
        <v>90</v>
      </c>
      <c r="G269" t="s">
        <v>91</v>
      </c>
      <c r="H269" t="s">
        <v>35</v>
      </c>
      <c r="I269" t="s">
        <v>5760</v>
      </c>
      <c r="J269" t="s">
        <v>5761</v>
      </c>
      <c r="K269" t="s">
        <v>36</v>
      </c>
      <c r="L269" t="s">
        <v>33</v>
      </c>
      <c r="M269">
        <v>20453830323</v>
      </c>
      <c r="N269" t="s">
        <v>286</v>
      </c>
      <c r="O269" t="s">
        <v>5762</v>
      </c>
      <c r="P269" t="s">
        <v>38</v>
      </c>
      <c r="Q269" t="s">
        <v>5763</v>
      </c>
      <c r="R269" t="s">
        <v>5764</v>
      </c>
      <c r="S269">
        <v>180</v>
      </c>
      <c r="T269" t="s">
        <v>40</v>
      </c>
      <c r="U269">
        <f>+IF(Tabla1[[#This Row],[MONEDA]]="PEN",Tabla1[[#This Row],[MONTO]],Tabla1[[#This Row],[MONTO]]*3.56)</f>
        <v>180</v>
      </c>
      <c r="X269" t="s">
        <v>41</v>
      </c>
      <c r="Y269" t="s">
        <v>42</v>
      </c>
      <c r="Z269" t="s">
        <v>43</v>
      </c>
      <c r="AA269" t="s">
        <v>5765</v>
      </c>
      <c r="AC269" t="s">
        <v>5766</v>
      </c>
      <c r="AD269" t="s">
        <v>5767</v>
      </c>
      <c r="AE269">
        <v>180</v>
      </c>
      <c r="AF269" t="s">
        <v>87</v>
      </c>
      <c r="AG269" t="s">
        <v>169</v>
      </c>
    </row>
    <row r="270" spans="1:33" x14ac:dyDescent="0.25">
      <c r="A270">
        <v>31618</v>
      </c>
      <c r="B270" t="s">
        <v>32</v>
      </c>
      <c r="C270">
        <v>1</v>
      </c>
      <c r="D270" t="s">
        <v>5786</v>
      </c>
      <c r="E270" t="s">
        <v>70</v>
      </c>
      <c r="F270" t="s">
        <v>90</v>
      </c>
      <c r="G270" t="s">
        <v>91</v>
      </c>
      <c r="H270" t="s">
        <v>35</v>
      </c>
      <c r="I270" t="s">
        <v>5778</v>
      </c>
      <c r="J270" t="s">
        <v>5787</v>
      </c>
      <c r="K270" t="s">
        <v>36</v>
      </c>
      <c r="L270" t="s">
        <v>33</v>
      </c>
      <c r="M270">
        <v>20453830323</v>
      </c>
      <c r="N270" t="s">
        <v>286</v>
      </c>
      <c r="O270" t="s">
        <v>3361</v>
      </c>
      <c r="P270" t="s">
        <v>38</v>
      </c>
      <c r="Q270">
        <v>21503216548034</v>
      </c>
      <c r="R270" t="s">
        <v>5788</v>
      </c>
      <c r="S270">
        <v>1400</v>
      </c>
      <c r="T270" t="s">
        <v>40</v>
      </c>
      <c r="U270">
        <f>+IF(Tabla1[[#This Row],[MONEDA]]="PEN",Tabla1[[#This Row],[MONTO]],Tabla1[[#This Row],[MONTO]]*3.56)</f>
        <v>1400</v>
      </c>
      <c r="X270" t="s">
        <v>41</v>
      </c>
      <c r="Y270" t="s">
        <v>42</v>
      </c>
      <c r="Z270" t="s">
        <v>43</v>
      </c>
      <c r="AA270" t="s">
        <v>5789</v>
      </c>
      <c r="AB270" t="s">
        <v>5790</v>
      </c>
      <c r="AC270" t="s">
        <v>5791</v>
      </c>
      <c r="AD270" t="s">
        <v>5792</v>
      </c>
      <c r="AE270">
        <v>1400</v>
      </c>
      <c r="AF270" t="s">
        <v>87</v>
      </c>
      <c r="AG270" t="s">
        <v>169</v>
      </c>
    </row>
    <row r="271" spans="1:33" x14ac:dyDescent="0.25">
      <c r="A271">
        <v>31503</v>
      </c>
      <c r="B271" t="s">
        <v>32</v>
      </c>
      <c r="C271">
        <v>1</v>
      </c>
      <c r="D271" t="s">
        <v>5816</v>
      </c>
      <c r="E271" t="s">
        <v>70</v>
      </c>
      <c r="F271" t="s">
        <v>90</v>
      </c>
      <c r="G271" t="s">
        <v>91</v>
      </c>
      <c r="H271" t="s">
        <v>35</v>
      </c>
      <c r="I271" t="s">
        <v>5809</v>
      </c>
      <c r="J271" t="s">
        <v>5817</v>
      </c>
      <c r="K271" t="s">
        <v>36</v>
      </c>
      <c r="L271" t="s">
        <v>33</v>
      </c>
      <c r="M271">
        <v>20453830323</v>
      </c>
      <c r="N271" t="s">
        <v>286</v>
      </c>
      <c r="O271" t="s">
        <v>5818</v>
      </c>
      <c r="P271" t="s">
        <v>38</v>
      </c>
      <c r="Q271">
        <v>43002110819054</v>
      </c>
      <c r="R271" t="s">
        <v>5819</v>
      </c>
      <c r="S271">
        <v>124</v>
      </c>
      <c r="T271" t="s">
        <v>40</v>
      </c>
      <c r="U271">
        <f>+IF(Tabla1[[#This Row],[MONEDA]]="PEN",Tabla1[[#This Row],[MONTO]],Tabla1[[#This Row],[MONTO]]*3.56)</f>
        <v>124</v>
      </c>
      <c r="X271" t="s">
        <v>41</v>
      </c>
      <c r="Y271" t="s">
        <v>42</v>
      </c>
      <c r="Z271" t="s">
        <v>43</v>
      </c>
      <c r="AA271" t="s">
        <v>5820</v>
      </c>
      <c r="AB271" t="s">
        <v>5821</v>
      </c>
      <c r="AC271" t="s">
        <v>5822</v>
      </c>
      <c r="AD271" t="s">
        <v>5823</v>
      </c>
      <c r="AE271">
        <v>124</v>
      </c>
      <c r="AF271" t="s">
        <v>87</v>
      </c>
      <c r="AG271" t="s">
        <v>169</v>
      </c>
    </row>
    <row r="272" spans="1:33" x14ac:dyDescent="0.25">
      <c r="A272">
        <v>31381</v>
      </c>
      <c r="B272" t="s">
        <v>32</v>
      </c>
      <c r="C272">
        <v>1</v>
      </c>
      <c r="D272" t="s">
        <v>5843</v>
      </c>
      <c r="E272" t="s">
        <v>70</v>
      </c>
      <c r="F272" t="s">
        <v>90</v>
      </c>
      <c r="G272" t="s">
        <v>91</v>
      </c>
      <c r="H272" t="s">
        <v>35</v>
      </c>
      <c r="I272" t="s">
        <v>5844</v>
      </c>
      <c r="J272" t="s">
        <v>5845</v>
      </c>
      <c r="K272" t="s">
        <v>36</v>
      </c>
      <c r="L272" t="s">
        <v>33</v>
      </c>
      <c r="M272">
        <v>20453830323</v>
      </c>
      <c r="N272" t="s">
        <v>286</v>
      </c>
      <c r="O272" t="s">
        <v>1747</v>
      </c>
      <c r="P272" t="s">
        <v>38</v>
      </c>
      <c r="Q272">
        <v>56504396470027</v>
      </c>
      <c r="R272" t="s">
        <v>5846</v>
      </c>
      <c r="S272">
        <v>165.8</v>
      </c>
      <c r="T272" t="s">
        <v>40</v>
      </c>
      <c r="U272">
        <f>+IF(Tabla1[[#This Row],[MONEDA]]="PEN",Tabla1[[#This Row],[MONTO]],Tabla1[[#This Row],[MONTO]]*3.56)</f>
        <v>165.8</v>
      </c>
      <c r="X272" t="s">
        <v>41</v>
      </c>
      <c r="Y272" t="s">
        <v>42</v>
      </c>
      <c r="Z272" t="s">
        <v>43</v>
      </c>
      <c r="AA272" t="s">
        <v>5847</v>
      </c>
      <c r="AB272" t="s">
        <v>5848</v>
      </c>
      <c r="AC272" t="s">
        <v>5849</v>
      </c>
      <c r="AD272" t="s">
        <v>5850</v>
      </c>
      <c r="AE272">
        <v>165.8</v>
      </c>
      <c r="AG272" t="s">
        <v>169</v>
      </c>
    </row>
    <row r="273" spans="1:33" x14ac:dyDescent="0.25">
      <c r="A273">
        <v>31389</v>
      </c>
      <c r="B273" t="s">
        <v>32</v>
      </c>
      <c r="C273">
        <v>1</v>
      </c>
      <c r="D273" t="s">
        <v>5857</v>
      </c>
      <c r="E273" t="s">
        <v>70</v>
      </c>
      <c r="F273" t="s">
        <v>90</v>
      </c>
      <c r="G273" t="s">
        <v>91</v>
      </c>
      <c r="H273" t="s">
        <v>35</v>
      </c>
      <c r="I273" t="s">
        <v>5858</v>
      </c>
      <c r="J273" t="s">
        <v>5859</v>
      </c>
      <c r="K273" t="s">
        <v>36</v>
      </c>
      <c r="L273" t="s">
        <v>33</v>
      </c>
      <c r="M273">
        <v>20453830323</v>
      </c>
      <c r="N273" t="s">
        <v>286</v>
      </c>
      <c r="O273" t="s">
        <v>1374</v>
      </c>
      <c r="P273" t="s">
        <v>38</v>
      </c>
      <c r="Q273" t="s">
        <v>1375</v>
      </c>
      <c r="R273" t="s">
        <v>5860</v>
      </c>
      <c r="S273">
        <v>900</v>
      </c>
      <c r="T273" t="s">
        <v>40</v>
      </c>
      <c r="U273">
        <f>+IF(Tabla1[[#This Row],[MONEDA]]="PEN",Tabla1[[#This Row],[MONTO]],Tabla1[[#This Row],[MONTO]]*3.56)</f>
        <v>900</v>
      </c>
      <c r="X273" t="s">
        <v>41</v>
      </c>
      <c r="Y273" t="s">
        <v>42</v>
      </c>
      <c r="Z273" t="s">
        <v>43</v>
      </c>
      <c r="AA273" t="s">
        <v>5861</v>
      </c>
      <c r="AC273" t="s">
        <v>5862</v>
      </c>
      <c r="AD273" t="s">
        <v>5863</v>
      </c>
      <c r="AE273">
        <v>900</v>
      </c>
      <c r="AF273" t="s">
        <v>87</v>
      </c>
      <c r="AG273" t="s">
        <v>169</v>
      </c>
    </row>
    <row r="274" spans="1:33" x14ac:dyDescent="0.25">
      <c r="A274">
        <v>30005</v>
      </c>
      <c r="B274" t="s">
        <v>32</v>
      </c>
      <c r="C274">
        <v>1</v>
      </c>
      <c r="D274" t="s">
        <v>6499</v>
      </c>
      <c r="E274" t="s">
        <v>70</v>
      </c>
      <c r="F274" t="s">
        <v>90</v>
      </c>
      <c r="G274" t="s">
        <v>91</v>
      </c>
      <c r="H274" t="s">
        <v>72</v>
      </c>
      <c r="I274" t="s">
        <v>6492</v>
      </c>
      <c r="J274" t="s">
        <v>6500</v>
      </c>
      <c r="K274" t="s">
        <v>36</v>
      </c>
      <c r="L274" t="s">
        <v>33</v>
      </c>
      <c r="M274">
        <v>20453830323</v>
      </c>
      <c r="N274" t="s">
        <v>286</v>
      </c>
      <c r="O274" t="s">
        <v>6477</v>
      </c>
      <c r="P274" t="s">
        <v>38</v>
      </c>
      <c r="Q274" t="s">
        <v>6478</v>
      </c>
      <c r="R274" t="s">
        <v>6501</v>
      </c>
      <c r="S274">
        <v>1000</v>
      </c>
      <c r="T274" t="s">
        <v>40</v>
      </c>
      <c r="U274">
        <f>+IF(Tabla1[[#This Row],[MONEDA]]="PEN",Tabla1[[#This Row],[MONTO]],Tabla1[[#This Row],[MONTO]]*3.56)</f>
        <v>1000</v>
      </c>
      <c r="X274" t="s">
        <v>41</v>
      </c>
      <c r="Y274" t="s">
        <v>42</v>
      </c>
      <c r="Z274" t="s">
        <v>43</v>
      </c>
      <c r="AA274" t="s">
        <v>6502</v>
      </c>
      <c r="AC274" t="s">
        <v>6503</v>
      </c>
      <c r="AD274" t="s">
        <v>6504</v>
      </c>
      <c r="AE274">
        <v>1000</v>
      </c>
      <c r="AF274" t="s">
        <v>87</v>
      </c>
      <c r="AG274" t="s">
        <v>169</v>
      </c>
    </row>
    <row r="275" spans="1:33" hidden="1" x14ac:dyDescent="0.25">
      <c r="A275">
        <v>29730</v>
      </c>
      <c r="B275" t="s">
        <v>32</v>
      </c>
      <c r="C275">
        <v>1</v>
      </c>
      <c r="D275" t="s">
        <v>6749</v>
      </c>
      <c r="E275" t="s">
        <v>70</v>
      </c>
      <c r="F275" t="s">
        <v>33</v>
      </c>
      <c r="G275" t="s">
        <v>71</v>
      </c>
      <c r="H275" t="s">
        <v>72</v>
      </c>
      <c r="I275" t="s">
        <v>6714</v>
      </c>
      <c r="J275" t="s">
        <v>6750</v>
      </c>
      <c r="K275" t="s">
        <v>36</v>
      </c>
      <c r="L275" t="s">
        <v>33</v>
      </c>
      <c r="M275">
        <v>20453830323</v>
      </c>
      <c r="N275" t="s">
        <v>286</v>
      </c>
      <c r="O275" t="s">
        <v>76</v>
      </c>
      <c r="P275" t="s">
        <v>38</v>
      </c>
      <c r="Q275">
        <v>21596760472045</v>
      </c>
      <c r="R275" t="s">
        <v>5405</v>
      </c>
      <c r="S275">
        <v>2000</v>
      </c>
      <c r="T275" t="s">
        <v>40</v>
      </c>
      <c r="U275">
        <f>+IF(Tabla1[[#This Row],[MONEDA]]="PEN",Tabla1[[#This Row],[MONTO]],Tabla1[[#This Row],[MONTO]]*3.56)</f>
        <v>2000</v>
      </c>
      <c r="V275" t="s">
        <v>639</v>
      </c>
      <c r="X275" t="s">
        <v>81</v>
      </c>
      <c r="Y275" t="s">
        <v>42</v>
      </c>
      <c r="Z275" t="s">
        <v>43</v>
      </c>
      <c r="AA275" t="s">
        <v>6751</v>
      </c>
      <c r="AC275" t="s">
        <v>6752</v>
      </c>
      <c r="AE275">
        <v>2000</v>
      </c>
      <c r="AF275" t="s">
        <v>87</v>
      </c>
      <c r="AG275" t="s">
        <v>169</v>
      </c>
    </row>
    <row r="276" spans="1:33" hidden="1" x14ac:dyDescent="0.25">
      <c r="A276">
        <v>29459</v>
      </c>
      <c r="B276" t="s">
        <v>32</v>
      </c>
      <c r="C276">
        <v>1</v>
      </c>
      <c r="D276" t="s">
        <v>6893</v>
      </c>
      <c r="E276" t="s">
        <v>70</v>
      </c>
      <c r="F276" t="s">
        <v>33</v>
      </c>
      <c r="G276" t="s">
        <v>71</v>
      </c>
      <c r="H276" t="s">
        <v>72</v>
      </c>
      <c r="I276" t="s">
        <v>6894</v>
      </c>
      <c r="J276" t="s">
        <v>6895</v>
      </c>
      <c r="K276" t="s">
        <v>36</v>
      </c>
      <c r="L276" t="s">
        <v>33</v>
      </c>
      <c r="M276">
        <v>20453830323</v>
      </c>
      <c r="N276" t="s">
        <v>286</v>
      </c>
      <c r="O276" t="s">
        <v>76</v>
      </c>
      <c r="P276" t="s">
        <v>38</v>
      </c>
      <c r="Q276">
        <v>21596760472045</v>
      </c>
      <c r="R276" t="s">
        <v>6896</v>
      </c>
      <c r="S276">
        <v>701</v>
      </c>
      <c r="T276" t="s">
        <v>40</v>
      </c>
      <c r="U276">
        <f>+IF(Tabla1[[#This Row],[MONEDA]]="PEN",Tabla1[[#This Row],[MONTO]],Tabla1[[#This Row],[MONTO]]*3.56)</f>
        <v>701</v>
      </c>
      <c r="X276" t="s">
        <v>81</v>
      </c>
      <c r="Y276" t="s">
        <v>42</v>
      </c>
      <c r="Z276" t="s">
        <v>82</v>
      </c>
      <c r="AA276" t="s">
        <v>6897</v>
      </c>
      <c r="AB276" t="s">
        <v>6898</v>
      </c>
      <c r="AC276" t="s">
        <v>6899</v>
      </c>
      <c r="AD276" t="s">
        <v>6900</v>
      </c>
      <c r="AE276">
        <v>701</v>
      </c>
      <c r="AF276" t="s">
        <v>87</v>
      </c>
      <c r="AG276" t="s">
        <v>169</v>
      </c>
    </row>
    <row r="277" spans="1:33" x14ac:dyDescent="0.25">
      <c r="A277">
        <v>28982</v>
      </c>
      <c r="B277" t="s">
        <v>32</v>
      </c>
      <c r="C277">
        <v>1</v>
      </c>
      <c r="D277" t="s">
        <v>7322</v>
      </c>
      <c r="E277" t="s">
        <v>70</v>
      </c>
      <c r="F277" t="s">
        <v>90</v>
      </c>
      <c r="G277" t="s">
        <v>91</v>
      </c>
      <c r="H277" t="s">
        <v>72</v>
      </c>
      <c r="I277" t="s">
        <v>7315</v>
      </c>
      <c r="J277" t="s">
        <v>7323</v>
      </c>
      <c r="K277" t="s">
        <v>36</v>
      </c>
      <c r="L277" t="s">
        <v>33</v>
      </c>
      <c r="M277">
        <v>20453830323</v>
      </c>
      <c r="N277" t="s">
        <v>286</v>
      </c>
      <c r="O277" t="s">
        <v>3501</v>
      </c>
      <c r="P277" t="s">
        <v>38</v>
      </c>
      <c r="Q277" t="s">
        <v>3502</v>
      </c>
      <c r="R277" t="s">
        <v>7324</v>
      </c>
      <c r="S277">
        <v>1400</v>
      </c>
      <c r="T277" t="s">
        <v>40</v>
      </c>
      <c r="U277">
        <f>+IF(Tabla1[[#This Row],[MONEDA]]="PEN",Tabla1[[#This Row],[MONTO]],Tabla1[[#This Row],[MONTO]]*3.56)</f>
        <v>1400</v>
      </c>
      <c r="X277" t="s">
        <v>41</v>
      </c>
      <c r="Y277" t="s">
        <v>42</v>
      </c>
      <c r="Z277" t="s">
        <v>43</v>
      </c>
      <c r="AA277" t="s">
        <v>7325</v>
      </c>
      <c r="AB277" t="s">
        <v>7326</v>
      </c>
      <c r="AC277" t="s">
        <v>7327</v>
      </c>
      <c r="AD277" t="s">
        <v>7328</v>
      </c>
      <c r="AE277">
        <v>1400</v>
      </c>
      <c r="AF277" t="s">
        <v>87</v>
      </c>
      <c r="AG277" t="s">
        <v>169</v>
      </c>
    </row>
    <row r="278" spans="1:33" hidden="1" x14ac:dyDescent="0.25">
      <c r="A278">
        <v>29021</v>
      </c>
      <c r="B278" t="s">
        <v>32</v>
      </c>
      <c r="C278">
        <v>1</v>
      </c>
      <c r="D278" t="s">
        <v>7343</v>
      </c>
      <c r="E278" t="s">
        <v>70</v>
      </c>
      <c r="F278" t="s">
        <v>33</v>
      </c>
      <c r="G278" t="s">
        <v>71</v>
      </c>
      <c r="H278" t="s">
        <v>72</v>
      </c>
      <c r="I278" t="s">
        <v>7315</v>
      </c>
      <c r="J278" t="s">
        <v>7344</v>
      </c>
      <c r="K278" t="s">
        <v>36</v>
      </c>
      <c r="L278" t="s">
        <v>33</v>
      </c>
      <c r="M278">
        <v>20453830323</v>
      </c>
      <c r="N278" t="s">
        <v>286</v>
      </c>
      <c r="O278" t="s">
        <v>76</v>
      </c>
      <c r="P278" t="s">
        <v>38</v>
      </c>
      <c r="Q278">
        <v>21596760472045</v>
      </c>
      <c r="R278" t="s">
        <v>7345</v>
      </c>
      <c r="S278">
        <v>770</v>
      </c>
      <c r="T278" t="s">
        <v>40</v>
      </c>
      <c r="U278">
        <f>+IF(Tabla1[[#This Row],[MONEDA]]="PEN",Tabla1[[#This Row],[MONTO]],Tabla1[[#This Row],[MONTO]]*3.56)</f>
        <v>770</v>
      </c>
      <c r="X278" t="s">
        <v>81</v>
      </c>
      <c r="Y278" t="s">
        <v>42</v>
      </c>
      <c r="Z278" t="s">
        <v>82</v>
      </c>
      <c r="AA278" t="s">
        <v>7346</v>
      </c>
      <c r="AB278" t="s">
        <v>7347</v>
      </c>
      <c r="AC278" t="s">
        <v>7348</v>
      </c>
      <c r="AD278" t="s">
        <v>7349</v>
      </c>
      <c r="AE278">
        <v>770</v>
      </c>
      <c r="AF278" t="s">
        <v>87</v>
      </c>
      <c r="AG278" t="s">
        <v>169</v>
      </c>
    </row>
    <row r="279" spans="1:33" hidden="1" x14ac:dyDescent="0.25">
      <c r="A279">
        <v>29024</v>
      </c>
      <c r="B279" t="s">
        <v>32</v>
      </c>
      <c r="C279">
        <v>1</v>
      </c>
      <c r="D279" t="s">
        <v>7350</v>
      </c>
      <c r="E279" t="s">
        <v>70</v>
      </c>
      <c r="F279" t="s">
        <v>33</v>
      </c>
      <c r="G279" t="s">
        <v>71</v>
      </c>
      <c r="H279" t="s">
        <v>72</v>
      </c>
      <c r="I279" t="s">
        <v>7315</v>
      </c>
      <c r="J279" t="s">
        <v>7351</v>
      </c>
      <c r="K279" t="s">
        <v>36</v>
      </c>
      <c r="L279" t="s">
        <v>33</v>
      </c>
      <c r="M279">
        <v>20453830323</v>
      </c>
      <c r="N279" t="s">
        <v>286</v>
      </c>
      <c r="O279" t="s">
        <v>76</v>
      </c>
      <c r="P279" t="s">
        <v>38</v>
      </c>
      <c r="Q279">
        <v>21596760472045</v>
      </c>
      <c r="R279" t="s">
        <v>7352</v>
      </c>
      <c r="S279">
        <v>2000</v>
      </c>
      <c r="T279" t="s">
        <v>40</v>
      </c>
      <c r="U279">
        <f>+IF(Tabla1[[#This Row],[MONEDA]]="PEN",Tabla1[[#This Row],[MONTO]],Tabla1[[#This Row],[MONTO]]*3.56)</f>
        <v>2000</v>
      </c>
      <c r="V279" t="s">
        <v>639</v>
      </c>
      <c r="X279" t="s">
        <v>81</v>
      </c>
      <c r="Y279" t="s">
        <v>42</v>
      </c>
      <c r="Z279" t="s">
        <v>43</v>
      </c>
      <c r="AA279" t="s">
        <v>7353</v>
      </c>
      <c r="AC279" t="s">
        <v>7354</v>
      </c>
      <c r="AE279">
        <v>2000</v>
      </c>
      <c r="AF279" t="s">
        <v>87</v>
      </c>
      <c r="AG279" t="s">
        <v>169</v>
      </c>
    </row>
    <row r="280" spans="1:33" hidden="1" x14ac:dyDescent="0.25">
      <c r="A280">
        <v>28915</v>
      </c>
      <c r="B280" t="s">
        <v>32</v>
      </c>
      <c r="C280">
        <v>1</v>
      </c>
      <c r="D280" t="s">
        <v>7363</v>
      </c>
      <c r="E280" t="s">
        <v>70</v>
      </c>
      <c r="F280" t="s">
        <v>33</v>
      </c>
      <c r="G280" t="s">
        <v>71</v>
      </c>
      <c r="H280" t="s">
        <v>72</v>
      </c>
      <c r="I280" t="s">
        <v>7356</v>
      </c>
      <c r="J280" t="s">
        <v>7364</v>
      </c>
      <c r="K280" t="s">
        <v>36</v>
      </c>
      <c r="L280" t="s">
        <v>33</v>
      </c>
      <c r="M280">
        <v>20453830323</v>
      </c>
      <c r="N280" t="s">
        <v>286</v>
      </c>
      <c r="O280" t="s">
        <v>76</v>
      </c>
      <c r="P280" t="s">
        <v>38</v>
      </c>
      <c r="Q280">
        <v>21596760472045</v>
      </c>
      <c r="R280" t="s">
        <v>7365</v>
      </c>
      <c r="S280">
        <v>210</v>
      </c>
      <c r="T280" t="s">
        <v>40</v>
      </c>
      <c r="U280">
        <f>+IF(Tabla1[[#This Row],[MONEDA]]="PEN",Tabla1[[#This Row],[MONTO]],Tabla1[[#This Row],[MONTO]]*3.56)</f>
        <v>210</v>
      </c>
      <c r="X280" t="s">
        <v>81</v>
      </c>
      <c r="Y280" t="s">
        <v>42</v>
      </c>
      <c r="Z280" t="s">
        <v>43</v>
      </c>
      <c r="AA280" t="s">
        <v>7366</v>
      </c>
      <c r="AB280" t="s">
        <v>7367</v>
      </c>
      <c r="AC280" t="s">
        <v>7368</v>
      </c>
      <c r="AD280" t="s">
        <v>7369</v>
      </c>
      <c r="AE280">
        <v>210</v>
      </c>
      <c r="AF280" t="s">
        <v>87</v>
      </c>
      <c r="AG280" t="s">
        <v>169</v>
      </c>
    </row>
    <row r="281" spans="1:33" x14ac:dyDescent="0.25">
      <c r="A281">
        <v>28546</v>
      </c>
      <c r="B281" t="s">
        <v>32</v>
      </c>
      <c r="C281">
        <v>1</v>
      </c>
      <c r="D281" t="s">
        <v>7400</v>
      </c>
      <c r="E281" t="s">
        <v>70</v>
      </c>
      <c r="F281" t="s">
        <v>90</v>
      </c>
      <c r="G281" t="s">
        <v>91</v>
      </c>
      <c r="H281" t="s">
        <v>72</v>
      </c>
      <c r="I281" t="s">
        <v>7401</v>
      </c>
      <c r="J281" t="s">
        <v>7402</v>
      </c>
      <c r="K281" t="s">
        <v>36</v>
      </c>
      <c r="L281" t="s">
        <v>33</v>
      </c>
      <c r="M281">
        <v>20453830323</v>
      </c>
      <c r="N281" t="s">
        <v>286</v>
      </c>
      <c r="O281" t="s">
        <v>7403</v>
      </c>
      <c r="P281" t="s">
        <v>38</v>
      </c>
      <c r="Q281" t="s">
        <v>7404</v>
      </c>
      <c r="R281" t="s">
        <v>7405</v>
      </c>
      <c r="S281">
        <v>300</v>
      </c>
      <c r="T281" t="s">
        <v>40</v>
      </c>
      <c r="U281">
        <f>+IF(Tabla1[[#This Row],[MONEDA]]="PEN",Tabla1[[#This Row],[MONTO]],Tabla1[[#This Row],[MONTO]]*3.56)</f>
        <v>300</v>
      </c>
      <c r="X281" t="s">
        <v>41</v>
      </c>
      <c r="Y281" t="s">
        <v>42</v>
      </c>
      <c r="Z281" t="s">
        <v>43</v>
      </c>
      <c r="AA281" t="s">
        <v>7406</v>
      </c>
      <c r="AB281" t="s">
        <v>7407</v>
      </c>
      <c r="AC281" t="s">
        <v>7408</v>
      </c>
      <c r="AD281" t="s">
        <v>7409</v>
      </c>
      <c r="AE281">
        <v>300</v>
      </c>
      <c r="AF281" t="s">
        <v>87</v>
      </c>
      <c r="AG281" t="s">
        <v>169</v>
      </c>
    </row>
    <row r="282" spans="1:33" x14ac:dyDescent="0.25">
      <c r="A282">
        <v>28549</v>
      </c>
      <c r="B282" t="s">
        <v>32</v>
      </c>
      <c r="C282">
        <v>1</v>
      </c>
      <c r="D282" t="s">
        <v>7410</v>
      </c>
      <c r="E282" t="s">
        <v>70</v>
      </c>
      <c r="F282" t="s">
        <v>90</v>
      </c>
      <c r="G282" t="s">
        <v>91</v>
      </c>
      <c r="H282" t="s">
        <v>72</v>
      </c>
      <c r="I282" t="s">
        <v>7401</v>
      </c>
      <c r="J282" t="s">
        <v>7411</v>
      </c>
      <c r="K282" t="s">
        <v>36</v>
      </c>
      <c r="L282" t="s">
        <v>33</v>
      </c>
      <c r="M282">
        <v>20453830323</v>
      </c>
      <c r="N282" t="s">
        <v>286</v>
      </c>
      <c r="O282" t="s">
        <v>7412</v>
      </c>
      <c r="P282" t="s">
        <v>62</v>
      </c>
      <c r="Q282" t="s">
        <v>7413</v>
      </c>
      <c r="R282" t="s">
        <v>7414</v>
      </c>
      <c r="S282">
        <v>236.61</v>
      </c>
      <c r="T282" t="s">
        <v>80</v>
      </c>
      <c r="U282">
        <f>+IF(Tabla1[[#This Row],[MONEDA]]="PEN",Tabla1[[#This Row],[MONTO]],Tabla1[[#This Row],[MONTO]]*3.56)</f>
        <v>842.33160000000009</v>
      </c>
      <c r="X282" t="s">
        <v>41</v>
      </c>
      <c r="Y282" t="s">
        <v>42</v>
      </c>
      <c r="Z282" t="s">
        <v>43</v>
      </c>
      <c r="AA282" t="s">
        <v>7415</v>
      </c>
      <c r="AC282" t="s">
        <v>7416</v>
      </c>
      <c r="AD282" t="s">
        <v>7417</v>
      </c>
      <c r="AE282">
        <v>236.61</v>
      </c>
      <c r="AF282" t="s">
        <v>87</v>
      </c>
      <c r="AG282" t="s">
        <v>7418</v>
      </c>
    </row>
    <row r="283" spans="1:33" x14ac:dyDescent="0.25">
      <c r="A283">
        <v>28556</v>
      </c>
      <c r="B283" t="s">
        <v>32</v>
      </c>
      <c r="C283">
        <v>1</v>
      </c>
      <c r="D283" t="s">
        <v>7419</v>
      </c>
      <c r="E283" t="s">
        <v>70</v>
      </c>
      <c r="F283" t="s">
        <v>90</v>
      </c>
      <c r="G283" t="s">
        <v>91</v>
      </c>
      <c r="H283" t="s">
        <v>72</v>
      </c>
      <c r="I283" t="s">
        <v>7401</v>
      </c>
      <c r="J283" t="s">
        <v>7420</v>
      </c>
      <c r="K283" t="s">
        <v>36</v>
      </c>
      <c r="L283" t="s">
        <v>33</v>
      </c>
      <c r="M283">
        <v>20453830323</v>
      </c>
      <c r="N283" t="s">
        <v>286</v>
      </c>
      <c r="O283" t="s">
        <v>1747</v>
      </c>
      <c r="P283" t="s">
        <v>38</v>
      </c>
      <c r="Q283">
        <v>56504396470027</v>
      </c>
      <c r="R283" t="s">
        <v>7421</v>
      </c>
      <c r="S283">
        <v>120</v>
      </c>
      <c r="T283" t="s">
        <v>40</v>
      </c>
      <c r="U283">
        <f>+IF(Tabla1[[#This Row],[MONEDA]]="PEN",Tabla1[[#This Row],[MONTO]],Tabla1[[#This Row],[MONTO]]*3.56)</f>
        <v>120</v>
      </c>
      <c r="X283" t="s">
        <v>41</v>
      </c>
      <c r="Y283" t="s">
        <v>42</v>
      </c>
      <c r="Z283" t="s">
        <v>82</v>
      </c>
      <c r="AA283" t="s">
        <v>7422</v>
      </c>
      <c r="AB283" t="s">
        <v>7423</v>
      </c>
      <c r="AC283" t="s">
        <v>7424</v>
      </c>
      <c r="AD283" t="s">
        <v>7425</v>
      </c>
      <c r="AE283">
        <v>120</v>
      </c>
      <c r="AF283" t="s">
        <v>87</v>
      </c>
      <c r="AG283" t="s">
        <v>169</v>
      </c>
    </row>
    <row r="284" spans="1:33" x14ac:dyDescent="0.25">
      <c r="A284">
        <v>28331</v>
      </c>
      <c r="B284" t="s">
        <v>32</v>
      </c>
      <c r="C284">
        <v>1</v>
      </c>
      <c r="D284" t="s">
        <v>7632</v>
      </c>
      <c r="E284" t="s">
        <v>70</v>
      </c>
      <c r="F284" t="s">
        <v>90</v>
      </c>
      <c r="G284" t="s">
        <v>91</v>
      </c>
      <c r="H284" t="s">
        <v>72</v>
      </c>
      <c r="I284" t="s">
        <v>7531</v>
      </c>
      <c r="J284" t="s">
        <v>7633</v>
      </c>
      <c r="K284" t="s">
        <v>36</v>
      </c>
      <c r="L284" t="s">
        <v>33</v>
      </c>
      <c r="M284">
        <v>20453830323</v>
      </c>
      <c r="N284" t="s">
        <v>286</v>
      </c>
      <c r="O284" t="s">
        <v>1747</v>
      </c>
      <c r="P284" t="s">
        <v>77</v>
      </c>
      <c r="Q284">
        <v>43002256819128</v>
      </c>
      <c r="R284" t="s">
        <v>7634</v>
      </c>
      <c r="S284">
        <v>128.57</v>
      </c>
      <c r="T284" t="s">
        <v>80</v>
      </c>
      <c r="U284">
        <f>+IF(Tabla1[[#This Row],[MONEDA]]="PEN",Tabla1[[#This Row],[MONTO]],Tabla1[[#This Row],[MONTO]]*3.56)</f>
        <v>457.70920000000001</v>
      </c>
      <c r="X284" t="s">
        <v>41</v>
      </c>
      <c r="Y284" t="s">
        <v>42</v>
      </c>
      <c r="Z284" t="s">
        <v>43</v>
      </c>
      <c r="AA284" t="s">
        <v>7635</v>
      </c>
      <c r="AC284" t="s">
        <v>7636</v>
      </c>
      <c r="AD284" t="s">
        <v>7637</v>
      </c>
      <c r="AE284">
        <v>128.57</v>
      </c>
      <c r="AF284" t="s">
        <v>87</v>
      </c>
      <c r="AG284" t="s">
        <v>88</v>
      </c>
    </row>
    <row r="285" spans="1:33" hidden="1" x14ac:dyDescent="0.25">
      <c r="A285">
        <v>28504</v>
      </c>
      <c r="B285" t="s">
        <v>32</v>
      </c>
      <c r="C285">
        <v>1</v>
      </c>
      <c r="D285" t="s">
        <v>7638</v>
      </c>
      <c r="E285" t="s">
        <v>70</v>
      </c>
      <c r="F285" t="s">
        <v>33</v>
      </c>
      <c r="G285" t="s">
        <v>71</v>
      </c>
      <c r="H285" t="s">
        <v>72</v>
      </c>
      <c r="I285" t="s">
        <v>7639</v>
      </c>
      <c r="J285" t="s">
        <v>7640</v>
      </c>
      <c r="K285" t="s">
        <v>36</v>
      </c>
      <c r="L285" t="s">
        <v>33</v>
      </c>
      <c r="M285">
        <v>20453830323</v>
      </c>
      <c r="N285" t="s">
        <v>286</v>
      </c>
      <c r="O285" t="s">
        <v>76</v>
      </c>
      <c r="P285" t="s">
        <v>38</v>
      </c>
      <c r="Q285">
        <v>21596760472045</v>
      </c>
      <c r="R285" t="s">
        <v>7641</v>
      </c>
      <c r="S285">
        <v>320</v>
      </c>
      <c r="T285" t="s">
        <v>40</v>
      </c>
      <c r="U285">
        <f>+IF(Tabla1[[#This Row],[MONEDA]]="PEN",Tabla1[[#This Row],[MONTO]],Tabla1[[#This Row],[MONTO]]*3.56)</f>
        <v>320</v>
      </c>
      <c r="X285" t="s">
        <v>81</v>
      </c>
      <c r="Y285" t="s">
        <v>42</v>
      </c>
      <c r="Z285" t="s">
        <v>43</v>
      </c>
      <c r="AA285" t="s">
        <v>7642</v>
      </c>
      <c r="AB285" t="s">
        <v>7643</v>
      </c>
      <c r="AC285" t="s">
        <v>7644</v>
      </c>
      <c r="AD285" t="s">
        <v>7645</v>
      </c>
      <c r="AE285">
        <v>320</v>
      </c>
      <c r="AF285" t="s">
        <v>87</v>
      </c>
      <c r="AG285" t="s">
        <v>169</v>
      </c>
    </row>
    <row r="286" spans="1:33" hidden="1" x14ac:dyDescent="0.25">
      <c r="A286">
        <v>28316</v>
      </c>
      <c r="B286" t="s">
        <v>32</v>
      </c>
      <c r="C286">
        <v>1</v>
      </c>
      <c r="D286" t="s">
        <v>7700</v>
      </c>
      <c r="E286" t="s">
        <v>70</v>
      </c>
      <c r="F286" t="s">
        <v>33</v>
      </c>
      <c r="G286" t="s">
        <v>71</v>
      </c>
      <c r="H286" t="s">
        <v>72</v>
      </c>
      <c r="I286" t="s">
        <v>7701</v>
      </c>
      <c r="J286" t="s">
        <v>7702</v>
      </c>
      <c r="K286" t="s">
        <v>36</v>
      </c>
      <c r="L286" t="s">
        <v>33</v>
      </c>
      <c r="M286">
        <v>20453830323</v>
      </c>
      <c r="N286" t="s">
        <v>286</v>
      </c>
      <c r="O286" t="s">
        <v>76</v>
      </c>
      <c r="P286" t="s">
        <v>38</v>
      </c>
      <c r="Q286">
        <v>21596760472045</v>
      </c>
      <c r="R286" t="s">
        <v>5405</v>
      </c>
      <c r="S286">
        <v>2000</v>
      </c>
      <c r="T286" t="s">
        <v>40</v>
      </c>
      <c r="U286">
        <f>+IF(Tabla1[[#This Row],[MONEDA]]="PEN",Tabla1[[#This Row],[MONTO]],Tabla1[[#This Row],[MONTO]]*3.56)</f>
        <v>2000</v>
      </c>
      <c r="V286" t="s">
        <v>639</v>
      </c>
      <c r="X286" t="s">
        <v>81</v>
      </c>
      <c r="Y286" t="s">
        <v>42</v>
      </c>
      <c r="Z286" t="s">
        <v>82</v>
      </c>
      <c r="AA286" t="s">
        <v>7703</v>
      </c>
      <c r="AC286" t="s">
        <v>7704</v>
      </c>
      <c r="AE286">
        <v>2000</v>
      </c>
      <c r="AF286" t="s">
        <v>87</v>
      </c>
      <c r="AG286" t="s">
        <v>169</v>
      </c>
    </row>
    <row r="287" spans="1:33" x14ac:dyDescent="0.25">
      <c r="A287">
        <v>27959</v>
      </c>
      <c r="B287" t="s">
        <v>32</v>
      </c>
      <c r="C287">
        <v>6</v>
      </c>
      <c r="D287" t="s">
        <v>7880</v>
      </c>
      <c r="E287" t="s">
        <v>70</v>
      </c>
      <c r="F287" t="s">
        <v>130</v>
      </c>
      <c r="G287" t="s">
        <v>131</v>
      </c>
      <c r="H287" t="s">
        <v>132</v>
      </c>
      <c r="I287" t="s">
        <v>7881</v>
      </c>
      <c r="J287" t="s">
        <v>7882</v>
      </c>
      <c r="K287" t="s">
        <v>36</v>
      </c>
      <c r="L287" t="s">
        <v>33</v>
      </c>
      <c r="M287">
        <v>20453830323</v>
      </c>
      <c r="N287" t="s">
        <v>286</v>
      </c>
      <c r="P287" t="s">
        <v>136</v>
      </c>
      <c r="Q287" t="s">
        <v>2494</v>
      </c>
      <c r="R287" t="s">
        <v>7883</v>
      </c>
      <c r="S287">
        <v>93842.5</v>
      </c>
      <c r="T287" t="s">
        <v>40</v>
      </c>
      <c r="U287">
        <f>+IF(Tabla1[[#This Row],[MONEDA]]="PEN",Tabla1[[#This Row],[MONTO]],Tabla1[[#This Row],[MONTO]]*3.56)</f>
        <v>93842.5</v>
      </c>
      <c r="X287" t="s">
        <v>139</v>
      </c>
      <c r="Y287" t="s">
        <v>42</v>
      </c>
      <c r="Z287" t="s">
        <v>511</v>
      </c>
      <c r="AA287" t="s">
        <v>7884</v>
      </c>
      <c r="AB287" t="s">
        <v>7885</v>
      </c>
      <c r="AC287" t="s">
        <v>7886</v>
      </c>
      <c r="AE287">
        <v>93842.5</v>
      </c>
      <c r="AF287" t="s">
        <v>87</v>
      </c>
      <c r="AG287" t="s">
        <v>143</v>
      </c>
    </row>
    <row r="288" spans="1:33" x14ac:dyDescent="0.25">
      <c r="A288">
        <v>28193</v>
      </c>
      <c r="B288" t="s">
        <v>32</v>
      </c>
      <c r="C288">
        <v>6</v>
      </c>
      <c r="D288" t="s">
        <v>7887</v>
      </c>
      <c r="E288" t="s">
        <v>70</v>
      </c>
      <c r="F288" t="s">
        <v>130</v>
      </c>
      <c r="G288" t="s">
        <v>131</v>
      </c>
      <c r="H288" t="s">
        <v>132</v>
      </c>
      <c r="I288" t="s">
        <v>7881</v>
      </c>
      <c r="J288" t="s">
        <v>7888</v>
      </c>
      <c r="K288" t="s">
        <v>36</v>
      </c>
      <c r="L288" t="s">
        <v>33</v>
      </c>
      <c r="M288">
        <v>20453830323</v>
      </c>
      <c r="N288" t="s">
        <v>286</v>
      </c>
      <c r="P288" t="s">
        <v>136</v>
      </c>
      <c r="Q288" t="s">
        <v>2494</v>
      </c>
      <c r="R288" t="s">
        <v>7889</v>
      </c>
      <c r="S288">
        <v>18443.59</v>
      </c>
      <c r="T288" t="s">
        <v>40</v>
      </c>
      <c r="U288">
        <f>+IF(Tabla1[[#This Row],[MONEDA]]="PEN",Tabla1[[#This Row],[MONTO]],Tabla1[[#This Row],[MONTO]]*3.56)</f>
        <v>18443.59</v>
      </c>
      <c r="X288" t="s">
        <v>139</v>
      </c>
      <c r="Y288" t="s">
        <v>42</v>
      </c>
      <c r="Z288" t="s">
        <v>511</v>
      </c>
      <c r="AA288" t="s">
        <v>7890</v>
      </c>
      <c r="AB288" t="s">
        <v>7891</v>
      </c>
      <c r="AC288" t="s">
        <v>7892</v>
      </c>
      <c r="AE288">
        <v>18433.59</v>
      </c>
      <c r="AF288" t="s">
        <v>87</v>
      </c>
      <c r="AG288" t="s">
        <v>143</v>
      </c>
    </row>
    <row r="289" spans="1:33" x14ac:dyDescent="0.25">
      <c r="A289">
        <v>28195</v>
      </c>
      <c r="B289" t="s">
        <v>32</v>
      </c>
      <c r="C289">
        <v>6</v>
      </c>
      <c r="D289" t="s">
        <v>7893</v>
      </c>
      <c r="E289" t="s">
        <v>70</v>
      </c>
      <c r="F289" t="s">
        <v>130</v>
      </c>
      <c r="G289" t="s">
        <v>131</v>
      </c>
      <c r="H289" t="s">
        <v>132</v>
      </c>
      <c r="I289" t="s">
        <v>7881</v>
      </c>
      <c r="J289" t="s">
        <v>7894</v>
      </c>
      <c r="K289" t="s">
        <v>36</v>
      </c>
      <c r="L289" t="s">
        <v>33</v>
      </c>
      <c r="M289">
        <v>20453830323</v>
      </c>
      <c r="N289" t="s">
        <v>286</v>
      </c>
      <c r="P289" t="s">
        <v>136</v>
      </c>
      <c r="Q289" t="s">
        <v>2494</v>
      </c>
      <c r="R289" t="s">
        <v>7895</v>
      </c>
      <c r="S289">
        <v>46714.76</v>
      </c>
      <c r="T289" t="s">
        <v>40</v>
      </c>
      <c r="U289">
        <f>+IF(Tabla1[[#This Row],[MONEDA]]="PEN",Tabla1[[#This Row],[MONTO]],Tabla1[[#This Row],[MONTO]]*3.56)</f>
        <v>46714.76</v>
      </c>
      <c r="X289" t="s">
        <v>139</v>
      </c>
      <c r="Y289" t="s">
        <v>42</v>
      </c>
      <c r="Z289" t="s">
        <v>82</v>
      </c>
      <c r="AA289" t="s">
        <v>7896</v>
      </c>
      <c r="AB289" t="s">
        <v>7897</v>
      </c>
      <c r="AC289" t="s">
        <v>7898</v>
      </c>
      <c r="AE289">
        <v>46714.76</v>
      </c>
      <c r="AF289" t="s">
        <v>87</v>
      </c>
      <c r="AG289" t="s">
        <v>143</v>
      </c>
    </row>
    <row r="290" spans="1:33" x14ac:dyDescent="0.25">
      <c r="A290">
        <v>28197</v>
      </c>
      <c r="B290" t="s">
        <v>32</v>
      </c>
      <c r="C290">
        <v>6</v>
      </c>
      <c r="D290" t="s">
        <v>7899</v>
      </c>
      <c r="E290" t="s">
        <v>70</v>
      </c>
      <c r="F290" t="s">
        <v>130</v>
      </c>
      <c r="G290" t="s">
        <v>131</v>
      </c>
      <c r="H290" t="s">
        <v>132</v>
      </c>
      <c r="I290" t="s">
        <v>7881</v>
      </c>
      <c r="J290" t="s">
        <v>7900</v>
      </c>
      <c r="K290" t="s">
        <v>36</v>
      </c>
      <c r="L290" t="s">
        <v>33</v>
      </c>
      <c r="M290">
        <v>20453830323</v>
      </c>
      <c r="N290" t="s">
        <v>286</v>
      </c>
      <c r="P290" t="s">
        <v>136</v>
      </c>
      <c r="Q290" t="s">
        <v>2494</v>
      </c>
      <c r="R290" t="s">
        <v>7901</v>
      </c>
      <c r="S290">
        <v>62697.07</v>
      </c>
      <c r="T290" t="s">
        <v>40</v>
      </c>
      <c r="U290">
        <f>+IF(Tabla1[[#This Row],[MONEDA]]="PEN",Tabla1[[#This Row],[MONTO]],Tabla1[[#This Row],[MONTO]]*3.56)</f>
        <v>62697.07</v>
      </c>
      <c r="X290" t="s">
        <v>139</v>
      </c>
      <c r="Y290" t="s">
        <v>42</v>
      </c>
      <c r="Z290" t="s">
        <v>511</v>
      </c>
      <c r="AA290" t="s">
        <v>7902</v>
      </c>
      <c r="AB290" t="s">
        <v>7903</v>
      </c>
      <c r="AC290" t="s">
        <v>7904</v>
      </c>
      <c r="AE290">
        <v>62697.07</v>
      </c>
      <c r="AF290" t="s">
        <v>87</v>
      </c>
      <c r="AG290" t="s">
        <v>143</v>
      </c>
    </row>
    <row r="291" spans="1:33" x14ac:dyDescent="0.25">
      <c r="A291">
        <v>28204</v>
      </c>
      <c r="B291" t="s">
        <v>32</v>
      </c>
      <c r="C291">
        <v>6</v>
      </c>
      <c r="D291" t="s">
        <v>7905</v>
      </c>
      <c r="E291" t="s">
        <v>70</v>
      </c>
      <c r="F291" t="s">
        <v>130</v>
      </c>
      <c r="G291" t="s">
        <v>131</v>
      </c>
      <c r="H291" t="s">
        <v>132</v>
      </c>
      <c r="I291" t="s">
        <v>7881</v>
      </c>
      <c r="J291" t="s">
        <v>7906</v>
      </c>
      <c r="K291" t="s">
        <v>36</v>
      </c>
      <c r="L291" t="s">
        <v>33</v>
      </c>
      <c r="M291">
        <v>20453830323</v>
      </c>
      <c r="N291" t="s">
        <v>286</v>
      </c>
      <c r="P291" t="s">
        <v>136</v>
      </c>
      <c r="Q291" t="s">
        <v>2494</v>
      </c>
      <c r="R291" t="s">
        <v>7907</v>
      </c>
      <c r="S291">
        <v>71518.58</v>
      </c>
      <c r="T291" t="s">
        <v>40</v>
      </c>
      <c r="U291">
        <f>+IF(Tabla1[[#This Row],[MONEDA]]="PEN",Tabla1[[#This Row],[MONTO]],Tabla1[[#This Row],[MONTO]]*3.56)</f>
        <v>71518.58</v>
      </c>
      <c r="X291" t="s">
        <v>139</v>
      </c>
      <c r="Y291" t="s">
        <v>42</v>
      </c>
      <c r="Z291" t="s">
        <v>511</v>
      </c>
      <c r="AA291" t="s">
        <v>7908</v>
      </c>
      <c r="AB291" t="s">
        <v>7909</v>
      </c>
      <c r="AC291" t="s">
        <v>7910</v>
      </c>
      <c r="AE291">
        <v>71518.58</v>
      </c>
      <c r="AF291" t="s">
        <v>87</v>
      </c>
      <c r="AG291" t="s">
        <v>143</v>
      </c>
    </row>
    <row r="292" spans="1:33" x14ac:dyDescent="0.25">
      <c r="A292">
        <v>28206</v>
      </c>
      <c r="B292" t="s">
        <v>32</v>
      </c>
      <c r="C292">
        <v>6</v>
      </c>
      <c r="D292" t="s">
        <v>7911</v>
      </c>
      <c r="E292" t="s">
        <v>70</v>
      </c>
      <c r="F292" t="s">
        <v>130</v>
      </c>
      <c r="G292" t="s">
        <v>131</v>
      </c>
      <c r="H292" t="s">
        <v>132</v>
      </c>
      <c r="I292" t="s">
        <v>7881</v>
      </c>
      <c r="J292" t="s">
        <v>7912</v>
      </c>
      <c r="K292" t="s">
        <v>36</v>
      </c>
      <c r="L292" t="s">
        <v>33</v>
      </c>
      <c r="M292">
        <v>20453830323</v>
      </c>
      <c r="N292" t="s">
        <v>286</v>
      </c>
      <c r="P292" t="s">
        <v>136</v>
      </c>
      <c r="Q292" t="s">
        <v>2494</v>
      </c>
      <c r="R292" t="s">
        <v>7913</v>
      </c>
      <c r="S292">
        <v>94164.479999999996</v>
      </c>
      <c r="T292" t="s">
        <v>40</v>
      </c>
      <c r="U292">
        <f>+IF(Tabla1[[#This Row],[MONEDA]]="PEN",Tabla1[[#This Row],[MONTO]],Tabla1[[#This Row],[MONTO]]*3.56)</f>
        <v>94164.479999999996</v>
      </c>
      <c r="X292" t="s">
        <v>139</v>
      </c>
      <c r="Y292" t="s">
        <v>42</v>
      </c>
      <c r="Z292" t="s">
        <v>511</v>
      </c>
      <c r="AA292" t="s">
        <v>7914</v>
      </c>
      <c r="AB292" t="s">
        <v>7915</v>
      </c>
      <c r="AC292" t="s">
        <v>7916</v>
      </c>
      <c r="AE292">
        <v>94164.479999999996</v>
      </c>
      <c r="AF292" t="s">
        <v>87</v>
      </c>
      <c r="AG292" t="s">
        <v>143</v>
      </c>
    </row>
    <row r="293" spans="1:33" hidden="1" x14ac:dyDescent="0.25">
      <c r="A293">
        <v>28135</v>
      </c>
      <c r="B293" t="s">
        <v>32</v>
      </c>
      <c r="C293">
        <v>1</v>
      </c>
      <c r="D293" t="s">
        <v>7946</v>
      </c>
      <c r="E293" t="s">
        <v>70</v>
      </c>
      <c r="F293" t="s">
        <v>33</v>
      </c>
      <c r="G293" t="s">
        <v>71</v>
      </c>
      <c r="H293" t="s">
        <v>72</v>
      </c>
      <c r="I293" t="s">
        <v>7947</v>
      </c>
      <c r="J293" t="s">
        <v>7948</v>
      </c>
      <c r="K293" t="s">
        <v>36</v>
      </c>
      <c r="L293" t="s">
        <v>33</v>
      </c>
      <c r="M293">
        <v>20453830323</v>
      </c>
      <c r="N293" t="s">
        <v>286</v>
      </c>
      <c r="O293" t="s">
        <v>76</v>
      </c>
      <c r="P293" t="s">
        <v>38</v>
      </c>
      <c r="Q293" t="s">
        <v>1091</v>
      </c>
      <c r="R293" t="s">
        <v>7949</v>
      </c>
      <c r="S293">
        <v>550</v>
      </c>
      <c r="T293" t="s">
        <v>40</v>
      </c>
      <c r="U293">
        <f>+IF(Tabla1[[#This Row],[MONEDA]]="PEN",Tabla1[[#This Row],[MONTO]],Tabla1[[#This Row],[MONTO]]*3.56)</f>
        <v>550</v>
      </c>
      <c r="X293" t="s">
        <v>81</v>
      </c>
      <c r="Y293" t="s">
        <v>42</v>
      </c>
      <c r="Z293" t="s">
        <v>43</v>
      </c>
      <c r="AA293" t="s">
        <v>7950</v>
      </c>
      <c r="AB293" t="s">
        <v>7951</v>
      </c>
      <c r="AC293" t="s">
        <v>7952</v>
      </c>
      <c r="AD293" t="s">
        <v>7953</v>
      </c>
      <c r="AE293">
        <v>550</v>
      </c>
      <c r="AF293" t="s">
        <v>87</v>
      </c>
      <c r="AG293" t="s">
        <v>169</v>
      </c>
    </row>
    <row r="294" spans="1:33" hidden="1" x14ac:dyDescent="0.25">
      <c r="A294">
        <v>28040</v>
      </c>
      <c r="B294" t="s">
        <v>32</v>
      </c>
      <c r="C294">
        <v>1</v>
      </c>
      <c r="D294" t="s">
        <v>7975</v>
      </c>
      <c r="E294" t="s">
        <v>70</v>
      </c>
      <c r="F294" t="s">
        <v>33</v>
      </c>
      <c r="G294" t="s">
        <v>71</v>
      </c>
      <c r="H294" t="s">
        <v>72</v>
      </c>
      <c r="I294" t="s">
        <v>7968</v>
      </c>
      <c r="J294" t="s">
        <v>7976</v>
      </c>
      <c r="K294" t="s">
        <v>36</v>
      </c>
      <c r="L294" t="s">
        <v>33</v>
      </c>
      <c r="M294">
        <v>20453830323</v>
      </c>
      <c r="N294" t="s">
        <v>286</v>
      </c>
      <c r="O294" t="s">
        <v>76</v>
      </c>
      <c r="P294" t="s">
        <v>38</v>
      </c>
      <c r="Q294">
        <v>21596760472045</v>
      </c>
      <c r="R294" t="s">
        <v>7977</v>
      </c>
      <c r="S294">
        <v>1007</v>
      </c>
      <c r="T294" t="s">
        <v>40</v>
      </c>
      <c r="U294">
        <f>+IF(Tabla1[[#This Row],[MONEDA]]="PEN",Tabla1[[#This Row],[MONTO]],Tabla1[[#This Row],[MONTO]]*3.56)</f>
        <v>1007</v>
      </c>
      <c r="V294" t="s">
        <v>639</v>
      </c>
      <c r="X294" t="s">
        <v>81</v>
      </c>
      <c r="Y294" t="s">
        <v>42</v>
      </c>
      <c r="Z294" t="s">
        <v>43</v>
      </c>
      <c r="AA294" t="s">
        <v>7978</v>
      </c>
      <c r="AB294" t="s">
        <v>7979</v>
      </c>
      <c r="AC294" t="s">
        <v>7980</v>
      </c>
      <c r="AE294">
        <v>1007</v>
      </c>
      <c r="AF294" t="s">
        <v>87</v>
      </c>
      <c r="AG294" t="s">
        <v>169</v>
      </c>
    </row>
    <row r="295" spans="1:33" x14ac:dyDescent="0.25">
      <c r="A295">
        <v>27912</v>
      </c>
      <c r="B295" t="s">
        <v>32</v>
      </c>
      <c r="C295">
        <v>1</v>
      </c>
      <c r="D295" t="s">
        <v>8034</v>
      </c>
      <c r="E295" t="s">
        <v>70</v>
      </c>
      <c r="F295" t="s">
        <v>90</v>
      </c>
      <c r="G295" t="s">
        <v>91</v>
      </c>
      <c r="H295" t="s">
        <v>72</v>
      </c>
      <c r="I295" t="s">
        <v>8035</v>
      </c>
      <c r="J295" t="s">
        <v>8036</v>
      </c>
      <c r="K295" t="s">
        <v>36</v>
      </c>
      <c r="L295" t="s">
        <v>33</v>
      </c>
      <c r="M295">
        <v>20453830323</v>
      </c>
      <c r="N295" t="s">
        <v>286</v>
      </c>
      <c r="O295" t="s">
        <v>1747</v>
      </c>
      <c r="P295" t="s">
        <v>38</v>
      </c>
      <c r="Q295">
        <v>54091403732025</v>
      </c>
      <c r="R295" t="s">
        <v>8037</v>
      </c>
      <c r="S295">
        <v>290</v>
      </c>
      <c r="T295" t="s">
        <v>40</v>
      </c>
      <c r="U295">
        <f>+IF(Tabla1[[#This Row],[MONEDA]]="PEN",Tabla1[[#This Row],[MONTO]],Tabla1[[#This Row],[MONTO]]*3.56)</f>
        <v>290</v>
      </c>
      <c r="X295" t="s">
        <v>41</v>
      </c>
      <c r="Y295" t="s">
        <v>42</v>
      </c>
      <c r="Z295" t="s">
        <v>43</v>
      </c>
      <c r="AA295" t="s">
        <v>8038</v>
      </c>
      <c r="AB295" t="s">
        <v>8039</v>
      </c>
      <c r="AC295" t="s">
        <v>8040</v>
      </c>
      <c r="AD295" t="s">
        <v>8041</v>
      </c>
      <c r="AE295">
        <v>290</v>
      </c>
      <c r="AF295" t="s">
        <v>87</v>
      </c>
      <c r="AG295" t="s">
        <v>169</v>
      </c>
    </row>
    <row r="296" spans="1:33" x14ac:dyDescent="0.25">
      <c r="A296">
        <v>27871</v>
      </c>
      <c r="B296" t="s">
        <v>32</v>
      </c>
      <c r="C296">
        <v>1</v>
      </c>
      <c r="D296" t="s">
        <v>8092</v>
      </c>
      <c r="E296" t="s">
        <v>70</v>
      </c>
      <c r="F296" t="s">
        <v>90</v>
      </c>
      <c r="G296" t="s">
        <v>91</v>
      </c>
      <c r="H296" t="s">
        <v>72</v>
      </c>
      <c r="I296" t="s">
        <v>8093</v>
      </c>
      <c r="J296" t="s">
        <v>8094</v>
      </c>
      <c r="K296" t="s">
        <v>36</v>
      </c>
      <c r="L296" t="s">
        <v>33</v>
      </c>
      <c r="M296">
        <v>20453830323</v>
      </c>
      <c r="N296" t="s">
        <v>286</v>
      </c>
      <c r="O296" t="s">
        <v>7100</v>
      </c>
      <c r="P296" t="s">
        <v>38</v>
      </c>
      <c r="Q296" t="s">
        <v>7101</v>
      </c>
      <c r="R296" t="s">
        <v>8095</v>
      </c>
      <c r="S296">
        <v>1200</v>
      </c>
      <c r="T296" t="s">
        <v>40</v>
      </c>
      <c r="U296">
        <f>+IF(Tabla1[[#This Row],[MONEDA]]="PEN",Tabla1[[#This Row],[MONTO]],Tabla1[[#This Row],[MONTO]]*3.56)</f>
        <v>1200</v>
      </c>
      <c r="X296" t="s">
        <v>41</v>
      </c>
      <c r="Y296" t="s">
        <v>42</v>
      </c>
      <c r="Z296" t="s">
        <v>43</v>
      </c>
      <c r="AA296" t="s">
        <v>8096</v>
      </c>
      <c r="AB296" t="s">
        <v>8097</v>
      </c>
      <c r="AC296" t="s">
        <v>8098</v>
      </c>
      <c r="AD296" t="s">
        <v>8099</v>
      </c>
      <c r="AE296">
        <v>1200</v>
      </c>
      <c r="AF296" t="s">
        <v>87</v>
      </c>
      <c r="AG296" t="s">
        <v>169</v>
      </c>
    </row>
    <row r="297" spans="1:33" x14ac:dyDescent="0.25">
      <c r="A297">
        <v>27873</v>
      </c>
      <c r="B297" t="s">
        <v>32</v>
      </c>
      <c r="C297">
        <v>1</v>
      </c>
      <c r="D297" t="s">
        <v>8100</v>
      </c>
      <c r="E297" t="s">
        <v>70</v>
      </c>
      <c r="F297" t="s">
        <v>90</v>
      </c>
      <c r="G297" t="s">
        <v>91</v>
      </c>
      <c r="H297" t="s">
        <v>72</v>
      </c>
      <c r="I297" t="s">
        <v>8093</v>
      </c>
      <c r="J297" t="s">
        <v>8101</v>
      </c>
      <c r="K297" t="s">
        <v>36</v>
      </c>
      <c r="L297" t="s">
        <v>33</v>
      </c>
      <c r="M297">
        <v>20453830323</v>
      </c>
      <c r="N297" t="s">
        <v>286</v>
      </c>
      <c r="O297" t="s">
        <v>7100</v>
      </c>
      <c r="P297" t="s">
        <v>38</v>
      </c>
      <c r="Q297" t="s">
        <v>7101</v>
      </c>
      <c r="R297" t="s">
        <v>8102</v>
      </c>
      <c r="S297">
        <v>520</v>
      </c>
      <c r="T297" t="s">
        <v>40</v>
      </c>
      <c r="U297">
        <f>+IF(Tabla1[[#This Row],[MONEDA]]="PEN",Tabla1[[#This Row],[MONTO]],Tabla1[[#This Row],[MONTO]]*3.56)</f>
        <v>520</v>
      </c>
      <c r="X297" t="s">
        <v>41</v>
      </c>
      <c r="Y297" t="s">
        <v>42</v>
      </c>
      <c r="Z297" t="s">
        <v>43</v>
      </c>
      <c r="AA297" t="s">
        <v>8103</v>
      </c>
      <c r="AB297" t="s">
        <v>8104</v>
      </c>
      <c r="AC297" t="s">
        <v>8105</v>
      </c>
      <c r="AD297" t="s">
        <v>8106</v>
      </c>
      <c r="AE297">
        <v>520</v>
      </c>
      <c r="AF297" t="s">
        <v>87</v>
      </c>
      <c r="AG297" t="s">
        <v>169</v>
      </c>
    </row>
    <row r="298" spans="1:33" x14ac:dyDescent="0.25">
      <c r="A298">
        <v>27852</v>
      </c>
      <c r="B298" t="s">
        <v>32</v>
      </c>
      <c r="C298">
        <v>1</v>
      </c>
      <c r="D298" t="s">
        <v>8108</v>
      </c>
      <c r="E298" t="s">
        <v>70</v>
      </c>
      <c r="F298" t="s">
        <v>90</v>
      </c>
      <c r="G298" t="s">
        <v>91</v>
      </c>
      <c r="H298" t="s">
        <v>72</v>
      </c>
      <c r="I298" t="s">
        <v>8107</v>
      </c>
      <c r="J298" t="s">
        <v>8109</v>
      </c>
      <c r="K298" t="s">
        <v>36</v>
      </c>
      <c r="L298" t="s">
        <v>33</v>
      </c>
      <c r="M298">
        <v>20453830323</v>
      </c>
      <c r="N298" t="s">
        <v>286</v>
      </c>
      <c r="O298" t="s">
        <v>7403</v>
      </c>
      <c r="P298" t="s">
        <v>38</v>
      </c>
      <c r="Q298" t="s">
        <v>7404</v>
      </c>
      <c r="R298" t="s">
        <v>8110</v>
      </c>
      <c r="S298">
        <v>800</v>
      </c>
      <c r="T298" t="s">
        <v>40</v>
      </c>
      <c r="U298">
        <f>+IF(Tabla1[[#This Row],[MONEDA]]="PEN",Tabla1[[#This Row],[MONTO]],Tabla1[[#This Row],[MONTO]]*3.56)</f>
        <v>800</v>
      </c>
      <c r="X298" t="s">
        <v>41</v>
      </c>
      <c r="Y298" t="s">
        <v>42</v>
      </c>
      <c r="Z298" t="s">
        <v>82</v>
      </c>
      <c r="AA298" t="s">
        <v>8111</v>
      </c>
      <c r="AB298" t="s">
        <v>8112</v>
      </c>
      <c r="AC298" t="s">
        <v>8113</v>
      </c>
      <c r="AD298" t="s">
        <v>8114</v>
      </c>
      <c r="AE298">
        <v>800</v>
      </c>
      <c r="AF298" t="s">
        <v>87</v>
      </c>
      <c r="AG298" t="s">
        <v>169</v>
      </c>
    </row>
    <row r="299" spans="1:33" x14ac:dyDescent="0.25">
      <c r="A299">
        <v>27716</v>
      </c>
      <c r="B299" t="s">
        <v>32</v>
      </c>
      <c r="C299">
        <v>3</v>
      </c>
      <c r="D299" t="s">
        <v>8159</v>
      </c>
      <c r="E299" t="s">
        <v>70</v>
      </c>
      <c r="F299" t="s">
        <v>6276</v>
      </c>
      <c r="G299" t="s">
        <v>6277</v>
      </c>
      <c r="H299" t="s">
        <v>72</v>
      </c>
      <c r="I299" t="s">
        <v>8145</v>
      </c>
      <c r="J299" t="s">
        <v>8160</v>
      </c>
      <c r="K299" t="s">
        <v>36</v>
      </c>
      <c r="L299" t="s">
        <v>33</v>
      </c>
      <c r="M299">
        <v>20453830323</v>
      </c>
      <c r="N299" t="s">
        <v>286</v>
      </c>
      <c r="O299" t="s">
        <v>6277</v>
      </c>
      <c r="P299" t="s">
        <v>38</v>
      </c>
      <c r="Q299" t="s">
        <v>8161</v>
      </c>
      <c r="R299" t="s">
        <v>8162</v>
      </c>
      <c r="S299">
        <v>74.900000000000006</v>
      </c>
      <c r="T299" t="s">
        <v>40</v>
      </c>
      <c r="U299">
        <f>+IF(Tabla1[[#This Row],[MONEDA]]="PEN",Tabla1[[#This Row],[MONTO]],Tabla1[[#This Row],[MONTO]]*3.56)</f>
        <v>74.900000000000006</v>
      </c>
      <c r="X299" t="s">
        <v>41</v>
      </c>
      <c r="Y299" t="s">
        <v>42</v>
      </c>
      <c r="Z299" t="s">
        <v>82</v>
      </c>
      <c r="AA299" t="s">
        <v>8163</v>
      </c>
      <c r="AB299" t="s">
        <v>8164</v>
      </c>
      <c r="AC299" t="s">
        <v>8165</v>
      </c>
      <c r="AD299" t="s">
        <v>8166</v>
      </c>
      <c r="AE299">
        <v>74.900000000000006</v>
      </c>
      <c r="AF299" t="s">
        <v>87</v>
      </c>
      <c r="AG299" t="s">
        <v>169</v>
      </c>
    </row>
    <row r="300" spans="1:33" x14ac:dyDescent="0.25">
      <c r="A300">
        <v>27320</v>
      </c>
      <c r="B300" t="s">
        <v>32</v>
      </c>
      <c r="C300">
        <v>1</v>
      </c>
      <c r="D300" t="s">
        <v>8398</v>
      </c>
      <c r="E300" t="s">
        <v>70</v>
      </c>
      <c r="F300" t="s">
        <v>90</v>
      </c>
      <c r="G300" t="s">
        <v>91</v>
      </c>
      <c r="H300" t="s">
        <v>72</v>
      </c>
      <c r="I300" t="s">
        <v>8362</v>
      </c>
      <c r="J300" t="s">
        <v>8399</v>
      </c>
      <c r="K300" t="s">
        <v>36</v>
      </c>
      <c r="L300" t="s">
        <v>33</v>
      </c>
      <c r="M300">
        <v>20453830323</v>
      </c>
      <c r="N300" t="s">
        <v>286</v>
      </c>
      <c r="O300" t="s">
        <v>3501</v>
      </c>
      <c r="P300" t="s">
        <v>38</v>
      </c>
      <c r="Q300">
        <v>54097769097085</v>
      </c>
      <c r="R300" t="s">
        <v>8400</v>
      </c>
      <c r="S300">
        <v>1400</v>
      </c>
      <c r="T300" t="s">
        <v>40</v>
      </c>
      <c r="U300">
        <f>+IF(Tabla1[[#This Row],[MONEDA]]="PEN",Tabla1[[#This Row],[MONTO]],Tabla1[[#This Row],[MONTO]]*3.56)</f>
        <v>1400</v>
      </c>
      <c r="X300" t="s">
        <v>41</v>
      </c>
      <c r="Y300" t="s">
        <v>42</v>
      </c>
      <c r="Z300" t="s">
        <v>43</v>
      </c>
      <c r="AA300" t="s">
        <v>8148</v>
      </c>
      <c r="AB300" t="s">
        <v>8401</v>
      </c>
      <c r="AC300" t="s">
        <v>8402</v>
      </c>
      <c r="AD300" t="s">
        <v>8403</v>
      </c>
      <c r="AE300">
        <v>1400</v>
      </c>
      <c r="AF300" t="s">
        <v>87</v>
      </c>
      <c r="AG300" t="s">
        <v>169</v>
      </c>
    </row>
    <row r="301" spans="1:33" x14ac:dyDescent="0.25">
      <c r="A301">
        <v>27268</v>
      </c>
      <c r="B301" t="s">
        <v>32</v>
      </c>
      <c r="C301">
        <v>1</v>
      </c>
      <c r="D301" t="s">
        <v>8584</v>
      </c>
      <c r="E301" t="s">
        <v>70</v>
      </c>
      <c r="F301" t="s">
        <v>90</v>
      </c>
      <c r="G301" t="s">
        <v>91</v>
      </c>
      <c r="H301" t="s">
        <v>72</v>
      </c>
      <c r="I301" t="s">
        <v>8560</v>
      </c>
      <c r="J301" t="s">
        <v>8585</v>
      </c>
      <c r="K301" t="s">
        <v>36</v>
      </c>
      <c r="L301" t="s">
        <v>33</v>
      </c>
      <c r="M301">
        <v>20453830323</v>
      </c>
      <c r="N301" t="s">
        <v>286</v>
      </c>
      <c r="O301" t="s">
        <v>7100</v>
      </c>
      <c r="P301" t="s">
        <v>38</v>
      </c>
      <c r="Q301" t="s">
        <v>7101</v>
      </c>
      <c r="R301" t="s">
        <v>8586</v>
      </c>
      <c r="S301">
        <v>320</v>
      </c>
      <c r="T301" t="s">
        <v>40</v>
      </c>
      <c r="U301">
        <f>+IF(Tabla1[[#This Row],[MONEDA]]="PEN",Tabla1[[#This Row],[MONTO]],Tabla1[[#This Row],[MONTO]]*3.56)</f>
        <v>320</v>
      </c>
      <c r="X301" t="s">
        <v>41</v>
      </c>
      <c r="Y301" t="s">
        <v>42</v>
      </c>
      <c r="Z301" t="s">
        <v>43</v>
      </c>
      <c r="AA301" t="s">
        <v>8587</v>
      </c>
      <c r="AB301" t="s">
        <v>8588</v>
      </c>
      <c r="AC301" t="s">
        <v>8589</v>
      </c>
      <c r="AD301" t="s">
        <v>8590</v>
      </c>
      <c r="AE301">
        <v>320</v>
      </c>
      <c r="AF301" t="s">
        <v>87</v>
      </c>
      <c r="AG301" t="s">
        <v>169</v>
      </c>
    </row>
    <row r="302" spans="1:33" x14ac:dyDescent="0.25">
      <c r="A302">
        <v>27269</v>
      </c>
      <c r="B302" t="s">
        <v>32</v>
      </c>
      <c r="C302">
        <v>1</v>
      </c>
      <c r="D302" t="s">
        <v>8591</v>
      </c>
      <c r="E302" t="s">
        <v>70</v>
      </c>
      <c r="F302" t="s">
        <v>90</v>
      </c>
      <c r="G302" t="s">
        <v>91</v>
      </c>
      <c r="H302" t="s">
        <v>72</v>
      </c>
      <c r="I302" t="s">
        <v>8560</v>
      </c>
      <c r="J302" t="s">
        <v>8592</v>
      </c>
      <c r="K302" t="s">
        <v>36</v>
      </c>
      <c r="L302" t="s">
        <v>33</v>
      </c>
      <c r="M302">
        <v>20453830323</v>
      </c>
      <c r="N302" t="s">
        <v>286</v>
      </c>
      <c r="O302" t="s">
        <v>7403</v>
      </c>
      <c r="P302" t="s">
        <v>38</v>
      </c>
      <c r="Q302" t="s">
        <v>7404</v>
      </c>
      <c r="R302" t="s">
        <v>8593</v>
      </c>
      <c r="S302">
        <v>800</v>
      </c>
      <c r="T302" t="s">
        <v>40</v>
      </c>
      <c r="U302">
        <f>+IF(Tabla1[[#This Row],[MONEDA]]="PEN",Tabla1[[#This Row],[MONTO]],Tabla1[[#This Row],[MONTO]]*3.56)</f>
        <v>800</v>
      </c>
      <c r="X302" t="s">
        <v>41</v>
      </c>
      <c r="Y302" t="s">
        <v>42</v>
      </c>
      <c r="Z302" t="s">
        <v>43</v>
      </c>
      <c r="AA302" t="s">
        <v>8594</v>
      </c>
      <c r="AB302" t="s">
        <v>8595</v>
      </c>
      <c r="AC302" t="s">
        <v>8596</v>
      </c>
      <c r="AD302" t="s">
        <v>8597</v>
      </c>
      <c r="AE302">
        <v>800</v>
      </c>
      <c r="AF302" t="s">
        <v>87</v>
      </c>
      <c r="AG302" t="s">
        <v>169</v>
      </c>
    </row>
    <row r="303" spans="1:33" x14ac:dyDescent="0.25">
      <c r="A303">
        <v>27270</v>
      </c>
      <c r="B303" t="s">
        <v>32</v>
      </c>
      <c r="C303">
        <v>1</v>
      </c>
      <c r="D303" t="s">
        <v>8598</v>
      </c>
      <c r="E303" t="s">
        <v>70</v>
      </c>
      <c r="F303" t="s">
        <v>90</v>
      </c>
      <c r="G303" t="s">
        <v>91</v>
      </c>
      <c r="H303" t="s">
        <v>72</v>
      </c>
      <c r="I303" t="s">
        <v>8560</v>
      </c>
      <c r="J303" t="s">
        <v>8599</v>
      </c>
      <c r="K303" t="s">
        <v>36</v>
      </c>
      <c r="L303" t="s">
        <v>33</v>
      </c>
      <c r="M303">
        <v>20453830323</v>
      </c>
      <c r="N303" t="s">
        <v>286</v>
      </c>
      <c r="O303" t="s">
        <v>1747</v>
      </c>
      <c r="P303" t="s">
        <v>38</v>
      </c>
      <c r="Q303">
        <v>56504396470027</v>
      </c>
      <c r="R303" t="s">
        <v>8600</v>
      </c>
      <c r="S303">
        <v>1000</v>
      </c>
      <c r="T303" t="s">
        <v>40</v>
      </c>
      <c r="U303">
        <f>+IF(Tabla1[[#This Row],[MONEDA]]="PEN",Tabla1[[#This Row],[MONTO]],Tabla1[[#This Row],[MONTO]]*3.56)</f>
        <v>1000</v>
      </c>
      <c r="X303" t="s">
        <v>41</v>
      </c>
      <c r="Y303" t="s">
        <v>42</v>
      </c>
      <c r="Z303" t="s">
        <v>43</v>
      </c>
      <c r="AA303" t="s">
        <v>8601</v>
      </c>
      <c r="AB303" t="s">
        <v>8602</v>
      </c>
      <c r="AC303" t="s">
        <v>8603</v>
      </c>
      <c r="AD303" t="s">
        <v>8604</v>
      </c>
      <c r="AE303">
        <v>1000</v>
      </c>
      <c r="AF303" t="s">
        <v>87</v>
      </c>
      <c r="AG303" t="s">
        <v>169</v>
      </c>
    </row>
    <row r="304" spans="1:33" hidden="1" x14ac:dyDescent="0.25">
      <c r="A304">
        <v>27185</v>
      </c>
      <c r="B304" t="s">
        <v>32</v>
      </c>
      <c r="C304">
        <v>1</v>
      </c>
      <c r="D304" t="s">
        <v>8670</v>
      </c>
      <c r="E304" t="s">
        <v>70</v>
      </c>
      <c r="F304" t="s">
        <v>33</v>
      </c>
      <c r="G304" t="s">
        <v>71</v>
      </c>
      <c r="H304" t="s">
        <v>72</v>
      </c>
      <c r="I304" t="s">
        <v>8664</v>
      </c>
      <c r="J304" t="s">
        <v>8671</v>
      </c>
      <c r="K304" t="s">
        <v>36</v>
      </c>
      <c r="L304" t="s">
        <v>33</v>
      </c>
      <c r="M304">
        <v>20453830323</v>
      </c>
      <c r="N304" t="s">
        <v>286</v>
      </c>
      <c r="O304" t="s">
        <v>76</v>
      </c>
      <c r="P304" t="s">
        <v>38</v>
      </c>
      <c r="Q304" t="s">
        <v>1091</v>
      </c>
      <c r="R304" t="s">
        <v>8672</v>
      </c>
      <c r="S304">
        <v>400</v>
      </c>
      <c r="T304" t="s">
        <v>40</v>
      </c>
      <c r="U304">
        <f>+IF(Tabla1[[#This Row],[MONEDA]]="PEN",Tabla1[[#This Row],[MONTO]],Tabla1[[#This Row],[MONTO]]*3.56)</f>
        <v>400</v>
      </c>
      <c r="V304" t="s">
        <v>639</v>
      </c>
      <c r="X304" t="s">
        <v>41</v>
      </c>
      <c r="Y304" t="s">
        <v>42</v>
      </c>
      <c r="Z304" t="s">
        <v>43</v>
      </c>
      <c r="AA304" t="s">
        <v>8673</v>
      </c>
      <c r="AB304" t="s">
        <v>8674</v>
      </c>
      <c r="AC304" t="s">
        <v>8675</v>
      </c>
      <c r="AE304">
        <v>400</v>
      </c>
      <c r="AF304" t="s">
        <v>87</v>
      </c>
      <c r="AG304" t="s">
        <v>169</v>
      </c>
    </row>
    <row r="305" spans="1:33" hidden="1" x14ac:dyDescent="0.25">
      <c r="A305">
        <v>27036</v>
      </c>
      <c r="B305" t="s">
        <v>32</v>
      </c>
      <c r="C305">
        <v>2</v>
      </c>
      <c r="D305" t="s">
        <v>8718</v>
      </c>
      <c r="E305" t="s">
        <v>70</v>
      </c>
      <c r="F305" t="s">
        <v>33</v>
      </c>
      <c r="G305" t="s">
        <v>71</v>
      </c>
      <c r="H305" t="s">
        <v>72</v>
      </c>
      <c r="I305" t="s">
        <v>8711</v>
      </c>
      <c r="J305" t="s">
        <v>8719</v>
      </c>
      <c r="K305" t="s">
        <v>36</v>
      </c>
      <c r="L305" t="s">
        <v>33</v>
      </c>
      <c r="M305">
        <v>20453830323</v>
      </c>
      <c r="N305" t="s">
        <v>286</v>
      </c>
      <c r="O305" t="s">
        <v>76</v>
      </c>
      <c r="P305" t="s">
        <v>38</v>
      </c>
      <c r="Q305">
        <v>21596760472045</v>
      </c>
      <c r="R305" t="s">
        <v>8720</v>
      </c>
      <c r="S305">
        <v>2000</v>
      </c>
      <c r="T305" t="s">
        <v>40</v>
      </c>
      <c r="U305">
        <f>+IF(Tabla1[[#This Row],[MONEDA]]="PEN",Tabla1[[#This Row],[MONTO]],Tabla1[[#This Row],[MONTO]]*3.56)</f>
        <v>2000</v>
      </c>
      <c r="V305" t="s">
        <v>639</v>
      </c>
      <c r="X305" t="s">
        <v>81</v>
      </c>
      <c r="Y305" t="s">
        <v>42</v>
      </c>
      <c r="Z305" t="s">
        <v>43</v>
      </c>
      <c r="AA305" t="s">
        <v>8721</v>
      </c>
      <c r="AC305" t="s">
        <v>8722</v>
      </c>
      <c r="AE305">
        <v>2000</v>
      </c>
      <c r="AF305" t="s">
        <v>87</v>
      </c>
      <c r="AG305" t="s">
        <v>169</v>
      </c>
    </row>
    <row r="306" spans="1:33" x14ac:dyDescent="0.25">
      <c r="A306">
        <v>26927</v>
      </c>
      <c r="B306" t="s">
        <v>32</v>
      </c>
      <c r="C306">
        <v>1</v>
      </c>
      <c r="D306" t="s">
        <v>8810</v>
      </c>
      <c r="E306" t="s">
        <v>70</v>
      </c>
      <c r="F306" t="s">
        <v>36</v>
      </c>
      <c r="G306" t="s">
        <v>72</v>
      </c>
      <c r="H306" t="s">
        <v>72</v>
      </c>
      <c r="I306" t="s">
        <v>8811</v>
      </c>
      <c r="J306" t="s">
        <v>8812</v>
      </c>
      <c r="K306" t="s">
        <v>36</v>
      </c>
      <c r="L306" t="s">
        <v>33</v>
      </c>
      <c r="M306">
        <v>20453830323</v>
      </c>
      <c r="N306" t="s">
        <v>286</v>
      </c>
      <c r="O306" t="s">
        <v>1705</v>
      </c>
      <c r="P306" t="s">
        <v>77</v>
      </c>
      <c r="Q306">
        <v>24597290475132</v>
      </c>
      <c r="R306" t="s">
        <v>8813</v>
      </c>
      <c r="S306">
        <v>5000</v>
      </c>
      <c r="T306" t="s">
        <v>80</v>
      </c>
      <c r="U306">
        <f>+IF(Tabla1[[#This Row],[MONEDA]]="PEN",Tabla1[[#This Row],[MONTO]],Tabla1[[#This Row],[MONTO]]*3.56)</f>
        <v>17800</v>
      </c>
      <c r="X306" t="s">
        <v>81</v>
      </c>
      <c r="Y306" t="s">
        <v>42</v>
      </c>
      <c r="Z306" t="s">
        <v>43</v>
      </c>
      <c r="AA306" t="s">
        <v>8814</v>
      </c>
      <c r="AC306" t="s">
        <v>8815</v>
      </c>
      <c r="AE306">
        <v>5000</v>
      </c>
      <c r="AF306" t="s">
        <v>87</v>
      </c>
      <c r="AG306" t="s">
        <v>88</v>
      </c>
    </row>
    <row r="307" spans="1:33" hidden="1" x14ac:dyDescent="0.25">
      <c r="A307">
        <v>26714</v>
      </c>
      <c r="B307" t="s">
        <v>32</v>
      </c>
      <c r="C307">
        <v>1</v>
      </c>
      <c r="D307" t="s">
        <v>9215</v>
      </c>
      <c r="E307" t="s">
        <v>70</v>
      </c>
      <c r="F307" t="s">
        <v>33</v>
      </c>
      <c r="G307" t="s">
        <v>71</v>
      </c>
      <c r="H307" t="s">
        <v>72</v>
      </c>
      <c r="I307" t="s">
        <v>9216</v>
      </c>
      <c r="J307" t="s">
        <v>9217</v>
      </c>
      <c r="K307" t="s">
        <v>36</v>
      </c>
      <c r="L307" t="s">
        <v>33</v>
      </c>
      <c r="M307">
        <v>20453830323</v>
      </c>
      <c r="N307" t="s">
        <v>286</v>
      </c>
      <c r="O307" t="s">
        <v>76</v>
      </c>
      <c r="R307" t="s">
        <v>9218</v>
      </c>
      <c r="S307">
        <v>2</v>
      </c>
      <c r="T307" t="s">
        <v>40</v>
      </c>
      <c r="U307">
        <f>+IF(Tabla1[[#This Row],[MONEDA]]="PEN",Tabla1[[#This Row],[MONTO]],Tabla1[[#This Row],[MONTO]]*3.56)</f>
        <v>2</v>
      </c>
      <c r="V307" t="s">
        <v>190</v>
      </c>
      <c r="W307">
        <v>25256</v>
      </c>
      <c r="X307" t="s">
        <v>81</v>
      </c>
      <c r="Y307" t="s">
        <v>42</v>
      </c>
      <c r="Z307" t="s">
        <v>43</v>
      </c>
      <c r="AA307" t="s">
        <v>9219</v>
      </c>
      <c r="AC307" t="s">
        <v>9220</v>
      </c>
    </row>
    <row r="308" spans="1:33" x14ac:dyDescent="0.25">
      <c r="A308">
        <v>26397</v>
      </c>
      <c r="B308" t="s">
        <v>32</v>
      </c>
      <c r="C308">
        <v>1</v>
      </c>
      <c r="D308" t="s">
        <v>9294</v>
      </c>
      <c r="E308" t="s">
        <v>70</v>
      </c>
      <c r="F308" t="s">
        <v>90</v>
      </c>
      <c r="G308" t="s">
        <v>91</v>
      </c>
      <c r="H308" t="s">
        <v>72</v>
      </c>
      <c r="I308" t="s">
        <v>9295</v>
      </c>
      <c r="J308" t="s">
        <v>9296</v>
      </c>
      <c r="K308" t="s">
        <v>36</v>
      </c>
      <c r="L308" t="s">
        <v>33</v>
      </c>
      <c r="M308">
        <v>20453830323</v>
      </c>
      <c r="N308" t="s">
        <v>286</v>
      </c>
      <c r="O308" t="s">
        <v>1747</v>
      </c>
      <c r="P308" t="s">
        <v>38</v>
      </c>
      <c r="Q308">
        <v>54091403732025</v>
      </c>
      <c r="R308" t="s">
        <v>9297</v>
      </c>
      <c r="S308">
        <v>2000</v>
      </c>
      <c r="T308" t="s">
        <v>40</v>
      </c>
      <c r="U308">
        <f>+IF(Tabla1[[#This Row],[MONEDA]]="PEN",Tabla1[[#This Row],[MONTO]],Tabla1[[#This Row],[MONTO]]*3.56)</f>
        <v>2000</v>
      </c>
      <c r="V308" t="s">
        <v>639</v>
      </c>
      <c r="X308" t="s">
        <v>41</v>
      </c>
      <c r="Y308" t="s">
        <v>51</v>
      </c>
      <c r="Z308" t="s">
        <v>43</v>
      </c>
      <c r="AA308" t="s">
        <v>9298</v>
      </c>
      <c r="AC308" t="s">
        <v>9299</v>
      </c>
      <c r="AE308">
        <v>2000</v>
      </c>
      <c r="AF308" t="s">
        <v>87</v>
      </c>
      <c r="AG308" t="s">
        <v>169</v>
      </c>
    </row>
    <row r="309" spans="1:33" hidden="1" x14ac:dyDescent="0.25">
      <c r="A309">
        <v>26301</v>
      </c>
      <c r="B309" t="s">
        <v>32</v>
      </c>
      <c r="C309">
        <v>2</v>
      </c>
      <c r="D309" t="s">
        <v>9336</v>
      </c>
      <c r="E309" t="s">
        <v>70</v>
      </c>
      <c r="F309" t="s">
        <v>33</v>
      </c>
      <c r="G309" t="s">
        <v>71</v>
      </c>
      <c r="H309" t="s">
        <v>72</v>
      </c>
      <c r="I309" t="s">
        <v>9337</v>
      </c>
      <c r="J309" t="s">
        <v>9338</v>
      </c>
      <c r="K309" t="s">
        <v>36</v>
      </c>
      <c r="L309" t="s">
        <v>33</v>
      </c>
      <c r="M309">
        <v>20453830323</v>
      </c>
      <c r="N309" t="s">
        <v>286</v>
      </c>
      <c r="O309" t="s">
        <v>76</v>
      </c>
      <c r="P309" t="s">
        <v>38</v>
      </c>
      <c r="Q309">
        <v>21596760472045</v>
      </c>
      <c r="R309" t="s">
        <v>8720</v>
      </c>
      <c r="S309">
        <v>2000</v>
      </c>
      <c r="T309" t="s">
        <v>40</v>
      </c>
      <c r="U309">
        <f>+IF(Tabla1[[#This Row],[MONEDA]]="PEN",Tabla1[[#This Row],[MONTO]],Tabla1[[#This Row],[MONTO]]*3.56)</f>
        <v>2000</v>
      </c>
      <c r="V309" t="s">
        <v>639</v>
      </c>
      <c r="X309" t="s">
        <v>81</v>
      </c>
      <c r="Y309" t="s">
        <v>42</v>
      </c>
      <c r="Z309" t="s">
        <v>82</v>
      </c>
      <c r="AA309" t="s">
        <v>9339</v>
      </c>
      <c r="AC309" t="s">
        <v>9340</v>
      </c>
      <c r="AE309">
        <v>2000</v>
      </c>
      <c r="AF309" t="s">
        <v>87</v>
      </c>
      <c r="AG309" t="s">
        <v>169</v>
      </c>
    </row>
    <row r="310" spans="1:33" x14ac:dyDescent="0.25">
      <c r="A310">
        <v>26137</v>
      </c>
      <c r="B310" t="s">
        <v>32</v>
      </c>
      <c r="C310">
        <v>1</v>
      </c>
      <c r="D310" t="s">
        <v>9414</v>
      </c>
      <c r="E310" t="s">
        <v>70</v>
      </c>
      <c r="F310" t="s">
        <v>90</v>
      </c>
      <c r="G310" t="s">
        <v>91</v>
      </c>
      <c r="H310" t="s">
        <v>72</v>
      </c>
      <c r="I310" t="s">
        <v>9415</v>
      </c>
      <c r="J310" t="s">
        <v>9416</v>
      </c>
      <c r="K310" t="s">
        <v>36</v>
      </c>
      <c r="L310" t="s">
        <v>33</v>
      </c>
      <c r="M310">
        <v>20453830323</v>
      </c>
      <c r="N310" t="s">
        <v>286</v>
      </c>
      <c r="O310" t="s">
        <v>3501</v>
      </c>
      <c r="P310" t="s">
        <v>38</v>
      </c>
      <c r="Q310">
        <v>54097769097085</v>
      </c>
      <c r="R310" t="s">
        <v>9417</v>
      </c>
      <c r="S310">
        <v>1400</v>
      </c>
      <c r="T310" t="s">
        <v>40</v>
      </c>
      <c r="U310">
        <f>+IF(Tabla1[[#This Row],[MONEDA]]="PEN",Tabla1[[#This Row],[MONTO]],Tabla1[[#This Row],[MONTO]]*3.56)</f>
        <v>1400</v>
      </c>
      <c r="X310" t="s">
        <v>41</v>
      </c>
      <c r="Y310" t="s">
        <v>42</v>
      </c>
      <c r="Z310" t="s">
        <v>43</v>
      </c>
      <c r="AA310" t="s">
        <v>9418</v>
      </c>
      <c r="AB310" t="s">
        <v>9419</v>
      </c>
      <c r="AC310" t="s">
        <v>9420</v>
      </c>
      <c r="AD310" t="s">
        <v>9421</v>
      </c>
      <c r="AE310">
        <v>1400</v>
      </c>
      <c r="AF310" t="s">
        <v>87</v>
      </c>
      <c r="AG310" t="s">
        <v>169</v>
      </c>
    </row>
    <row r="311" spans="1:33" x14ac:dyDescent="0.25">
      <c r="A311">
        <v>26062</v>
      </c>
      <c r="B311" t="s">
        <v>32</v>
      </c>
      <c r="C311">
        <v>1</v>
      </c>
      <c r="D311" t="s">
        <v>9425</v>
      </c>
      <c r="E311" t="s">
        <v>70</v>
      </c>
      <c r="F311" t="s">
        <v>90</v>
      </c>
      <c r="G311" t="s">
        <v>91</v>
      </c>
      <c r="H311" t="s">
        <v>72</v>
      </c>
      <c r="I311" t="s">
        <v>9424</v>
      </c>
      <c r="J311" t="s">
        <v>9426</v>
      </c>
      <c r="K311" t="s">
        <v>36</v>
      </c>
      <c r="L311" t="s">
        <v>33</v>
      </c>
      <c r="M311">
        <v>20453830323</v>
      </c>
      <c r="N311" t="s">
        <v>286</v>
      </c>
      <c r="O311" t="s">
        <v>9427</v>
      </c>
      <c r="P311" t="s">
        <v>38</v>
      </c>
      <c r="Q311">
        <v>21595685003013</v>
      </c>
      <c r="R311" t="s">
        <v>9428</v>
      </c>
      <c r="S311">
        <v>1400</v>
      </c>
      <c r="T311" t="s">
        <v>40</v>
      </c>
      <c r="U311">
        <f>+IF(Tabla1[[#This Row],[MONEDA]]="PEN",Tabla1[[#This Row],[MONTO]],Tabla1[[#This Row],[MONTO]]*3.56)</f>
        <v>1400</v>
      </c>
      <c r="X311" t="s">
        <v>41</v>
      </c>
      <c r="Y311" t="s">
        <v>42</v>
      </c>
      <c r="Z311" t="s">
        <v>43</v>
      </c>
      <c r="AA311" t="s">
        <v>9429</v>
      </c>
      <c r="AC311" t="s">
        <v>9430</v>
      </c>
      <c r="AD311" t="s">
        <v>9431</v>
      </c>
      <c r="AE311">
        <v>1400</v>
      </c>
      <c r="AF311" t="s">
        <v>87</v>
      </c>
      <c r="AG311" t="s">
        <v>169</v>
      </c>
    </row>
    <row r="312" spans="1:33" hidden="1" x14ac:dyDescent="0.25">
      <c r="A312">
        <v>25908</v>
      </c>
      <c r="B312" t="s">
        <v>32</v>
      </c>
      <c r="C312">
        <v>1</v>
      </c>
      <c r="D312" t="s">
        <v>9468</v>
      </c>
      <c r="E312" t="s">
        <v>70</v>
      </c>
      <c r="F312" t="s">
        <v>33</v>
      </c>
      <c r="G312" t="s">
        <v>71</v>
      </c>
      <c r="H312" t="s">
        <v>72</v>
      </c>
      <c r="I312" t="s">
        <v>9469</v>
      </c>
      <c r="J312" t="s">
        <v>9470</v>
      </c>
      <c r="K312" t="s">
        <v>36</v>
      </c>
      <c r="L312" t="s">
        <v>33</v>
      </c>
      <c r="M312">
        <v>20453830323</v>
      </c>
      <c r="N312" t="s">
        <v>286</v>
      </c>
      <c r="O312" t="s">
        <v>76</v>
      </c>
      <c r="P312" t="s">
        <v>38</v>
      </c>
      <c r="Q312">
        <v>21596760472045</v>
      </c>
      <c r="R312" t="s">
        <v>9471</v>
      </c>
      <c r="S312">
        <v>2000</v>
      </c>
      <c r="T312" t="s">
        <v>40</v>
      </c>
      <c r="U312">
        <f>+IF(Tabla1[[#This Row],[MONEDA]]="PEN",Tabla1[[#This Row],[MONTO]],Tabla1[[#This Row],[MONTO]]*3.56)</f>
        <v>2000</v>
      </c>
      <c r="V312" t="s">
        <v>639</v>
      </c>
      <c r="X312" t="s">
        <v>81</v>
      </c>
      <c r="Y312" t="s">
        <v>42</v>
      </c>
      <c r="Z312" t="s">
        <v>82</v>
      </c>
      <c r="AA312" t="s">
        <v>9472</v>
      </c>
      <c r="AC312" t="s">
        <v>9473</v>
      </c>
      <c r="AE312">
        <v>2000</v>
      </c>
      <c r="AF312" t="s">
        <v>87</v>
      </c>
      <c r="AG312" t="s">
        <v>169</v>
      </c>
    </row>
    <row r="313" spans="1:33" x14ac:dyDescent="0.25">
      <c r="A313">
        <v>25594</v>
      </c>
      <c r="B313" t="s">
        <v>9703</v>
      </c>
      <c r="C313">
        <v>1</v>
      </c>
      <c r="D313" t="s">
        <v>9704</v>
      </c>
      <c r="E313" t="s">
        <v>70</v>
      </c>
      <c r="F313" t="s">
        <v>6276</v>
      </c>
      <c r="G313" t="s">
        <v>6277</v>
      </c>
      <c r="H313" t="s">
        <v>6277</v>
      </c>
      <c r="I313" t="s">
        <v>9705</v>
      </c>
      <c r="J313" t="s">
        <v>9706</v>
      </c>
      <c r="K313" t="s">
        <v>36</v>
      </c>
      <c r="L313" t="s">
        <v>33</v>
      </c>
      <c r="M313">
        <v>20453830323</v>
      </c>
      <c r="N313" t="s">
        <v>286</v>
      </c>
      <c r="O313" t="s">
        <v>6277</v>
      </c>
      <c r="P313" t="s">
        <v>38</v>
      </c>
      <c r="Q313" t="s">
        <v>8161</v>
      </c>
      <c r="R313" t="s">
        <v>9707</v>
      </c>
      <c r="S313">
        <v>69.900000000000006</v>
      </c>
      <c r="T313" t="s">
        <v>40</v>
      </c>
      <c r="U313">
        <f>+IF(Tabla1[[#This Row],[MONEDA]]="PEN",Tabla1[[#This Row],[MONTO]],Tabla1[[#This Row],[MONTO]]*3.56)</f>
        <v>69.900000000000006</v>
      </c>
      <c r="X313" t="s">
        <v>41</v>
      </c>
      <c r="Y313" t="s">
        <v>42</v>
      </c>
      <c r="Z313" t="s">
        <v>82</v>
      </c>
      <c r="AA313" t="s">
        <v>9708</v>
      </c>
      <c r="AB313" t="s">
        <v>9709</v>
      </c>
      <c r="AC313" t="s">
        <v>9710</v>
      </c>
      <c r="AD313" t="s">
        <v>9711</v>
      </c>
      <c r="AE313">
        <v>69.900000000000006</v>
      </c>
      <c r="AF313" t="s">
        <v>87</v>
      </c>
      <c r="AG313" t="s">
        <v>169</v>
      </c>
    </row>
    <row r="314" spans="1:33" hidden="1" x14ac:dyDescent="0.25">
      <c r="A314">
        <v>25256</v>
      </c>
      <c r="B314" t="s">
        <v>32</v>
      </c>
      <c r="C314">
        <v>1</v>
      </c>
      <c r="D314" t="s">
        <v>10032</v>
      </c>
      <c r="E314" t="s">
        <v>70</v>
      </c>
      <c r="F314" t="s">
        <v>33</v>
      </c>
      <c r="G314" t="s">
        <v>71</v>
      </c>
      <c r="H314" t="s">
        <v>72</v>
      </c>
      <c r="I314" t="s">
        <v>10018</v>
      </c>
      <c r="J314" t="s">
        <v>10033</v>
      </c>
      <c r="K314" t="s">
        <v>36</v>
      </c>
      <c r="L314" t="s">
        <v>33</v>
      </c>
      <c r="M314">
        <v>20453830323</v>
      </c>
      <c r="N314" t="s">
        <v>286</v>
      </c>
      <c r="O314" t="s">
        <v>76</v>
      </c>
      <c r="P314" t="s">
        <v>38</v>
      </c>
      <c r="Q314">
        <v>21596760472045</v>
      </c>
      <c r="R314" t="s">
        <v>8720</v>
      </c>
      <c r="S314">
        <v>2000</v>
      </c>
      <c r="T314" t="s">
        <v>40</v>
      </c>
      <c r="U314">
        <f>+IF(Tabla1[[#This Row],[MONEDA]]="PEN",Tabla1[[#This Row],[MONTO]],Tabla1[[#This Row],[MONTO]]*3.56)</f>
        <v>2000</v>
      </c>
      <c r="V314" t="s">
        <v>639</v>
      </c>
      <c r="X314" t="s">
        <v>81</v>
      </c>
      <c r="Y314" t="s">
        <v>42</v>
      </c>
      <c r="Z314" t="s">
        <v>43</v>
      </c>
      <c r="AA314" t="s">
        <v>10034</v>
      </c>
      <c r="AC314" t="s">
        <v>10035</v>
      </c>
      <c r="AE314">
        <v>2000</v>
      </c>
      <c r="AF314" t="s">
        <v>87</v>
      </c>
      <c r="AG314" t="s">
        <v>169</v>
      </c>
    </row>
    <row r="315" spans="1:33" hidden="1" x14ac:dyDescent="0.25">
      <c r="A315">
        <v>24394</v>
      </c>
      <c r="B315" t="s">
        <v>32</v>
      </c>
      <c r="C315">
        <v>1</v>
      </c>
      <c r="D315" t="s">
        <v>10163</v>
      </c>
      <c r="E315" t="s">
        <v>70</v>
      </c>
      <c r="F315" t="s">
        <v>33</v>
      </c>
      <c r="G315" t="s">
        <v>71</v>
      </c>
      <c r="H315" t="s">
        <v>72</v>
      </c>
      <c r="I315" t="s">
        <v>10164</v>
      </c>
      <c r="J315" t="s">
        <v>10165</v>
      </c>
      <c r="K315" t="s">
        <v>36</v>
      </c>
      <c r="L315" t="s">
        <v>33</v>
      </c>
      <c r="M315">
        <v>20453830323</v>
      </c>
      <c r="N315" t="s">
        <v>286</v>
      </c>
      <c r="O315" t="s">
        <v>76</v>
      </c>
      <c r="P315" t="s">
        <v>38</v>
      </c>
      <c r="Q315" t="s">
        <v>1091</v>
      </c>
      <c r="R315" t="s">
        <v>10166</v>
      </c>
      <c r="S315">
        <v>800</v>
      </c>
      <c r="T315" t="s">
        <v>40</v>
      </c>
      <c r="U315">
        <f>+IF(Tabla1[[#This Row],[MONEDA]]="PEN",Tabla1[[#This Row],[MONTO]],Tabla1[[#This Row],[MONTO]]*3.56)</f>
        <v>800</v>
      </c>
      <c r="V315" t="s">
        <v>639</v>
      </c>
      <c r="X315" t="s">
        <v>81</v>
      </c>
      <c r="Y315" t="s">
        <v>42</v>
      </c>
      <c r="Z315" t="s">
        <v>43</v>
      </c>
      <c r="AA315" t="s">
        <v>10167</v>
      </c>
      <c r="AB315" t="s">
        <v>10168</v>
      </c>
      <c r="AC315" t="s">
        <v>10169</v>
      </c>
      <c r="AD315" t="s">
        <v>10170</v>
      </c>
      <c r="AE315">
        <v>800</v>
      </c>
      <c r="AF315" t="s">
        <v>87</v>
      </c>
      <c r="AG315" t="s">
        <v>169</v>
      </c>
    </row>
    <row r="316" spans="1:33" hidden="1" x14ac:dyDescent="0.25">
      <c r="A316">
        <v>24390</v>
      </c>
      <c r="B316" t="s">
        <v>32</v>
      </c>
      <c r="C316">
        <v>2</v>
      </c>
      <c r="D316" t="s">
        <v>10332</v>
      </c>
      <c r="E316" t="s">
        <v>70</v>
      </c>
      <c r="F316" t="s">
        <v>1275</v>
      </c>
      <c r="G316" t="s">
        <v>10333</v>
      </c>
      <c r="H316" t="s">
        <v>3703</v>
      </c>
      <c r="I316" t="s">
        <v>10334</v>
      </c>
      <c r="J316" t="s">
        <v>10334</v>
      </c>
      <c r="K316" t="s">
        <v>36</v>
      </c>
      <c r="L316" t="s">
        <v>33</v>
      </c>
      <c r="M316">
        <v>20453830323</v>
      </c>
      <c r="N316" t="s">
        <v>286</v>
      </c>
      <c r="O316" t="s">
        <v>10333</v>
      </c>
      <c r="R316" t="s">
        <v>10335</v>
      </c>
      <c r="S316">
        <v>1</v>
      </c>
      <c r="T316" t="s">
        <v>40</v>
      </c>
      <c r="U316">
        <f>+IF(Tabla1[[#This Row],[MONEDA]]="PEN",Tabla1[[#This Row],[MONTO]],Tabla1[[#This Row],[MONTO]]*3.56)</f>
        <v>1</v>
      </c>
      <c r="V316" t="s">
        <v>190</v>
      </c>
      <c r="W316">
        <v>22824</v>
      </c>
      <c r="X316" t="s">
        <v>81</v>
      </c>
      <c r="Y316" t="s">
        <v>42</v>
      </c>
      <c r="Z316" t="s">
        <v>82</v>
      </c>
      <c r="AA316" t="s">
        <v>10336</v>
      </c>
      <c r="AC316" t="s">
        <v>10337</v>
      </c>
    </row>
    <row r="317" spans="1:33" hidden="1" x14ac:dyDescent="0.25">
      <c r="A317">
        <v>24389</v>
      </c>
      <c r="B317" t="s">
        <v>32</v>
      </c>
      <c r="C317">
        <v>2</v>
      </c>
      <c r="D317" t="s">
        <v>10338</v>
      </c>
      <c r="E317" t="s">
        <v>70</v>
      </c>
      <c r="F317" t="s">
        <v>1275</v>
      </c>
      <c r="G317" t="s">
        <v>10333</v>
      </c>
      <c r="H317" t="s">
        <v>3703</v>
      </c>
      <c r="I317" t="s">
        <v>10339</v>
      </c>
      <c r="J317" t="s">
        <v>10339</v>
      </c>
      <c r="K317" t="s">
        <v>36</v>
      </c>
      <c r="L317" t="s">
        <v>33</v>
      </c>
      <c r="M317">
        <v>20453830323</v>
      </c>
      <c r="N317" t="s">
        <v>286</v>
      </c>
      <c r="O317" t="s">
        <v>10333</v>
      </c>
      <c r="R317" t="s">
        <v>10340</v>
      </c>
      <c r="S317">
        <v>70</v>
      </c>
      <c r="T317" t="s">
        <v>40</v>
      </c>
      <c r="U317">
        <f>+IF(Tabla1[[#This Row],[MONEDA]]="PEN",Tabla1[[#This Row],[MONTO]],Tabla1[[#This Row],[MONTO]]*3.56)</f>
        <v>70</v>
      </c>
      <c r="V317" t="s">
        <v>190</v>
      </c>
      <c r="W317">
        <v>22824</v>
      </c>
      <c r="X317" t="s">
        <v>828</v>
      </c>
      <c r="Y317" t="s">
        <v>42</v>
      </c>
      <c r="Z317" t="s">
        <v>82</v>
      </c>
      <c r="AA317" t="s">
        <v>10341</v>
      </c>
      <c r="AC317" t="s">
        <v>10342</v>
      </c>
      <c r="AD317" t="s">
        <v>10343</v>
      </c>
    </row>
    <row r="318" spans="1:33" x14ac:dyDescent="0.25">
      <c r="A318">
        <v>24171</v>
      </c>
      <c r="B318" t="s">
        <v>32</v>
      </c>
      <c r="C318">
        <v>1</v>
      </c>
      <c r="D318" t="s">
        <v>10637</v>
      </c>
      <c r="E318" t="s">
        <v>70</v>
      </c>
      <c r="F318" t="s">
        <v>90</v>
      </c>
      <c r="G318" t="s">
        <v>91</v>
      </c>
      <c r="H318" t="s">
        <v>72</v>
      </c>
      <c r="I318" t="s">
        <v>10623</v>
      </c>
      <c r="J318" t="s">
        <v>10638</v>
      </c>
      <c r="K318" t="s">
        <v>36</v>
      </c>
      <c r="L318" t="s">
        <v>33</v>
      </c>
      <c r="M318">
        <v>20453830323</v>
      </c>
      <c r="N318" t="s">
        <v>286</v>
      </c>
      <c r="O318" t="s">
        <v>3501</v>
      </c>
      <c r="P318" t="s">
        <v>38</v>
      </c>
      <c r="Q318">
        <v>54097769097085</v>
      </c>
      <c r="R318" t="s">
        <v>10639</v>
      </c>
      <c r="S318">
        <v>1428</v>
      </c>
      <c r="T318" t="s">
        <v>40</v>
      </c>
      <c r="U318">
        <f>+IF(Tabla1[[#This Row],[MONEDA]]="PEN",Tabla1[[#This Row],[MONTO]],Tabla1[[#This Row],[MONTO]]*3.56)</f>
        <v>1428</v>
      </c>
      <c r="X318" t="s">
        <v>41</v>
      </c>
      <c r="Y318" t="s">
        <v>42</v>
      </c>
      <c r="Z318" t="s">
        <v>43</v>
      </c>
      <c r="AA318" t="s">
        <v>10640</v>
      </c>
      <c r="AB318" t="s">
        <v>10641</v>
      </c>
      <c r="AC318" t="s">
        <v>10642</v>
      </c>
      <c r="AD318" t="s">
        <v>10643</v>
      </c>
      <c r="AE318">
        <v>1428</v>
      </c>
      <c r="AF318" t="s">
        <v>87</v>
      </c>
      <c r="AG318" t="s">
        <v>169</v>
      </c>
    </row>
    <row r="319" spans="1:33" hidden="1" x14ac:dyDescent="0.25">
      <c r="A319">
        <v>23633</v>
      </c>
      <c r="B319" t="s">
        <v>32</v>
      </c>
      <c r="C319">
        <v>2</v>
      </c>
      <c r="D319" t="s">
        <v>11076</v>
      </c>
      <c r="E319" t="s">
        <v>70</v>
      </c>
      <c r="F319" t="s">
        <v>33</v>
      </c>
      <c r="G319" t="s">
        <v>71</v>
      </c>
      <c r="H319" t="s">
        <v>72</v>
      </c>
      <c r="I319" t="s">
        <v>11077</v>
      </c>
      <c r="J319" t="s">
        <v>11102</v>
      </c>
      <c r="K319" t="s">
        <v>36</v>
      </c>
      <c r="L319" t="s">
        <v>33</v>
      </c>
      <c r="M319">
        <v>20453830323</v>
      </c>
      <c r="N319" t="s">
        <v>286</v>
      </c>
      <c r="O319" t="s">
        <v>76</v>
      </c>
      <c r="R319" t="s">
        <v>4977</v>
      </c>
      <c r="S319">
        <v>10</v>
      </c>
      <c r="T319" t="s">
        <v>40</v>
      </c>
      <c r="U319">
        <f>+IF(Tabla1[[#This Row],[MONEDA]]="PEN",Tabla1[[#This Row],[MONTO]],Tabla1[[#This Row],[MONTO]]*3.56)</f>
        <v>10</v>
      </c>
      <c r="V319" t="s">
        <v>190</v>
      </c>
      <c r="W319">
        <v>21454</v>
      </c>
      <c r="X319" t="s">
        <v>81</v>
      </c>
      <c r="Y319" t="s">
        <v>42</v>
      </c>
      <c r="Z319" t="s">
        <v>43</v>
      </c>
      <c r="AA319" t="s">
        <v>11103</v>
      </c>
      <c r="AC319" t="s">
        <v>11104</v>
      </c>
    </row>
    <row r="320" spans="1:33" hidden="1" x14ac:dyDescent="0.25">
      <c r="A320">
        <v>23634</v>
      </c>
      <c r="B320" t="s">
        <v>32</v>
      </c>
      <c r="C320">
        <v>2</v>
      </c>
      <c r="D320" t="s">
        <v>11076</v>
      </c>
      <c r="E320" t="s">
        <v>70</v>
      </c>
      <c r="F320" t="s">
        <v>33</v>
      </c>
      <c r="G320" t="s">
        <v>71</v>
      </c>
      <c r="H320" t="s">
        <v>72</v>
      </c>
      <c r="I320" t="s">
        <v>11077</v>
      </c>
      <c r="J320" t="s">
        <v>11102</v>
      </c>
      <c r="K320" t="s">
        <v>36</v>
      </c>
      <c r="L320" t="s">
        <v>33</v>
      </c>
      <c r="M320">
        <v>20453830323</v>
      </c>
      <c r="N320" t="s">
        <v>286</v>
      </c>
      <c r="O320" t="s">
        <v>76</v>
      </c>
      <c r="R320" t="s">
        <v>4977</v>
      </c>
      <c r="S320">
        <v>14</v>
      </c>
      <c r="T320" t="s">
        <v>40</v>
      </c>
      <c r="U320">
        <f>+IF(Tabla1[[#This Row],[MONEDA]]="PEN",Tabla1[[#This Row],[MONTO]],Tabla1[[#This Row],[MONTO]]*3.56)</f>
        <v>14</v>
      </c>
      <c r="V320" t="s">
        <v>190</v>
      </c>
      <c r="W320">
        <v>21454</v>
      </c>
      <c r="X320" t="s">
        <v>81</v>
      </c>
      <c r="Y320" t="s">
        <v>42</v>
      </c>
      <c r="Z320" t="s">
        <v>43</v>
      </c>
      <c r="AA320" t="s">
        <v>11105</v>
      </c>
      <c r="AC320" t="s">
        <v>11106</v>
      </c>
    </row>
    <row r="321" spans="1:33" hidden="1" x14ac:dyDescent="0.25">
      <c r="A321">
        <v>23635</v>
      </c>
      <c r="B321" t="s">
        <v>32</v>
      </c>
      <c r="C321">
        <v>2</v>
      </c>
      <c r="D321" t="s">
        <v>11076</v>
      </c>
      <c r="E321" t="s">
        <v>70</v>
      </c>
      <c r="F321" t="s">
        <v>33</v>
      </c>
      <c r="G321" t="s">
        <v>71</v>
      </c>
      <c r="H321" t="s">
        <v>72</v>
      </c>
      <c r="I321" t="s">
        <v>11077</v>
      </c>
      <c r="J321" t="s">
        <v>11102</v>
      </c>
      <c r="K321" t="s">
        <v>36</v>
      </c>
      <c r="L321" t="s">
        <v>33</v>
      </c>
      <c r="M321">
        <v>20453830323</v>
      </c>
      <c r="N321" t="s">
        <v>286</v>
      </c>
      <c r="O321" t="s">
        <v>76</v>
      </c>
      <c r="R321" t="s">
        <v>4977</v>
      </c>
      <c r="S321">
        <v>19</v>
      </c>
      <c r="T321" t="s">
        <v>40</v>
      </c>
      <c r="U321">
        <f>+IF(Tabla1[[#This Row],[MONEDA]]="PEN",Tabla1[[#This Row],[MONTO]],Tabla1[[#This Row],[MONTO]]*3.56)</f>
        <v>19</v>
      </c>
      <c r="V321" t="s">
        <v>190</v>
      </c>
      <c r="W321">
        <v>21454</v>
      </c>
      <c r="X321" t="s">
        <v>81</v>
      </c>
      <c r="Y321" t="s">
        <v>42</v>
      </c>
      <c r="Z321" t="s">
        <v>43</v>
      </c>
      <c r="AA321" t="s">
        <v>11107</v>
      </c>
      <c r="AC321" t="s">
        <v>11108</v>
      </c>
    </row>
    <row r="322" spans="1:33" hidden="1" x14ac:dyDescent="0.25">
      <c r="A322">
        <v>23636</v>
      </c>
      <c r="B322" t="s">
        <v>32</v>
      </c>
      <c r="C322">
        <v>2</v>
      </c>
      <c r="D322" t="s">
        <v>11076</v>
      </c>
      <c r="E322" t="s">
        <v>70</v>
      </c>
      <c r="F322" t="s">
        <v>33</v>
      </c>
      <c r="G322" t="s">
        <v>71</v>
      </c>
      <c r="H322" t="s">
        <v>72</v>
      </c>
      <c r="I322" t="s">
        <v>11077</v>
      </c>
      <c r="J322" t="s">
        <v>11102</v>
      </c>
      <c r="K322" t="s">
        <v>36</v>
      </c>
      <c r="L322" t="s">
        <v>33</v>
      </c>
      <c r="M322">
        <v>20453830323</v>
      </c>
      <c r="N322" t="s">
        <v>286</v>
      </c>
      <c r="O322" t="s">
        <v>76</v>
      </c>
      <c r="R322" t="s">
        <v>4977</v>
      </c>
      <c r="S322">
        <v>11.94</v>
      </c>
      <c r="T322" t="s">
        <v>40</v>
      </c>
      <c r="U322">
        <f>+IF(Tabla1[[#This Row],[MONEDA]]="PEN",Tabla1[[#This Row],[MONTO]],Tabla1[[#This Row],[MONTO]]*3.56)</f>
        <v>11.94</v>
      </c>
      <c r="V322" t="s">
        <v>190</v>
      </c>
      <c r="W322">
        <v>21454</v>
      </c>
      <c r="X322" t="s">
        <v>81</v>
      </c>
      <c r="Y322" t="s">
        <v>42</v>
      </c>
      <c r="Z322" t="s">
        <v>43</v>
      </c>
      <c r="AA322" t="s">
        <v>11109</v>
      </c>
      <c r="AC322" t="s">
        <v>11110</v>
      </c>
    </row>
    <row r="323" spans="1:33" x14ac:dyDescent="0.25">
      <c r="A323">
        <v>23199</v>
      </c>
      <c r="B323" t="s">
        <v>32</v>
      </c>
      <c r="C323">
        <v>1</v>
      </c>
      <c r="D323" t="s">
        <v>11282</v>
      </c>
      <c r="E323" t="s">
        <v>70</v>
      </c>
      <c r="F323" t="s">
        <v>90</v>
      </c>
      <c r="G323" t="s">
        <v>91</v>
      </c>
      <c r="H323" t="s">
        <v>72</v>
      </c>
      <c r="I323" t="s">
        <v>11283</v>
      </c>
      <c r="J323" t="s">
        <v>11284</v>
      </c>
      <c r="K323" t="s">
        <v>36</v>
      </c>
      <c r="L323" t="s">
        <v>33</v>
      </c>
      <c r="M323">
        <v>20453830323</v>
      </c>
      <c r="N323" t="s">
        <v>286</v>
      </c>
      <c r="O323" t="s">
        <v>7403</v>
      </c>
      <c r="P323" t="s">
        <v>38</v>
      </c>
      <c r="Q323" t="s">
        <v>7404</v>
      </c>
      <c r="R323" t="s">
        <v>11285</v>
      </c>
      <c r="S323">
        <v>309.67</v>
      </c>
      <c r="T323" t="s">
        <v>40</v>
      </c>
      <c r="U323">
        <f>+IF(Tabla1[[#This Row],[MONEDA]]="PEN",Tabla1[[#This Row],[MONTO]],Tabla1[[#This Row],[MONTO]]*3.56)</f>
        <v>309.67</v>
      </c>
      <c r="X323" t="s">
        <v>41</v>
      </c>
      <c r="Y323" t="s">
        <v>42</v>
      </c>
      <c r="Z323" t="s">
        <v>43</v>
      </c>
      <c r="AA323" t="s">
        <v>11286</v>
      </c>
      <c r="AC323" t="s">
        <v>11287</v>
      </c>
      <c r="AD323" t="s">
        <v>11288</v>
      </c>
      <c r="AE323">
        <v>309.67</v>
      </c>
      <c r="AF323" t="s">
        <v>87</v>
      </c>
      <c r="AG323" t="s">
        <v>169</v>
      </c>
    </row>
    <row r="324" spans="1:33" x14ac:dyDescent="0.25">
      <c r="A324">
        <v>23257</v>
      </c>
      <c r="B324" t="s">
        <v>32</v>
      </c>
      <c r="C324">
        <v>1</v>
      </c>
      <c r="D324" t="s">
        <v>11289</v>
      </c>
      <c r="E324" t="s">
        <v>70</v>
      </c>
      <c r="F324" t="s">
        <v>90</v>
      </c>
      <c r="G324" t="s">
        <v>91</v>
      </c>
      <c r="H324" t="s">
        <v>72</v>
      </c>
      <c r="I324" t="s">
        <v>11283</v>
      </c>
      <c r="J324" t="s">
        <v>11290</v>
      </c>
      <c r="K324" t="s">
        <v>36</v>
      </c>
      <c r="L324" t="s">
        <v>33</v>
      </c>
      <c r="M324">
        <v>20453830323</v>
      </c>
      <c r="N324" t="s">
        <v>286</v>
      </c>
      <c r="O324" t="s">
        <v>1747</v>
      </c>
      <c r="P324" t="s">
        <v>38</v>
      </c>
      <c r="Q324">
        <v>56504396470027</v>
      </c>
      <c r="R324" t="s">
        <v>11291</v>
      </c>
      <c r="S324">
        <v>1000</v>
      </c>
      <c r="T324" t="s">
        <v>40</v>
      </c>
      <c r="U324">
        <f>+IF(Tabla1[[#This Row],[MONEDA]]="PEN",Tabla1[[#This Row],[MONTO]],Tabla1[[#This Row],[MONTO]]*3.56)</f>
        <v>1000</v>
      </c>
      <c r="X324" t="s">
        <v>41</v>
      </c>
      <c r="Y324" t="s">
        <v>42</v>
      </c>
      <c r="Z324" t="s">
        <v>43</v>
      </c>
      <c r="AA324" t="s">
        <v>11292</v>
      </c>
      <c r="AC324" t="s">
        <v>11293</v>
      </c>
      <c r="AD324" t="s">
        <v>11294</v>
      </c>
      <c r="AE324">
        <v>1000</v>
      </c>
      <c r="AF324" t="s">
        <v>87</v>
      </c>
      <c r="AG324" t="s">
        <v>169</v>
      </c>
    </row>
    <row r="325" spans="1:33" x14ac:dyDescent="0.25">
      <c r="A325">
        <v>23258</v>
      </c>
      <c r="B325" t="s">
        <v>32</v>
      </c>
      <c r="C325">
        <v>1</v>
      </c>
      <c r="D325" t="s">
        <v>11371</v>
      </c>
      <c r="E325" t="s">
        <v>70</v>
      </c>
      <c r="F325" t="s">
        <v>90</v>
      </c>
      <c r="G325" t="s">
        <v>91</v>
      </c>
      <c r="H325" t="s">
        <v>9503</v>
      </c>
      <c r="I325" t="s">
        <v>11372</v>
      </c>
      <c r="J325" t="s">
        <v>11373</v>
      </c>
      <c r="K325" t="s">
        <v>36</v>
      </c>
      <c r="L325" t="s">
        <v>33</v>
      </c>
      <c r="M325">
        <v>20453830323</v>
      </c>
      <c r="N325" t="s">
        <v>286</v>
      </c>
      <c r="O325" t="s">
        <v>6477</v>
      </c>
      <c r="P325" t="s">
        <v>38</v>
      </c>
      <c r="Q325" t="s">
        <v>6478</v>
      </c>
      <c r="R325" t="s">
        <v>11374</v>
      </c>
      <c r="S325">
        <v>193.54</v>
      </c>
      <c r="T325" t="s">
        <v>40</v>
      </c>
      <c r="U325">
        <f>+IF(Tabla1[[#This Row],[MONEDA]]="PEN",Tabla1[[#This Row],[MONTO]],Tabla1[[#This Row],[MONTO]]*3.56)</f>
        <v>193.54</v>
      </c>
      <c r="X325" t="s">
        <v>41</v>
      </c>
      <c r="Y325" t="s">
        <v>42</v>
      </c>
      <c r="Z325" t="s">
        <v>43</v>
      </c>
      <c r="AA325" t="s">
        <v>11375</v>
      </c>
      <c r="AC325" t="s">
        <v>11376</v>
      </c>
      <c r="AD325" t="s">
        <v>11377</v>
      </c>
      <c r="AE325">
        <v>193.54</v>
      </c>
      <c r="AF325" t="s">
        <v>87</v>
      </c>
      <c r="AG325" t="s">
        <v>169</v>
      </c>
    </row>
    <row r="326" spans="1:33" hidden="1" x14ac:dyDescent="0.25">
      <c r="A326">
        <v>23138</v>
      </c>
      <c r="B326" t="s">
        <v>32</v>
      </c>
      <c r="C326">
        <v>1</v>
      </c>
      <c r="D326" t="s">
        <v>11489</v>
      </c>
      <c r="E326" t="s">
        <v>70</v>
      </c>
      <c r="F326" t="s">
        <v>33</v>
      </c>
      <c r="G326" t="s">
        <v>71</v>
      </c>
      <c r="H326" t="s">
        <v>72</v>
      </c>
      <c r="I326" t="s">
        <v>11490</v>
      </c>
      <c r="J326" t="s">
        <v>11491</v>
      </c>
      <c r="K326" t="s">
        <v>36</v>
      </c>
      <c r="L326" t="s">
        <v>33</v>
      </c>
      <c r="M326">
        <v>20453830323</v>
      </c>
      <c r="N326" t="s">
        <v>286</v>
      </c>
      <c r="O326" t="s">
        <v>76</v>
      </c>
      <c r="P326" t="s">
        <v>38</v>
      </c>
      <c r="Q326">
        <v>21596760472045</v>
      </c>
      <c r="R326" t="s">
        <v>8720</v>
      </c>
      <c r="S326">
        <v>2000</v>
      </c>
      <c r="T326" t="s">
        <v>40</v>
      </c>
      <c r="U326">
        <f>+IF(Tabla1[[#This Row],[MONEDA]]="PEN",Tabla1[[#This Row],[MONTO]],Tabla1[[#This Row],[MONTO]]*3.56)</f>
        <v>2000</v>
      </c>
      <c r="V326" t="s">
        <v>639</v>
      </c>
      <c r="X326" t="s">
        <v>81</v>
      </c>
      <c r="Y326" t="s">
        <v>42</v>
      </c>
      <c r="Z326" t="s">
        <v>43</v>
      </c>
      <c r="AA326" t="s">
        <v>11492</v>
      </c>
      <c r="AC326" t="s">
        <v>11493</v>
      </c>
      <c r="AE326">
        <v>2000</v>
      </c>
      <c r="AF326" t="s">
        <v>87</v>
      </c>
      <c r="AG326" t="s">
        <v>169</v>
      </c>
    </row>
    <row r="327" spans="1:33" x14ac:dyDescent="0.25">
      <c r="A327">
        <v>23048</v>
      </c>
      <c r="B327" t="s">
        <v>9703</v>
      </c>
      <c r="C327">
        <v>3</v>
      </c>
      <c r="D327" t="s">
        <v>11636</v>
      </c>
      <c r="E327" t="s">
        <v>70</v>
      </c>
      <c r="F327" t="s">
        <v>6276</v>
      </c>
      <c r="G327" t="s">
        <v>11637</v>
      </c>
      <c r="H327" t="s">
        <v>6277</v>
      </c>
      <c r="I327" t="s">
        <v>11638</v>
      </c>
      <c r="J327" t="s">
        <v>11639</v>
      </c>
      <c r="K327" t="s">
        <v>36</v>
      </c>
      <c r="L327" t="s">
        <v>33</v>
      </c>
      <c r="M327">
        <v>20453830323</v>
      </c>
      <c r="N327" t="s">
        <v>286</v>
      </c>
      <c r="O327" t="s">
        <v>6277</v>
      </c>
      <c r="P327" t="s">
        <v>38</v>
      </c>
      <c r="Q327" t="s">
        <v>8161</v>
      </c>
      <c r="R327" t="s">
        <v>11640</v>
      </c>
      <c r="S327">
        <v>77.400000000000006</v>
      </c>
      <c r="T327" t="s">
        <v>40</v>
      </c>
      <c r="U327">
        <f>+IF(Tabla1[[#This Row],[MONEDA]]="PEN",Tabla1[[#This Row],[MONTO]],Tabla1[[#This Row],[MONTO]]*3.56)</f>
        <v>77.400000000000006</v>
      </c>
      <c r="X327" t="s">
        <v>41</v>
      </c>
      <c r="Y327" t="s">
        <v>42</v>
      </c>
      <c r="Z327" t="s">
        <v>82</v>
      </c>
      <c r="AA327" t="s">
        <v>11641</v>
      </c>
      <c r="AB327" t="s">
        <v>11642</v>
      </c>
      <c r="AC327" t="s">
        <v>11643</v>
      </c>
      <c r="AD327" t="s">
        <v>11644</v>
      </c>
      <c r="AE327">
        <v>77.400000000000006</v>
      </c>
      <c r="AF327" t="s">
        <v>87</v>
      </c>
      <c r="AG327" t="s">
        <v>169</v>
      </c>
    </row>
    <row r="328" spans="1:33" x14ac:dyDescent="0.25">
      <c r="A328">
        <v>22824</v>
      </c>
      <c r="B328" t="s">
        <v>32</v>
      </c>
      <c r="C328">
        <v>2</v>
      </c>
      <c r="D328" t="s">
        <v>11670</v>
      </c>
      <c r="E328" t="s">
        <v>70</v>
      </c>
      <c r="F328" t="s">
        <v>1275</v>
      </c>
      <c r="G328" t="s">
        <v>10333</v>
      </c>
      <c r="H328" t="s">
        <v>3703</v>
      </c>
      <c r="I328" t="s">
        <v>11671</v>
      </c>
      <c r="J328" t="s">
        <v>11672</v>
      </c>
      <c r="K328" t="s">
        <v>36</v>
      </c>
      <c r="L328" t="s">
        <v>33</v>
      </c>
      <c r="M328">
        <v>20453830323</v>
      </c>
      <c r="N328" t="s">
        <v>286</v>
      </c>
      <c r="O328" t="s">
        <v>10333</v>
      </c>
      <c r="P328" t="s">
        <v>38</v>
      </c>
      <c r="Q328" t="s">
        <v>11673</v>
      </c>
      <c r="R328" t="s">
        <v>11674</v>
      </c>
      <c r="S328">
        <v>966.2</v>
      </c>
      <c r="T328" t="s">
        <v>40</v>
      </c>
      <c r="U328">
        <f>+IF(Tabla1[[#This Row],[MONEDA]]="PEN",Tabla1[[#This Row],[MONTO]],Tabla1[[#This Row],[MONTO]]*3.56)</f>
        <v>966.2</v>
      </c>
      <c r="V328" t="s">
        <v>639</v>
      </c>
      <c r="X328" t="s">
        <v>81</v>
      </c>
      <c r="Y328" t="s">
        <v>42</v>
      </c>
      <c r="Z328" t="s">
        <v>82</v>
      </c>
      <c r="AA328" t="s">
        <v>11675</v>
      </c>
      <c r="AB328" t="s">
        <v>11676</v>
      </c>
      <c r="AC328" t="s">
        <v>11677</v>
      </c>
      <c r="AE328">
        <v>966.2</v>
      </c>
      <c r="AF328" t="s">
        <v>87</v>
      </c>
      <c r="AG328" t="s">
        <v>169</v>
      </c>
    </row>
    <row r="329" spans="1:33" x14ac:dyDescent="0.25">
      <c r="A329">
        <v>21875</v>
      </c>
      <c r="B329" t="s">
        <v>32</v>
      </c>
      <c r="C329">
        <v>1</v>
      </c>
      <c r="D329" t="s">
        <v>12152</v>
      </c>
      <c r="E329" t="s">
        <v>70</v>
      </c>
      <c r="F329" t="s">
        <v>90</v>
      </c>
      <c r="G329" t="s">
        <v>91</v>
      </c>
      <c r="H329" t="s">
        <v>72</v>
      </c>
      <c r="I329" t="s">
        <v>12146</v>
      </c>
      <c r="J329" t="s">
        <v>12153</v>
      </c>
      <c r="K329" t="s">
        <v>36</v>
      </c>
      <c r="L329" t="s">
        <v>33</v>
      </c>
      <c r="M329">
        <v>20453830323</v>
      </c>
      <c r="N329" t="s">
        <v>286</v>
      </c>
      <c r="O329" t="s">
        <v>1747</v>
      </c>
      <c r="P329" t="s">
        <v>77</v>
      </c>
      <c r="Q329">
        <v>43002256819128</v>
      </c>
      <c r="R329" t="s">
        <v>12154</v>
      </c>
      <c r="S329">
        <v>85.57</v>
      </c>
      <c r="T329" t="s">
        <v>80</v>
      </c>
      <c r="U329">
        <f>+IF(Tabla1[[#This Row],[MONEDA]]="PEN",Tabla1[[#This Row],[MONTO]],Tabla1[[#This Row],[MONTO]]*3.56)</f>
        <v>304.62919999999997</v>
      </c>
      <c r="X329" t="s">
        <v>41</v>
      </c>
      <c r="Y329" t="s">
        <v>42</v>
      </c>
      <c r="Z329" t="s">
        <v>43</v>
      </c>
      <c r="AA329" t="s">
        <v>12155</v>
      </c>
      <c r="AC329" t="s">
        <v>12156</v>
      </c>
      <c r="AD329" t="s">
        <v>12157</v>
      </c>
      <c r="AE329">
        <v>85.57</v>
      </c>
      <c r="AF329" t="s">
        <v>87</v>
      </c>
      <c r="AG329" t="s">
        <v>88</v>
      </c>
    </row>
    <row r="330" spans="1:33" hidden="1" x14ac:dyDescent="0.25">
      <c r="A330">
        <v>21787</v>
      </c>
      <c r="B330" t="s">
        <v>32</v>
      </c>
      <c r="C330">
        <v>1</v>
      </c>
      <c r="D330" t="s">
        <v>12209</v>
      </c>
      <c r="E330" t="s">
        <v>70</v>
      </c>
      <c r="F330" t="s">
        <v>33</v>
      </c>
      <c r="G330" t="s">
        <v>71</v>
      </c>
      <c r="H330" t="s">
        <v>72</v>
      </c>
      <c r="I330" t="s">
        <v>12202</v>
      </c>
      <c r="J330" t="s">
        <v>12210</v>
      </c>
      <c r="K330" t="s">
        <v>36</v>
      </c>
      <c r="L330" t="s">
        <v>33</v>
      </c>
      <c r="M330">
        <v>20453830323</v>
      </c>
      <c r="N330" t="s">
        <v>286</v>
      </c>
      <c r="O330" t="s">
        <v>76</v>
      </c>
      <c r="P330" t="s">
        <v>38</v>
      </c>
      <c r="Q330">
        <v>21596760472045</v>
      </c>
      <c r="R330" t="s">
        <v>5405</v>
      </c>
      <c r="S330">
        <v>2000</v>
      </c>
      <c r="T330" t="s">
        <v>40</v>
      </c>
      <c r="U330">
        <f>+IF(Tabla1[[#This Row],[MONEDA]]="PEN",Tabla1[[#This Row],[MONTO]],Tabla1[[#This Row],[MONTO]]*3.56)</f>
        <v>2000</v>
      </c>
      <c r="V330" t="s">
        <v>639</v>
      </c>
      <c r="X330" t="s">
        <v>81</v>
      </c>
      <c r="Y330" t="s">
        <v>42</v>
      </c>
      <c r="Z330" t="s">
        <v>43</v>
      </c>
      <c r="AA330" t="s">
        <v>12211</v>
      </c>
      <c r="AC330" t="s">
        <v>12212</v>
      </c>
      <c r="AE330">
        <v>2000</v>
      </c>
      <c r="AF330" t="s">
        <v>87</v>
      </c>
      <c r="AG330" t="s">
        <v>169</v>
      </c>
    </row>
    <row r="331" spans="1:33" hidden="1" x14ac:dyDescent="0.25">
      <c r="A331">
        <v>21455</v>
      </c>
      <c r="B331" t="s">
        <v>32</v>
      </c>
      <c r="C331">
        <v>1</v>
      </c>
      <c r="D331" t="s">
        <v>12319</v>
      </c>
      <c r="E331" t="s">
        <v>70</v>
      </c>
      <c r="F331" t="s">
        <v>33</v>
      </c>
      <c r="G331" t="s">
        <v>71</v>
      </c>
      <c r="H331" t="s">
        <v>72</v>
      </c>
      <c r="I331" t="s">
        <v>12320</v>
      </c>
      <c r="J331" t="s">
        <v>12321</v>
      </c>
      <c r="K331" t="s">
        <v>36</v>
      </c>
      <c r="L331" t="s">
        <v>33</v>
      </c>
      <c r="M331">
        <v>20453830323</v>
      </c>
      <c r="N331" t="s">
        <v>286</v>
      </c>
      <c r="O331" t="s">
        <v>76</v>
      </c>
      <c r="P331" t="s">
        <v>38</v>
      </c>
      <c r="Q331">
        <v>21596760472045</v>
      </c>
      <c r="R331" t="s">
        <v>12322</v>
      </c>
      <c r="S331">
        <v>1300</v>
      </c>
      <c r="T331" t="s">
        <v>40</v>
      </c>
      <c r="U331">
        <f>+IF(Tabla1[[#This Row],[MONEDA]]="PEN",Tabla1[[#This Row],[MONTO]],Tabla1[[#This Row],[MONTO]]*3.56)</f>
        <v>1300</v>
      </c>
      <c r="V331" t="s">
        <v>639</v>
      </c>
      <c r="X331" t="s">
        <v>81</v>
      </c>
      <c r="Y331" t="s">
        <v>42</v>
      </c>
      <c r="Z331" t="s">
        <v>82</v>
      </c>
      <c r="AA331" t="s">
        <v>12323</v>
      </c>
      <c r="AB331" t="s">
        <v>12324</v>
      </c>
      <c r="AC331" t="s">
        <v>12325</v>
      </c>
      <c r="AE331">
        <v>1300</v>
      </c>
      <c r="AF331" t="s">
        <v>87</v>
      </c>
      <c r="AG331" t="s">
        <v>169</v>
      </c>
    </row>
    <row r="332" spans="1:33" hidden="1" x14ac:dyDescent="0.25">
      <c r="A332">
        <v>21454</v>
      </c>
      <c r="B332" t="s">
        <v>32</v>
      </c>
      <c r="C332">
        <v>2</v>
      </c>
      <c r="D332" t="s">
        <v>12467</v>
      </c>
      <c r="E332" t="s">
        <v>70</v>
      </c>
      <c r="F332" t="s">
        <v>33</v>
      </c>
      <c r="G332" t="s">
        <v>71</v>
      </c>
      <c r="H332" t="s">
        <v>72</v>
      </c>
      <c r="I332" t="s">
        <v>12460</v>
      </c>
      <c r="J332" t="s">
        <v>12468</v>
      </c>
      <c r="K332" t="s">
        <v>36</v>
      </c>
      <c r="L332" t="s">
        <v>33</v>
      </c>
      <c r="M332">
        <v>20453830323</v>
      </c>
      <c r="N332" t="s">
        <v>286</v>
      </c>
      <c r="O332" t="s">
        <v>76</v>
      </c>
      <c r="P332" t="s">
        <v>38</v>
      </c>
      <c r="Q332">
        <v>21596760472045</v>
      </c>
      <c r="R332" t="s">
        <v>5405</v>
      </c>
      <c r="S332">
        <v>2000</v>
      </c>
      <c r="T332" t="s">
        <v>40</v>
      </c>
      <c r="U332">
        <f>+IF(Tabla1[[#This Row],[MONEDA]]="PEN",Tabla1[[#This Row],[MONTO]],Tabla1[[#This Row],[MONTO]]*3.56)</f>
        <v>2000</v>
      </c>
      <c r="V332" t="s">
        <v>639</v>
      </c>
      <c r="X332" t="s">
        <v>81</v>
      </c>
      <c r="Y332" t="s">
        <v>42</v>
      </c>
      <c r="Z332" t="s">
        <v>82</v>
      </c>
      <c r="AA332" t="s">
        <v>12469</v>
      </c>
      <c r="AC332" t="s">
        <v>12470</v>
      </c>
      <c r="AE332">
        <v>2000</v>
      </c>
      <c r="AF332" t="s">
        <v>87</v>
      </c>
      <c r="AG332" t="s">
        <v>169</v>
      </c>
    </row>
    <row r="333" spans="1:33" x14ac:dyDescent="0.25">
      <c r="A333">
        <v>21301</v>
      </c>
      <c r="B333" t="s">
        <v>32</v>
      </c>
      <c r="C333">
        <v>1</v>
      </c>
      <c r="D333" t="s">
        <v>12518</v>
      </c>
      <c r="E333" t="s">
        <v>70</v>
      </c>
      <c r="F333" t="s">
        <v>90</v>
      </c>
      <c r="G333" t="s">
        <v>91</v>
      </c>
      <c r="H333" t="s">
        <v>72</v>
      </c>
      <c r="I333" t="s">
        <v>12519</v>
      </c>
      <c r="J333" t="s">
        <v>12520</v>
      </c>
      <c r="K333" t="s">
        <v>36</v>
      </c>
      <c r="L333" t="s">
        <v>33</v>
      </c>
      <c r="M333">
        <v>20453830323</v>
      </c>
      <c r="N333" t="s">
        <v>286</v>
      </c>
      <c r="O333" t="s">
        <v>1747</v>
      </c>
      <c r="P333" t="s">
        <v>38</v>
      </c>
      <c r="Q333">
        <v>24502019875003</v>
      </c>
      <c r="R333" t="s">
        <v>12521</v>
      </c>
      <c r="S333">
        <v>1000</v>
      </c>
      <c r="T333" t="s">
        <v>40</v>
      </c>
      <c r="U333">
        <f>+IF(Tabla1[[#This Row],[MONEDA]]="PEN",Tabla1[[#This Row],[MONTO]],Tabla1[[#This Row],[MONTO]]*3.56)</f>
        <v>1000</v>
      </c>
      <c r="V333" t="s">
        <v>639</v>
      </c>
      <c r="X333" t="s">
        <v>41</v>
      </c>
      <c r="Y333" t="s">
        <v>42</v>
      </c>
      <c r="Z333" t="s">
        <v>82</v>
      </c>
      <c r="AA333" t="s">
        <v>12522</v>
      </c>
      <c r="AC333" t="s">
        <v>12523</v>
      </c>
      <c r="AE333">
        <v>1000</v>
      </c>
      <c r="AF333" t="s">
        <v>87</v>
      </c>
      <c r="AG333" t="s">
        <v>169</v>
      </c>
    </row>
    <row r="334" spans="1:33" x14ac:dyDescent="0.25">
      <c r="A334">
        <v>21162</v>
      </c>
      <c r="B334" t="s">
        <v>12652</v>
      </c>
      <c r="C334">
        <v>3</v>
      </c>
      <c r="D334" t="s">
        <v>12653</v>
      </c>
      <c r="E334" t="s">
        <v>70</v>
      </c>
      <c r="F334" t="s">
        <v>6276</v>
      </c>
      <c r="G334" t="s">
        <v>11637</v>
      </c>
      <c r="H334" t="s">
        <v>72</v>
      </c>
      <c r="I334" t="s">
        <v>12654</v>
      </c>
      <c r="J334" t="s">
        <v>12655</v>
      </c>
      <c r="K334" t="s">
        <v>36</v>
      </c>
      <c r="L334" t="s">
        <v>33</v>
      </c>
      <c r="M334">
        <v>20453830323</v>
      </c>
      <c r="N334" t="s">
        <v>286</v>
      </c>
      <c r="O334" t="s">
        <v>76</v>
      </c>
      <c r="P334" t="s">
        <v>38</v>
      </c>
      <c r="Q334">
        <v>21596760472045</v>
      </c>
      <c r="R334" t="s">
        <v>12656</v>
      </c>
      <c r="S334">
        <v>180.14</v>
      </c>
      <c r="T334" t="s">
        <v>40</v>
      </c>
      <c r="U334">
        <f>+IF(Tabla1[[#This Row],[MONEDA]]="PEN",Tabla1[[#This Row],[MONTO]],Tabla1[[#This Row],[MONTO]]*3.56)</f>
        <v>180.14</v>
      </c>
      <c r="X334" t="s">
        <v>41</v>
      </c>
      <c r="Y334" t="s">
        <v>42</v>
      </c>
      <c r="Z334" t="s">
        <v>82</v>
      </c>
      <c r="AA334" t="s">
        <v>12657</v>
      </c>
      <c r="AB334" t="s">
        <v>12658</v>
      </c>
      <c r="AC334" t="s">
        <v>12659</v>
      </c>
      <c r="AD334" t="s">
        <v>12660</v>
      </c>
      <c r="AE334">
        <v>180.14</v>
      </c>
      <c r="AF334" t="s">
        <v>87</v>
      </c>
      <c r="AG334" t="s">
        <v>169</v>
      </c>
    </row>
    <row r="335" spans="1:33" x14ac:dyDescent="0.25">
      <c r="A335">
        <v>21075</v>
      </c>
      <c r="B335" t="s">
        <v>32</v>
      </c>
      <c r="C335">
        <v>1</v>
      </c>
      <c r="D335" t="s">
        <v>12713</v>
      </c>
      <c r="E335" t="s">
        <v>70</v>
      </c>
      <c r="F335" t="s">
        <v>6276</v>
      </c>
      <c r="G335" t="s">
        <v>11637</v>
      </c>
      <c r="H335" t="s">
        <v>72</v>
      </c>
      <c r="I335" t="s">
        <v>12692</v>
      </c>
      <c r="J335" t="s">
        <v>12714</v>
      </c>
      <c r="K335" t="s">
        <v>36</v>
      </c>
      <c r="L335" t="s">
        <v>33</v>
      </c>
      <c r="M335">
        <v>20453830323</v>
      </c>
      <c r="N335" t="s">
        <v>286</v>
      </c>
      <c r="O335" t="s">
        <v>6277</v>
      </c>
      <c r="P335" t="s">
        <v>38</v>
      </c>
      <c r="Q335" t="s">
        <v>8161</v>
      </c>
      <c r="R335" t="s">
        <v>12715</v>
      </c>
      <c r="S335">
        <v>3059.8</v>
      </c>
      <c r="T335" t="s">
        <v>40</v>
      </c>
      <c r="U335">
        <f>+IF(Tabla1[[#This Row],[MONEDA]]="PEN",Tabla1[[#This Row],[MONTO]],Tabla1[[#This Row],[MONTO]]*3.56)</f>
        <v>3059.8</v>
      </c>
      <c r="X335" t="s">
        <v>41</v>
      </c>
      <c r="Y335" t="s">
        <v>42</v>
      </c>
      <c r="Z335" t="s">
        <v>82</v>
      </c>
      <c r="AA335" t="s">
        <v>12716</v>
      </c>
      <c r="AB335" t="s">
        <v>12717</v>
      </c>
      <c r="AC335" t="s">
        <v>12718</v>
      </c>
      <c r="AD335" t="s">
        <v>12719</v>
      </c>
      <c r="AE335">
        <v>3059.8</v>
      </c>
      <c r="AF335" t="s">
        <v>87</v>
      </c>
      <c r="AG335" t="s">
        <v>169</v>
      </c>
    </row>
    <row r="336" spans="1:33" hidden="1" x14ac:dyDescent="0.25">
      <c r="A336">
        <v>20973</v>
      </c>
      <c r="B336" t="s">
        <v>32</v>
      </c>
      <c r="C336">
        <v>1</v>
      </c>
      <c r="D336" t="s">
        <v>12771</v>
      </c>
      <c r="E336" t="s">
        <v>70</v>
      </c>
      <c r="F336" t="s">
        <v>33</v>
      </c>
      <c r="G336" t="s">
        <v>71</v>
      </c>
      <c r="H336" t="s">
        <v>72</v>
      </c>
      <c r="I336" t="s">
        <v>12751</v>
      </c>
      <c r="J336" t="s">
        <v>12772</v>
      </c>
      <c r="K336" t="s">
        <v>36</v>
      </c>
      <c r="L336" t="s">
        <v>33</v>
      </c>
      <c r="M336">
        <v>20453830323</v>
      </c>
      <c r="N336" t="s">
        <v>286</v>
      </c>
      <c r="O336" t="s">
        <v>76</v>
      </c>
      <c r="P336" t="s">
        <v>38</v>
      </c>
      <c r="Q336">
        <v>21596760472045</v>
      </c>
      <c r="R336" t="s">
        <v>12773</v>
      </c>
      <c r="S336">
        <v>2000</v>
      </c>
      <c r="T336" t="s">
        <v>40</v>
      </c>
      <c r="U336">
        <f>+IF(Tabla1[[#This Row],[MONEDA]]="PEN",Tabla1[[#This Row],[MONTO]],Tabla1[[#This Row],[MONTO]]*3.56)</f>
        <v>2000</v>
      </c>
      <c r="V336" t="s">
        <v>639</v>
      </c>
      <c r="X336" t="s">
        <v>81</v>
      </c>
      <c r="Y336" t="s">
        <v>42</v>
      </c>
      <c r="Z336" t="s">
        <v>82</v>
      </c>
      <c r="AA336" t="s">
        <v>12774</v>
      </c>
      <c r="AC336" t="s">
        <v>12775</v>
      </c>
      <c r="AE336">
        <v>2000</v>
      </c>
      <c r="AF336" t="s">
        <v>87</v>
      </c>
      <c r="AG336" t="s">
        <v>169</v>
      </c>
    </row>
    <row r="337" spans="1:33" x14ac:dyDescent="0.25">
      <c r="A337">
        <v>45136</v>
      </c>
      <c r="B337" t="s">
        <v>32</v>
      </c>
      <c r="C337">
        <v>1</v>
      </c>
      <c r="D337" t="s">
        <v>284</v>
      </c>
      <c r="E337" t="s">
        <v>45</v>
      </c>
      <c r="F337" t="s">
        <v>90</v>
      </c>
      <c r="G337" t="s">
        <v>91</v>
      </c>
      <c r="H337" t="s">
        <v>35</v>
      </c>
      <c r="I337" t="s">
        <v>275</v>
      </c>
      <c r="J337" t="s">
        <v>285</v>
      </c>
      <c r="K337" t="s">
        <v>36</v>
      </c>
      <c r="L337" t="s">
        <v>33</v>
      </c>
      <c r="M337">
        <v>20453830323</v>
      </c>
      <c r="N337" t="s">
        <v>286</v>
      </c>
      <c r="O337" t="s">
        <v>287</v>
      </c>
      <c r="P337" t="s">
        <v>38</v>
      </c>
      <c r="Q337">
        <v>24514646888161</v>
      </c>
      <c r="R337" t="s">
        <v>288</v>
      </c>
      <c r="S337">
        <v>150</v>
      </c>
      <c r="T337" t="s">
        <v>80</v>
      </c>
      <c r="U337">
        <f>+IF(Tabla1[[#This Row],[MONEDA]]="PEN",Tabla1[[#This Row],[MONTO]],Tabla1[[#This Row],[MONTO]]*3.56)</f>
        <v>534</v>
      </c>
      <c r="X337" t="s">
        <v>41</v>
      </c>
      <c r="Y337" t="s">
        <v>51</v>
      </c>
      <c r="Z337" t="s">
        <v>43</v>
      </c>
      <c r="AD337" t="s">
        <v>289</v>
      </c>
    </row>
    <row r="338" spans="1:33" hidden="1" x14ac:dyDescent="0.25">
      <c r="A338">
        <v>44007</v>
      </c>
      <c r="B338" t="s">
        <v>32</v>
      </c>
      <c r="C338">
        <v>1</v>
      </c>
      <c r="D338" t="s">
        <v>634</v>
      </c>
      <c r="E338" t="s">
        <v>45</v>
      </c>
      <c r="F338" t="s">
        <v>33</v>
      </c>
      <c r="G338" t="s">
        <v>34</v>
      </c>
      <c r="H338" t="s">
        <v>35</v>
      </c>
      <c r="I338" t="s">
        <v>618</v>
      </c>
      <c r="J338" t="s">
        <v>635</v>
      </c>
      <c r="K338" t="s">
        <v>36</v>
      </c>
      <c r="L338" t="s">
        <v>33</v>
      </c>
      <c r="M338">
        <v>20453830323</v>
      </c>
      <c r="N338" t="s">
        <v>286</v>
      </c>
      <c r="O338" t="s">
        <v>636</v>
      </c>
      <c r="P338" t="s">
        <v>224</v>
      </c>
      <c r="Q338" t="s">
        <v>637</v>
      </c>
      <c r="R338" t="s">
        <v>638</v>
      </c>
      <c r="S338">
        <v>2000</v>
      </c>
      <c r="T338" t="s">
        <v>40</v>
      </c>
      <c r="U338">
        <f>+IF(Tabla1[[#This Row],[MONEDA]]="PEN",Tabla1[[#This Row],[MONTO]],Tabla1[[#This Row],[MONTO]]*3.56)</f>
        <v>2000</v>
      </c>
      <c r="V338" t="s">
        <v>639</v>
      </c>
      <c r="X338" t="s">
        <v>41</v>
      </c>
      <c r="Y338" t="s">
        <v>51</v>
      </c>
      <c r="Z338" t="s">
        <v>43</v>
      </c>
    </row>
    <row r="339" spans="1:33" hidden="1" x14ac:dyDescent="0.25">
      <c r="A339">
        <v>43464</v>
      </c>
      <c r="B339" t="s">
        <v>32</v>
      </c>
      <c r="C339">
        <v>1</v>
      </c>
      <c r="D339" t="s">
        <v>783</v>
      </c>
      <c r="E339" t="s">
        <v>45</v>
      </c>
      <c r="F339" t="s">
        <v>33</v>
      </c>
      <c r="G339" t="s">
        <v>71</v>
      </c>
      <c r="H339" t="s">
        <v>35</v>
      </c>
      <c r="I339" t="s">
        <v>760</v>
      </c>
      <c r="J339" t="s">
        <v>784</v>
      </c>
      <c r="K339" t="s">
        <v>36</v>
      </c>
      <c r="L339" t="s">
        <v>33</v>
      </c>
      <c r="M339">
        <v>20453830323</v>
      </c>
      <c r="N339" t="s">
        <v>286</v>
      </c>
      <c r="O339" t="s">
        <v>76</v>
      </c>
      <c r="P339" t="s">
        <v>38</v>
      </c>
      <c r="Q339">
        <v>21596760472045</v>
      </c>
      <c r="R339" t="s">
        <v>785</v>
      </c>
      <c r="S339">
        <v>2000</v>
      </c>
      <c r="T339" t="s">
        <v>40</v>
      </c>
      <c r="U339">
        <f>+IF(Tabla1[[#This Row],[MONEDA]]="PEN",Tabla1[[#This Row],[MONTO]],Tabla1[[#This Row],[MONTO]]*3.56)</f>
        <v>2000</v>
      </c>
      <c r="V339" t="s">
        <v>639</v>
      </c>
      <c r="X339" t="s">
        <v>81</v>
      </c>
      <c r="Y339" t="s">
        <v>51</v>
      </c>
      <c r="Z339" t="s">
        <v>43</v>
      </c>
    </row>
    <row r="340" spans="1:33" hidden="1" x14ac:dyDescent="0.25">
      <c r="A340">
        <v>26305</v>
      </c>
      <c r="B340" t="s">
        <v>32</v>
      </c>
      <c r="C340">
        <v>1</v>
      </c>
      <c r="D340" t="s">
        <v>9371</v>
      </c>
      <c r="E340" t="s">
        <v>45</v>
      </c>
      <c r="F340" t="s">
        <v>90</v>
      </c>
      <c r="G340" t="s">
        <v>91</v>
      </c>
      <c r="H340" t="s">
        <v>72</v>
      </c>
      <c r="I340" t="s">
        <v>9372</v>
      </c>
      <c r="J340" t="s">
        <v>9372</v>
      </c>
      <c r="K340" t="s">
        <v>36</v>
      </c>
      <c r="L340" t="s">
        <v>33</v>
      </c>
      <c r="M340">
        <v>20453830323</v>
      </c>
      <c r="N340" t="s">
        <v>286</v>
      </c>
      <c r="R340" t="s">
        <v>8229</v>
      </c>
      <c r="S340">
        <v>9.1999999999999993</v>
      </c>
      <c r="T340" t="s">
        <v>40</v>
      </c>
      <c r="U340">
        <f>+IF(Tabla1[[#This Row],[MONEDA]]="PEN",Tabla1[[#This Row],[MONTO]],Tabla1[[#This Row],[MONTO]]*3.56)</f>
        <v>9.1999999999999993</v>
      </c>
      <c r="V340" t="s">
        <v>190</v>
      </c>
      <c r="W340">
        <v>21301</v>
      </c>
      <c r="X340" t="s">
        <v>41</v>
      </c>
      <c r="Y340" t="s">
        <v>42</v>
      </c>
      <c r="Z340" t="s">
        <v>82</v>
      </c>
      <c r="AC340" t="s">
        <v>9373</v>
      </c>
    </row>
    <row r="341" spans="1:33" hidden="1" x14ac:dyDescent="0.25">
      <c r="A341">
        <v>37002</v>
      </c>
      <c r="B341" t="s">
        <v>32</v>
      </c>
      <c r="C341">
        <v>1</v>
      </c>
      <c r="D341" t="s">
        <v>3553</v>
      </c>
      <c r="E341" t="s">
        <v>70</v>
      </c>
      <c r="F341" t="s">
        <v>33</v>
      </c>
      <c r="G341" t="s">
        <v>71</v>
      </c>
      <c r="H341" t="s">
        <v>35</v>
      </c>
      <c r="I341" t="s">
        <v>3536</v>
      </c>
      <c r="J341" t="s">
        <v>3554</v>
      </c>
      <c r="K341" t="s">
        <v>36</v>
      </c>
      <c r="L341" t="s">
        <v>33</v>
      </c>
      <c r="M341">
        <v>20605904018</v>
      </c>
      <c r="N341" t="s">
        <v>305</v>
      </c>
      <c r="O341" t="s">
        <v>76</v>
      </c>
      <c r="P341" t="s">
        <v>77</v>
      </c>
      <c r="Q341" t="s">
        <v>306</v>
      </c>
      <c r="R341" t="s">
        <v>3555</v>
      </c>
      <c r="S341">
        <v>1003</v>
      </c>
      <c r="T341" t="s">
        <v>80</v>
      </c>
      <c r="U341">
        <f>+IF(Tabla1[[#This Row],[MONEDA]]="PEN",Tabla1[[#This Row],[MONTO]],Tabla1[[#This Row],[MONTO]]*3.56)</f>
        <v>3570.68</v>
      </c>
      <c r="X341" t="s">
        <v>41</v>
      </c>
      <c r="Y341" t="s">
        <v>42</v>
      </c>
      <c r="Z341" t="s">
        <v>43</v>
      </c>
      <c r="AA341" t="s">
        <v>3556</v>
      </c>
      <c r="AB341" t="s">
        <v>3557</v>
      </c>
      <c r="AC341" t="s">
        <v>3558</v>
      </c>
      <c r="AD341" t="s">
        <v>3559</v>
      </c>
      <c r="AE341">
        <v>902.7</v>
      </c>
      <c r="AG341" t="s">
        <v>88</v>
      </c>
    </row>
    <row r="342" spans="1:33" hidden="1" x14ac:dyDescent="0.25">
      <c r="A342">
        <v>45251</v>
      </c>
      <c r="B342" t="s">
        <v>32</v>
      </c>
      <c r="C342">
        <v>3</v>
      </c>
      <c r="D342" t="s">
        <v>303</v>
      </c>
      <c r="E342" t="s">
        <v>45</v>
      </c>
      <c r="F342" t="s">
        <v>33</v>
      </c>
      <c r="G342" t="s">
        <v>34</v>
      </c>
      <c r="H342" t="s">
        <v>35</v>
      </c>
      <c r="I342" t="s">
        <v>275</v>
      </c>
      <c r="J342" t="s">
        <v>304</v>
      </c>
      <c r="K342" t="s">
        <v>36</v>
      </c>
      <c r="L342" t="s">
        <v>33</v>
      </c>
      <c r="M342">
        <v>20605904018</v>
      </c>
      <c r="N342" t="s">
        <v>305</v>
      </c>
      <c r="P342" t="s">
        <v>77</v>
      </c>
      <c r="Q342" t="s">
        <v>306</v>
      </c>
      <c r="R342" t="s">
        <v>307</v>
      </c>
      <c r="S342">
        <v>1203.5999999999999</v>
      </c>
      <c r="T342" t="s">
        <v>80</v>
      </c>
      <c r="U342">
        <f>+IF(Tabla1[[#This Row],[MONEDA]]="PEN",Tabla1[[#This Row],[MONTO]],Tabla1[[#This Row],[MONTO]]*3.56)</f>
        <v>4284.8159999999998</v>
      </c>
      <c r="X342" t="s">
        <v>41</v>
      </c>
      <c r="Y342" t="s">
        <v>51</v>
      </c>
      <c r="Z342" t="s">
        <v>43</v>
      </c>
      <c r="AB342" t="s">
        <v>308</v>
      </c>
      <c r="AD342" t="s">
        <v>309</v>
      </c>
    </row>
    <row r="343" spans="1:33" hidden="1" x14ac:dyDescent="0.25">
      <c r="A343">
        <v>23402</v>
      </c>
      <c r="B343" t="s">
        <v>32</v>
      </c>
      <c r="C343">
        <v>1</v>
      </c>
      <c r="D343" t="s">
        <v>11243</v>
      </c>
      <c r="E343" t="s">
        <v>70</v>
      </c>
      <c r="F343" t="s">
        <v>33</v>
      </c>
      <c r="G343" t="s">
        <v>71</v>
      </c>
      <c r="H343" t="s">
        <v>72</v>
      </c>
      <c r="I343" t="s">
        <v>11244</v>
      </c>
      <c r="J343" t="s">
        <v>11245</v>
      </c>
      <c r="K343" t="s">
        <v>36</v>
      </c>
      <c r="L343" t="s">
        <v>33</v>
      </c>
      <c r="M343">
        <v>20455737967</v>
      </c>
      <c r="N343" t="s">
        <v>11246</v>
      </c>
      <c r="O343" t="s">
        <v>76</v>
      </c>
      <c r="P343" t="s">
        <v>38</v>
      </c>
      <c r="Q343" t="s">
        <v>11247</v>
      </c>
      <c r="R343" t="s">
        <v>11248</v>
      </c>
      <c r="S343">
        <v>700</v>
      </c>
      <c r="T343" t="s">
        <v>40</v>
      </c>
      <c r="U343">
        <f>+IF(Tabla1[[#This Row],[MONEDA]]="PEN",Tabla1[[#This Row],[MONTO]],Tabla1[[#This Row],[MONTO]]*3.56)</f>
        <v>700</v>
      </c>
      <c r="X343" t="s">
        <v>81</v>
      </c>
      <c r="Y343" t="s">
        <v>42</v>
      </c>
      <c r="Z343" t="s">
        <v>43</v>
      </c>
      <c r="AA343" t="s">
        <v>11249</v>
      </c>
      <c r="AB343" t="s">
        <v>11250</v>
      </c>
      <c r="AC343" t="s">
        <v>11251</v>
      </c>
      <c r="AD343" t="s">
        <v>11252</v>
      </c>
      <c r="AE343">
        <v>700</v>
      </c>
      <c r="AF343" t="s">
        <v>87</v>
      </c>
      <c r="AG343" t="s">
        <v>169</v>
      </c>
    </row>
    <row r="344" spans="1:33" hidden="1" x14ac:dyDescent="0.25">
      <c r="A344">
        <v>31512</v>
      </c>
      <c r="B344" t="s">
        <v>32</v>
      </c>
      <c r="C344">
        <v>1</v>
      </c>
      <c r="D344" t="s">
        <v>5777</v>
      </c>
      <c r="E344" t="s">
        <v>70</v>
      </c>
      <c r="F344" t="s">
        <v>33</v>
      </c>
      <c r="G344" t="s">
        <v>71</v>
      </c>
      <c r="H344" t="s">
        <v>35</v>
      </c>
      <c r="I344" t="s">
        <v>5778</v>
      </c>
      <c r="J344" t="s">
        <v>5779</v>
      </c>
      <c r="K344" t="s">
        <v>36</v>
      </c>
      <c r="L344" t="s">
        <v>33</v>
      </c>
      <c r="M344">
        <v>20608438212</v>
      </c>
      <c r="N344" t="s">
        <v>5780</v>
      </c>
      <c r="O344" t="s">
        <v>76</v>
      </c>
      <c r="P344" t="s">
        <v>38</v>
      </c>
      <c r="Q344">
        <v>21594691237009</v>
      </c>
      <c r="R344" t="s">
        <v>5781</v>
      </c>
      <c r="S344">
        <v>247.5</v>
      </c>
      <c r="T344" t="s">
        <v>40</v>
      </c>
      <c r="U344">
        <f>+IF(Tabla1[[#This Row],[MONEDA]]="PEN",Tabla1[[#This Row],[MONTO]],Tabla1[[#This Row],[MONTO]]*3.56)</f>
        <v>247.5</v>
      </c>
      <c r="X344" t="s">
        <v>41</v>
      </c>
      <c r="Y344" t="s">
        <v>42</v>
      </c>
      <c r="Z344" t="s">
        <v>43</v>
      </c>
      <c r="AA344" t="s">
        <v>5782</v>
      </c>
      <c r="AB344" t="s">
        <v>5783</v>
      </c>
      <c r="AC344" t="s">
        <v>5784</v>
      </c>
      <c r="AD344" t="s">
        <v>5785</v>
      </c>
      <c r="AE344">
        <v>247.5</v>
      </c>
      <c r="AF344" t="s">
        <v>87</v>
      </c>
      <c r="AG344" t="s">
        <v>169</v>
      </c>
    </row>
    <row r="345" spans="1:33" x14ac:dyDescent="0.25">
      <c r="A345">
        <v>29065</v>
      </c>
      <c r="B345" t="s">
        <v>32</v>
      </c>
      <c r="C345">
        <v>1</v>
      </c>
      <c r="D345" t="s">
        <v>7019</v>
      </c>
      <c r="E345" t="s">
        <v>70</v>
      </c>
      <c r="F345" t="s">
        <v>5328</v>
      </c>
      <c r="G345" t="s">
        <v>5329</v>
      </c>
      <c r="H345" t="s">
        <v>72</v>
      </c>
      <c r="I345" t="s">
        <v>7012</v>
      </c>
      <c r="J345" t="s">
        <v>7020</v>
      </c>
      <c r="K345" t="s">
        <v>36</v>
      </c>
      <c r="L345" t="s">
        <v>33</v>
      </c>
      <c r="M345">
        <v>20608438212</v>
      </c>
      <c r="N345" t="s">
        <v>5780</v>
      </c>
      <c r="O345" t="s">
        <v>6159</v>
      </c>
      <c r="P345" t="s">
        <v>38</v>
      </c>
      <c r="Q345">
        <v>21594691237009</v>
      </c>
      <c r="R345" t="s">
        <v>7021</v>
      </c>
      <c r="S345">
        <v>938.6</v>
      </c>
      <c r="T345" t="s">
        <v>40</v>
      </c>
      <c r="U345">
        <f>+IF(Tabla1[[#This Row],[MONEDA]]="PEN",Tabla1[[#This Row],[MONTO]],Tabla1[[#This Row],[MONTO]]*3.56)</f>
        <v>938.6</v>
      </c>
      <c r="X345" t="s">
        <v>81</v>
      </c>
      <c r="Y345" t="s">
        <v>42</v>
      </c>
      <c r="Z345" t="s">
        <v>43</v>
      </c>
      <c r="AA345" t="s">
        <v>7022</v>
      </c>
      <c r="AB345" t="s">
        <v>7023</v>
      </c>
      <c r="AC345" t="s">
        <v>7024</v>
      </c>
      <c r="AD345" t="s">
        <v>7025</v>
      </c>
      <c r="AE345">
        <v>910.44</v>
      </c>
      <c r="AF345" t="s">
        <v>87</v>
      </c>
      <c r="AG345" t="s">
        <v>169</v>
      </c>
    </row>
    <row r="346" spans="1:33" hidden="1" x14ac:dyDescent="0.25">
      <c r="A346">
        <v>40954</v>
      </c>
      <c r="B346" t="s">
        <v>32</v>
      </c>
      <c r="C346">
        <v>1</v>
      </c>
      <c r="D346" t="s">
        <v>1709</v>
      </c>
      <c r="E346" t="s">
        <v>70</v>
      </c>
      <c r="F346" t="s">
        <v>33</v>
      </c>
      <c r="G346" t="s">
        <v>71</v>
      </c>
      <c r="H346" t="s">
        <v>35</v>
      </c>
      <c r="I346" t="s">
        <v>1710</v>
      </c>
      <c r="J346" t="s">
        <v>1711</v>
      </c>
      <c r="K346" t="s">
        <v>36</v>
      </c>
      <c r="L346" t="s">
        <v>33</v>
      </c>
      <c r="M346">
        <v>20603862890</v>
      </c>
      <c r="N346" t="s">
        <v>1712</v>
      </c>
      <c r="O346" t="s">
        <v>76</v>
      </c>
      <c r="P346" t="s">
        <v>38</v>
      </c>
      <c r="Q346" t="s">
        <v>1713</v>
      </c>
      <c r="R346" t="s">
        <v>1714</v>
      </c>
      <c r="S346">
        <v>330</v>
      </c>
      <c r="T346" t="s">
        <v>40</v>
      </c>
      <c r="U346">
        <f>+IF(Tabla1[[#This Row],[MONEDA]]="PEN",Tabla1[[#This Row],[MONTO]],Tabla1[[#This Row],[MONTO]]*3.56)</f>
        <v>330</v>
      </c>
      <c r="X346" t="s">
        <v>81</v>
      </c>
      <c r="Y346" t="s">
        <v>42</v>
      </c>
      <c r="Z346" t="s">
        <v>82</v>
      </c>
      <c r="AA346" t="s">
        <v>1715</v>
      </c>
      <c r="AB346" t="s">
        <v>1716</v>
      </c>
      <c r="AC346" t="s">
        <v>1717</v>
      </c>
      <c r="AD346" t="s">
        <v>1718</v>
      </c>
      <c r="AE346">
        <v>330</v>
      </c>
      <c r="AF346" t="s">
        <v>87</v>
      </c>
      <c r="AG346" t="s">
        <v>169</v>
      </c>
    </row>
    <row r="347" spans="1:33" x14ac:dyDescent="0.25">
      <c r="A347">
        <v>42014</v>
      </c>
      <c r="B347" t="s">
        <v>32</v>
      </c>
      <c r="C347">
        <v>1</v>
      </c>
      <c r="D347" t="s">
        <v>1274</v>
      </c>
      <c r="E347" t="s">
        <v>70</v>
      </c>
      <c r="F347" t="s">
        <v>1275</v>
      </c>
      <c r="G347" t="s">
        <v>1276</v>
      </c>
      <c r="H347" t="s">
        <v>72</v>
      </c>
      <c r="I347" t="s">
        <v>1277</v>
      </c>
      <c r="J347" t="s">
        <v>1278</v>
      </c>
      <c r="K347" t="s">
        <v>36</v>
      </c>
      <c r="L347" t="s">
        <v>33</v>
      </c>
      <c r="M347">
        <v>20520588486</v>
      </c>
      <c r="N347" t="s">
        <v>1279</v>
      </c>
      <c r="O347" t="s">
        <v>1280</v>
      </c>
      <c r="P347" t="s">
        <v>77</v>
      </c>
      <c r="Q347" t="s">
        <v>1281</v>
      </c>
      <c r="R347" t="s">
        <v>1282</v>
      </c>
      <c r="S347">
        <v>188.8</v>
      </c>
      <c r="T347" t="s">
        <v>80</v>
      </c>
      <c r="U347">
        <f>+IF(Tabla1[[#This Row],[MONEDA]]="PEN",Tabla1[[#This Row],[MONTO]],Tabla1[[#This Row],[MONTO]]*3.56)</f>
        <v>672.12800000000004</v>
      </c>
      <c r="X347" t="s">
        <v>41</v>
      </c>
      <c r="Y347" t="s">
        <v>42</v>
      </c>
      <c r="Z347" t="s">
        <v>82</v>
      </c>
      <c r="AA347" t="s">
        <v>1283</v>
      </c>
      <c r="AB347" t="s">
        <v>1284</v>
      </c>
      <c r="AC347" t="s">
        <v>1285</v>
      </c>
      <c r="AD347" t="s">
        <v>1286</v>
      </c>
      <c r="AE347">
        <v>188.8</v>
      </c>
      <c r="AF347" t="s">
        <v>87</v>
      </c>
      <c r="AG347" t="s">
        <v>88</v>
      </c>
    </row>
    <row r="348" spans="1:33" x14ac:dyDescent="0.25">
      <c r="A348">
        <v>26912</v>
      </c>
      <c r="B348" t="s">
        <v>32</v>
      </c>
      <c r="C348">
        <v>1</v>
      </c>
      <c r="D348" t="s">
        <v>8816</v>
      </c>
      <c r="E348" t="s">
        <v>70</v>
      </c>
      <c r="F348" t="s">
        <v>1275</v>
      </c>
      <c r="G348" t="s">
        <v>8817</v>
      </c>
      <c r="H348" t="s">
        <v>72</v>
      </c>
      <c r="I348" t="s">
        <v>8818</v>
      </c>
      <c r="J348" t="s">
        <v>8819</v>
      </c>
      <c r="K348" t="s">
        <v>36</v>
      </c>
      <c r="L348" t="s">
        <v>33</v>
      </c>
      <c r="M348">
        <v>20520588486</v>
      </c>
      <c r="N348" t="s">
        <v>1279</v>
      </c>
      <c r="P348" t="s">
        <v>77</v>
      </c>
      <c r="Q348" t="s">
        <v>1281</v>
      </c>
      <c r="R348" t="s">
        <v>8820</v>
      </c>
      <c r="S348">
        <v>3516.38</v>
      </c>
      <c r="T348" t="s">
        <v>80</v>
      </c>
      <c r="U348">
        <f>+IF(Tabla1[[#This Row],[MONEDA]]="PEN",Tabla1[[#This Row],[MONTO]],Tabla1[[#This Row],[MONTO]]*3.56)</f>
        <v>12518.3128</v>
      </c>
      <c r="X348" t="s">
        <v>41</v>
      </c>
      <c r="Y348" t="s">
        <v>42</v>
      </c>
      <c r="Z348" t="s">
        <v>82</v>
      </c>
      <c r="AA348" t="s">
        <v>8821</v>
      </c>
      <c r="AB348" t="s">
        <v>8822</v>
      </c>
      <c r="AC348" t="s">
        <v>8823</v>
      </c>
      <c r="AD348" t="s">
        <v>8824</v>
      </c>
      <c r="AE348">
        <v>3516.38</v>
      </c>
      <c r="AF348" t="s">
        <v>87</v>
      </c>
      <c r="AG348" t="s">
        <v>88</v>
      </c>
    </row>
    <row r="349" spans="1:33" hidden="1" x14ac:dyDescent="0.25">
      <c r="A349">
        <v>44410</v>
      </c>
      <c r="B349" t="s">
        <v>32</v>
      </c>
      <c r="C349">
        <v>2</v>
      </c>
      <c r="D349" t="s">
        <v>436</v>
      </c>
      <c r="E349" t="s">
        <v>70</v>
      </c>
      <c r="F349" t="s">
        <v>33</v>
      </c>
      <c r="G349" t="s">
        <v>71</v>
      </c>
      <c r="H349" t="s">
        <v>72</v>
      </c>
      <c r="I349" t="s">
        <v>437</v>
      </c>
      <c r="J349" t="s">
        <v>438</v>
      </c>
      <c r="K349" t="s">
        <v>36</v>
      </c>
      <c r="L349" t="s">
        <v>33</v>
      </c>
      <c r="M349">
        <v>20603822189</v>
      </c>
      <c r="N349" t="s">
        <v>439</v>
      </c>
      <c r="O349" t="s">
        <v>76</v>
      </c>
      <c r="P349" t="s">
        <v>38</v>
      </c>
      <c r="Q349">
        <v>4302571515031</v>
      </c>
      <c r="R349" t="s">
        <v>440</v>
      </c>
      <c r="S349">
        <v>2209</v>
      </c>
      <c r="T349" t="s">
        <v>40</v>
      </c>
      <c r="U349">
        <f>+IF(Tabla1[[#This Row],[MONEDA]]="PEN",Tabla1[[#This Row],[MONTO]],Tabla1[[#This Row],[MONTO]]*3.56)</f>
        <v>2209</v>
      </c>
      <c r="X349" t="s">
        <v>81</v>
      </c>
      <c r="Y349" t="s">
        <v>51</v>
      </c>
      <c r="Z349" t="s">
        <v>43</v>
      </c>
      <c r="AA349" t="s">
        <v>184</v>
      </c>
      <c r="AB349" t="s">
        <v>441</v>
      </c>
      <c r="AC349" t="s">
        <v>442</v>
      </c>
      <c r="AE349">
        <v>2142.73</v>
      </c>
      <c r="AF349" t="s">
        <v>87</v>
      </c>
      <c r="AG349" t="s">
        <v>169</v>
      </c>
    </row>
    <row r="350" spans="1:33" hidden="1" x14ac:dyDescent="0.25">
      <c r="A350">
        <v>44072</v>
      </c>
      <c r="B350" t="s">
        <v>32</v>
      </c>
      <c r="C350">
        <v>1</v>
      </c>
      <c r="D350" t="s">
        <v>591</v>
      </c>
      <c r="E350" t="s">
        <v>70</v>
      </c>
      <c r="F350" t="s">
        <v>33</v>
      </c>
      <c r="G350" t="s">
        <v>71</v>
      </c>
      <c r="H350" t="s">
        <v>35</v>
      </c>
      <c r="I350" t="s">
        <v>575</v>
      </c>
      <c r="J350" t="s">
        <v>592</v>
      </c>
      <c r="K350" t="s">
        <v>36</v>
      </c>
      <c r="L350" t="s">
        <v>33</v>
      </c>
      <c r="M350">
        <v>20603822189</v>
      </c>
      <c r="N350" t="s">
        <v>439</v>
      </c>
      <c r="O350" t="s">
        <v>76</v>
      </c>
      <c r="P350" t="s">
        <v>38</v>
      </c>
      <c r="Q350">
        <v>4302571515031</v>
      </c>
      <c r="R350" t="s">
        <v>593</v>
      </c>
      <c r="S350">
        <v>1601</v>
      </c>
      <c r="T350" t="s">
        <v>40</v>
      </c>
      <c r="U350">
        <f>+IF(Tabla1[[#This Row],[MONEDA]]="PEN",Tabla1[[#This Row],[MONTO]],Tabla1[[#This Row],[MONTO]]*3.56)</f>
        <v>1601</v>
      </c>
      <c r="X350" t="s">
        <v>81</v>
      </c>
      <c r="Y350" t="s">
        <v>51</v>
      </c>
      <c r="Z350" t="s">
        <v>43</v>
      </c>
      <c r="AA350" t="s">
        <v>184</v>
      </c>
      <c r="AB350" t="s">
        <v>594</v>
      </c>
      <c r="AC350" t="s">
        <v>595</v>
      </c>
      <c r="AE350">
        <v>1552.97</v>
      </c>
      <c r="AF350" t="s">
        <v>87</v>
      </c>
      <c r="AG350" t="s">
        <v>169</v>
      </c>
    </row>
    <row r="351" spans="1:33" hidden="1" x14ac:dyDescent="0.25">
      <c r="A351">
        <v>43118</v>
      </c>
      <c r="B351" t="s">
        <v>32</v>
      </c>
      <c r="C351">
        <v>1</v>
      </c>
      <c r="D351" t="s">
        <v>890</v>
      </c>
      <c r="E351" t="s">
        <v>70</v>
      </c>
      <c r="F351" t="s">
        <v>33</v>
      </c>
      <c r="G351" t="s">
        <v>71</v>
      </c>
      <c r="H351" t="s">
        <v>72</v>
      </c>
      <c r="I351" t="s">
        <v>874</v>
      </c>
      <c r="J351" t="s">
        <v>891</v>
      </c>
      <c r="K351" t="s">
        <v>36</v>
      </c>
      <c r="L351" t="s">
        <v>33</v>
      </c>
      <c r="M351">
        <v>20603822189</v>
      </c>
      <c r="N351" t="s">
        <v>439</v>
      </c>
      <c r="O351" t="s">
        <v>76</v>
      </c>
      <c r="P351" t="s">
        <v>38</v>
      </c>
      <c r="Q351">
        <v>4302571515031</v>
      </c>
      <c r="R351" t="s">
        <v>892</v>
      </c>
      <c r="S351">
        <v>2562.6</v>
      </c>
      <c r="T351" t="s">
        <v>40</v>
      </c>
      <c r="U351">
        <f>+IF(Tabla1[[#This Row],[MONEDA]]="PEN",Tabla1[[#This Row],[MONTO]],Tabla1[[#This Row],[MONTO]]*3.56)</f>
        <v>2562.6</v>
      </c>
      <c r="X351" t="s">
        <v>81</v>
      </c>
      <c r="Y351" t="s">
        <v>42</v>
      </c>
      <c r="Z351" t="s">
        <v>82</v>
      </c>
      <c r="AA351" t="s">
        <v>893</v>
      </c>
      <c r="AB351" t="s">
        <v>894</v>
      </c>
      <c r="AC351" t="s">
        <v>895</v>
      </c>
      <c r="AD351" t="s">
        <v>896</v>
      </c>
      <c r="AE351">
        <v>2485.7199999999998</v>
      </c>
      <c r="AF351" t="s">
        <v>87</v>
      </c>
      <c r="AG351" t="s">
        <v>169</v>
      </c>
    </row>
    <row r="352" spans="1:33" hidden="1" x14ac:dyDescent="0.25">
      <c r="A352">
        <v>42261</v>
      </c>
      <c r="B352" t="s">
        <v>32</v>
      </c>
      <c r="C352">
        <v>1</v>
      </c>
      <c r="D352" t="s">
        <v>1049</v>
      </c>
      <c r="E352" t="s">
        <v>70</v>
      </c>
      <c r="F352" t="s">
        <v>33</v>
      </c>
      <c r="G352" t="s">
        <v>71</v>
      </c>
      <c r="H352" t="s">
        <v>72</v>
      </c>
      <c r="I352" t="s">
        <v>1042</v>
      </c>
      <c r="J352" t="s">
        <v>1050</v>
      </c>
      <c r="K352" t="s">
        <v>36</v>
      </c>
      <c r="L352" t="s">
        <v>33</v>
      </c>
      <c r="M352">
        <v>20603822189</v>
      </c>
      <c r="N352" t="s">
        <v>439</v>
      </c>
      <c r="O352" t="s">
        <v>76</v>
      </c>
      <c r="P352" t="s">
        <v>38</v>
      </c>
      <c r="Q352">
        <v>4302571515031</v>
      </c>
      <c r="R352" t="s">
        <v>1051</v>
      </c>
      <c r="S352">
        <v>3307</v>
      </c>
      <c r="T352" t="s">
        <v>40</v>
      </c>
      <c r="U352">
        <f>+IF(Tabla1[[#This Row],[MONEDA]]="PEN",Tabla1[[#This Row],[MONTO]],Tabla1[[#This Row],[MONTO]]*3.56)</f>
        <v>3307</v>
      </c>
      <c r="X352" t="s">
        <v>81</v>
      </c>
      <c r="Y352" t="s">
        <v>42</v>
      </c>
      <c r="Z352" t="s">
        <v>82</v>
      </c>
      <c r="AA352" t="s">
        <v>1052</v>
      </c>
      <c r="AB352" t="s">
        <v>1053</v>
      </c>
      <c r="AC352" t="s">
        <v>1054</v>
      </c>
      <c r="AD352" t="s">
        <v>1055</v>
      </c>
      <c r="AE352">
        <v>3207.79</v>
      </c>
      <c r="AF352" t="s">
        <v>87</v>
      </c>
      <c r="AG352" t="s">
        <v>169</v>
      </c>
    </row>
    <row r="353" spans="1:33" hidden="1" x14ac:dyDescent="0.25">
      <c r="A353">
        <v>42259</v>
      </c>
      <c r="B353" t="s">
        <v>32</v>
      </c>
      <c r="C353">
        <v>1</v>
      </c>
      <c r="D353" t="s">
        <v>1175</v>
      </c>
      <c r="E353" t="s">
        <v>70</v>
      </c>
      <c r="F353" t="s">
        <v>33</v>
      </c>
      <c r="G353" t="s">
        <v>71</v>
      </c>
      <c r="H353" t="s">
        <v>35</v>
      </c>
      <c r="I353" t="s">
        <v>1120</v>
      </c>
      <c r="J353" t="s">
        <v>1176</v>
      </c>
      <c r="K353" t="s">
        <v>36</v>
      </c>
      <c r="L353" t="s">
        <v>33</v>
      </c>
      <c r="M353">
        <v>20603822189</v>
      </c>
      <c r="N353" t="s">
        <v>439</v>
      </c>
      <c r="O353" t="s">
        <v>76</v>
      </c>
      <c r="P353" t="s">
        <v>38</v>
      </c>
      <c r="Q353">
        <v>4302571515031</v>
      </c>
      <c r="R353" t="s">
        <v>1177</v>
      </c>
      <c r="S353">
        <v>1307.5</v>
      </c>
      <c r="T353" t="s">
        <v>40</v>
      </c>
      <c r="U353">
        <f>+IF(Tabla1[[#This Row],[MONEDA]]="PEN",Tabla1[[#This Row],[MONTO]],Tabla1[[#This Row],[MONTO]]*3.56)</f>
        <v>1307.5</v>
      </c>
      <c r="X353" t="s">
        <v>81</v>
      </c>
      <c r="Y353" t="s">
        <v>42</v>
      </c>
      <c r="Z353" t="s">
        <v>82</v>
      </c>
      <c r="AA353" t="s">
        <v>1178</v>
      </c>
      <c r="AB353" t="s">
        <v>1179</v>
      </c>
      <c r="AC353" t="s">
        <v>1180</v>
      </c>
      <c r="AD353" t="s">
        <v>1181</v>
      </c>
      <c r="AE353">
        <v>1268.28</v>
      </c>
      <c r="AF353" t="s">
        <v>87</v>
      </c>
      <c r="AG353" t="s">
        <v>169</v>
      </c>
    </row>
    <row r="354" spans="1:33" hidden="1" x14ac:dyDescent="0.25">
      <c r="A354">
        <v>41722</v>
      </c>
      <c r="B354" t="s">
        <v>32</v>
      </c>
      <c r="C354">
        <v>1</v>
      </c>
      <c r="D354" t="s">
        <v>1313</v>
      </c>
      <c r="E354" t="s">
        <v>70</v>
      </c>
      <c r="F354" t="s">
        <v>33</v>
      </c>
      <c r="G354" t="s">
        <v>71</v>
      </c>
      <c r="H354" t="s">
        <v>72</v>
      </c>
      <c r="I354" t="s">
        <v>1306</v>
      </c>
      <c r="J354" t="s">
        <v>1314</v>
      </c>
      <c r="K354" t="s">
        <v>36</v>
      </c>
      <c r="L354" t="s">
        <v>33</v>
      </c>
      <c r="M354">
        <v>20603822189</v>
      </c>
      <c r="N354" t="s">
        <v>439</v>
      </c>
      <c r="O354" t="s">
        <v>76</v>
      </c>
      <c r="P354" t="s">
        <v>38</v>
      </c>
      <c r="Q354">
        <v>4302571515031</v>
      </c>
      <c r="R354" t="s">
        <v>1315</v>
      </c>
      <c r="S354">
        <v>3157.8</v>
      </c>
      <c r="T354" t="s">
        <v>40</v>
      </c>
      <c r="U354">
        <f>+IF(Tabla1[[#This Row],[MONEDA]]="PEN",Tabla1[[#This Row],[MONTO]],Tabla1[[#This Row],[MONTO]]*3.56)</f>
        <v>3157.8</v>
      </c>
      <c r="X354" t="s">
        <v>81</v>
      </c>
      <c r="Y354" t="s">
        <v>42</v>
      </c>
      <c r="Z354" t="s">
        <v>82</v>
      </c>
      <c r="AA354" t="s">
        <v>1316</v>
      </c>
      <c r="AB354" t="s">
        <v>1317</v>
      </c>
      <c r="AC354" t="s">
        <v>1318</v>
      </c>
      <c r="AD354" t="s">
        <v>1319</v>
      </c>
      <c r="AE354">
        <v>3063.07</v>
      </c>
      <c r="AF354" t="s">
        <v>87</v>
      </c>
      <c r="AG354" t="s">
        <v>169</v>
      </c>
    </row>
    <row r="355" spans="1:33" hidden="1" x14ac:dyDescent="0.25">
      <c r="A355">
        <v>40952</v>
      </c>
      <c r="B355" t="s">
        <v>32</v>
      </c>
      <c r="C355">
        <v>1</v>
      </c>
      <c r="D355" t="s">
        <v>1766</v>
      </c>
      <c r="E355" t="s">
        <v>70</v>
      </c>
      <c r="F355" t="s">
        <v>33</v>
      </c>
      <c r="G355" t="s">
        <v>71</v>
      </c>
      <c r="H355" t="s">
        <v>35</v>
      </c>
      <c r="I355" t="s">
        <v>1738</v>
      </c>
      <c r="J355" t="s">
        <v>1767</v>
      </c>
      <c r="K355" t="s">
        <v>36</v>
      </c>
      <c r="L355" t="s">
        <v>33</v>
      </c>
      <c r="M355">
        <v>20603822189</v>
      </c>
      <c r="N355" t="s">
        <v>439</v>
      </c>
      <c r="O355" t="s">
        <v>76</v>
      </c>
      <c r="P355" t="s">
        <v>38</v>
      </c>
      <c r="Q355">
        <v>4302571515031</v>
      </c>
      <c r="R355" t="s">
        <v>1768</v>
      </c>
      <c r="S355">
        <v>2450</v>
      </c>
      <c r="T355" t="s">
        <v>40</v>
      </c>
      <c r="U355">
        <f>+IF(Tabla1[[#This Row],[MONEDA]]="PEN",Tabla1[[#This Row],[MONTO]],Tabla1[[#This Row],[MONTO]]*3.56)</f>
        <v>2450</v>
      </c>
      <c r="X355" t="s">
        <v>81</v>
      </c>
      <c r="Y355" t="s">
        <v>42</v>
      </c>
      <c r="Z355" t="s">
        <v>82</v>
      </c>
      <c r="AA355" t="s">
        <v>1769</v>
      </c>
      <c r="AB355" t="s">
        <v>1770</v>
      </c>
      <c r="AC355" t="s">
        <v>1771</v>
      </c>
      <c r="AD355" t="s">
        <v>1772</v>
      </c>
      <c r="AE355">
        <v>2376.5</v>
      </c>
      <c r="AF355" t="s">
        <v>87</v>
      </c>
      <c r="AG355" t="s">
        <v>169</v>
      </c>
    </row>
    <row r="356" spans="1:33" hidden="1" x14ac:dyDescent="0.25">
      <c r="A356">
        <v>40295</v>
      </c>
      <c r="B356" t="s">
        <v>32</v>
      </c>
      <c r="C356">
        <v>1</v>
      </c>
      <c r="D356" t="s">
        <v>2085</v>
      </c>
      <c r="E356" t="s">
        <v>70</v>
      </c>
      <c r="F356" t="s">
        <v>33</v>
      </c>
      <c r="G356" t="s">
        <v>71</v>
      </c>
      <c r="H356" t="s">
        <v>35</v>
      </c>
      <c r="I356" t="s">
        <v>2086</v>
      </c>
      <c r="J356" t="s">
        <v>2087</v>
      </c>
      <c r="K356" t="s">
        <v>36</v>
      </c>
      <c r="L356" t="s">
        <v>33</v>
      </c>
      <c r="M356">
        <v>20603822189</v>
      </c>
      <c r="N356" t="s">
        <v>439</v>
      </c>
      <c r="O356" t="s">
        <v>76</v>
      </c>
      <c r="P356" t="s">
        <v>38</v>
      </c>
      <c r="Q356">
        <v>4302571515031</v>
      </c>
      <c r="R356" t="s">
        <v>2088</v>
      </c>
      <c r="S356">
        <v>1220.5</v>
      </c>
      <c r="T356" t="s">
        <v>40</v>
      </c>
      <c r="U356">
        <f>+IF(Tabla1[[#This Row],[MONEDA]]="PEN",Tabla1[[#This Row],[MONTO]],Tabla1[[#This Row],[MONTO]]*3.56)</f>
        <v>1220.5</v>
      </c>
      <c r="X356" t="s">
        <v>81</v>
      </c>
      <c r="Y356" t="s">
        <v>42</v>
      </c>
      <c r="Z356" t="s">
        <v>82</v>
      </c>
      <c r="AA356" t="s">
        <v>2089</v>
      </c>
      <c r="AB356" t="s">
        <v>2090</v>
      </c>
      <c r="AC356" t="s">
        <v>2091</v>
      </c>
      <c r="AD356" t="s">
        <v>2092</v>
      </c>
      <c r="AE356">
        <v>1183.8900000000001</v>
      </c>
      <c r="AF356" t="s">
        <v>87</v>
      </c>
      <c r="AG356" t="s">
        <v>169</v>
      </c>
    </row>
    <row r="357" spans="1:33" hidden="1" x14ac:dyDescent="0.25">
      <c r="A357">
        <v>40125</v>
      </c>
      <c r="B357" t="s">
        <v>32</v>
      </c>
      <c r="C357">
        <v>1</v>
      </c>
      <c r="D357" t="s">
        <v>2181</v>
      </c>
      <c r="E357" t="s">
        <v>70</v>
      </c>
      <c r="F357" t="s">
        <v>33</v>
      </c>
      <c r="G357" t="s">
        <v>71</v>
      </c>
      <c r="H357" t="s">
        <v>35</v>
      </c>
      <c r="I357" t="s">
        <v>2162</v>
      </c>
      <c r="J357" t="s">
        <v>2182</v>
      </c>
      <c r="K357" t="s">
        <v>36</v>
      </c>
      <c r="L357" t="s">
        <v>33</v>
      </c>
      <c r="M357">
        <v>20603822189</v>
      </c>
      <c r="N357" t="s">
        <v>439</v>
      </c>
      <c r="O357" t="s">
        <v>76</v>
      </c>
      <c r="P357" t="s">
        <v>38</v>
      </c>
      <c r="Q357">
        <v>4302571515031</v>
      </c>
      <c r="R357" t="s">
        <v>2183</v>
      </c>
      <c r="S357">
        <v>3944</v>
      </c>
      <c r="T357" t="s">
        <v>40</v>
      </c>
      <c r="U357">
        <f>+IF(Tabla1[[#This Row],[MONEDA]]="PEN",Tabla1[[#This Row],[MONTO]],Tabla1[[#This Row],[MONTO]]*3.56)</f>
        <v>3944</v>
      </c>
      <c r="X357" t="s">
        <v>81</v>
      </c>
      <c r="Y357" t="s">
        <v>42</v>
      </c>
      <c r="Z357" t="s">
        <v>82</v>
      </c>
      <c r="AA357" t="s">
        <v>2184</v>
      </c>
      <c r="AB357" t="s">
        <v>2185</v>
      </c>
      <c r="AC357" t="s">
        <v>2186</v>
      </c>
      <c r="AD357" t="s">
        <v>2187</v>
      </c>
      <c r="AE357">
        <v>3825.68</v>
      </c>
      <c r="AF357" t="s">
        <v>87</v>
      </c>
      <c r="AG357" t="s">
        <v>169</v>
      </c>
    </row>
    <row r="358" spans="1:33" hidden="1" x14ac:dyDescent="0.25">
      <c r="A358">
        <v>39448</v>
      </c>
      <c r="B358" t="s">
        <v>32</v>
      </c>
      <c r="C358">
        <v>1</v>
      </c>
      <c r="D358" t="s">
        <v>2270</v>
      </c>
      <c r="E358" t="s">
        <v>70</v>
      </c>
      <c r="F358" t="s">
        <v>33</v>
      </c>
      <c r="G358" t="s">
        <v>71</v>
      </c>
      <c r="H358" t="s">
        <v>35</v>
      </c>
      <c r="I358" t="s">
        <v>2263</v>
      </c>
      <c r="J358" t="s">
        <v>2271</v>
      </c>
      <c r="K358" t="s">
        <v>36</v>
      </c>
      <c r="L358" t="s">
        <v>33</v>
      </c>
      <c r="M358">
        <v>20603822189</v>
      </c>
      <c r="N358" t="s">
        <v>439</v>
      </c>
      <c r="O358" t="s">
        <v>76</v>
      </c>
      <c r="P358" t="s">
        <v>38</v>
      </c>
      <c r="Q358">
        <v>4302571515031</v>
      </c>
      <c r="R358" t="s">
        <v>2272</v>
      </c>
      <c r="S358">
        <v>1456.3</v>
      </c>
      <c r="T358" t="s">
        <v>40</v>
      </c>
      <c r="U358">
        <f>+IF(Tabla1[[#This Row],[MONEDA]]="PEN",Tabla1[[#This Row],[MONTO]],Tabla1[[#This Row],[MONTO]]*3.56)</f>
        <v>1456.3</v>
      </c>
      <c r="X358" t="s">
        <v>81</v>
      </c>
      <c r="Y358" t="s">
        <v>42</v>
      </c>
      <c r="Z358" t="s">
        <v>82</v>
      </c>
      <c r="AA358" t="s">
        <v>2273</v>
      </c>
      <c r="AB358" t="s">
        <v>2274</v>
      </c>
      <c r="AC358" t="s">
        <v>2275</v>
      </c>
      <c r="AD358" t="s">
        <v>2276</v>
      </c>
      <c r="AE358">
        <v>1412.61</v>
      </c>
      <c r="AF358" t="s">
        <v>87</v>
      </c>
      <c r="AG358" t="s">
        <v>169</v>
      </c>
    </row>
    <row r="359" spans="1:33" hidden="1" x14ac:dyDescent="0.25">
      <c r="A359">
        <v>39249</v>
      </c>
      <c r="B359" t="s">
        <v>32</v>
      </c>
      <c r="C359">
        <v>1</v>
      </c>
      <c r="D359" t="s">
        <v>2472</v>
      </c>
      <c r="E359" t="s">
        <v>70</v>
      </c>
      <c r="F359" t="s">
        <v>33</v>
      </c>
      <c r="G359" t="s">
        <v>71</v>
      </c>
      <c r="H359" t="s">
        <v>35</v>
      </c>
      <c r="I359" t="s">
        <v>2458</v>
      </c>
      <c r="J359" t="s">
        <v>2473</v>
      </c>
      <c r="K359" t="s">
        <v>36</v>
      </c>
      <c r="L359" t="s">
        <v>33</v>
      </c>
      <c r="M359">
        <v>20603822189</v>
      </c>
      <c r="N359" t="s">
        <v>439</v>
      </c>
      <c r="O359" t="s">
        <v>76</v>
      </c>
      <c r="P359" t="s">
        <v>38</v>
      </c>
      <c r="Q359">
        <v>4302571515031</v>
      </c>
      <c r="R359" t="s">
        <v>2474</v>
      </c>
      <c r="S359">
        <v>4386.5</v>
      </c>
      <c r="T359" t="s">
        <v>40</v>
      </c>
      <c r="U359">
        <f>+IF(Tabla1[[#This Row],[MONEDA]]="PEN",Tabla1[[#This Row],[MONTO]],Tabla1[[#This Row],[MONTO]]*3.56)</f>
        <v>4386.5</v>
      </c>
      <c r="X359" t="s">
        <v>81</v>
      </c>
      <c r="Y359" t="s">
        <v>42</v>
      </c>
      <c r="Z359" t="s">
        <v>82</v>
      </c>
      <c r="AA359" t="s">
        <v>2475</v>
      </c>
      <c r="AB359" t="s">
        <v>2476</v>
      </c>
      <c r="AC359" t="s">
        <v>2477</v>
      </c>
      <c r="AD359" t="s">
        <v>2478</v>
      </c>
      <c r="AE359">
        <v>4254.91</v>
      </c>
      <c r="AF359" t="s">
        <v>87</v>
      </c>
      <c r="AG359" t="s">
        <v>169</v>
      </c>
    </row>
    <row r="360" spans="1:33" hidden="1" x14ac:dyDescent="0.25">
      <c r="A360">
        <v>37819</v>
      </c>
      <c r="B360" t="s">
        <v>32</v>
      </c>
      <c r="C360">
        <v>1</v>
      </c>
      <c r="D360" t="s">
        <v>3101</v>
      </c>
      <c r="E360" t="s">
        <v>70</v>
      </c>
      <c r="F360" t="s">
        <v>33</v>
      </c>
      <c r="G360" t="s">
        <v>71</v>
      </c>
      <c r="H360" t="s">
        <v>35</v>
      </c>
      <c r="I360" t="s">
        <v>3058</v>
      </c>
      <c r="J360" t="s">
        <v>3102</v>
      </c>
      <c r="K360" t="s">
        <v>36</v>
      </c>
      <c r="L360" t="s">
        <v>33</v>
      </c>
      <c r="M360">
        <v>20603822189</v>
      </c>
      <c r="N360" t="s">
        <v>439</v>
      </c>
      <c r="O360" t="s">
        <v>76</v>
      </c>
      <c r="P360" t="s">
        <v>38</v>
      </c>
      <c r="Q360">
        <v>4302571515031</v>
      </c>
      <c r="R360" t="s">
        <v>3103</v>
      </c>
      <c r="S360">
        <v>3262.8</v>
      </c>
      <c r="T360" t="s">
        <v>40</v>
      </c>
      <c r="U360">
        <f>+IF(Tabla1[[#This Row],[MONEDA]]="PEN",Tabla1[[#This Row],[MONTO]],Tabla1[[#This Row],[MONTO]]*3.56)</f>
        <v>3262.8</v>
      </c>
      <c r="X360" t="s">
        <v>81</v>
      </c>
      <c r="Y360" t="s">
        <v>42</v>
      </c>
      <c r="Z360" t="s">
        <v>82</v>
      </c>
      <c r="AA360" t="s">
        <v>3104</v>
      </c>
      <c r="AB360" t="s">
        <v>3105</v>
      </c>
      <c r="AC360" t="s">
        <v>3106</v>
      </c>
      <c r="AD360" t="s">
        <v>3107</v>
      </c>
      <c r="AE360">
        <v>3164.92</v>
      </c>
      <c r="AF360" t="s">
        <v>87</v>
      </c>
      <c r="AG360" t="s">
        <v>169</v>
      </c>
    </row>
    <row r="361" spans="1:33" hidden="1" x14ac:dyDescent="0.25">
      <c r="A361">
        <v>36369</v>
      </c>
      <c r="B361" t="s">
        <v>32</v>
      </c>
      <c r="C361">
        <v>2</v>
      </c>
      <c r="D361" t="s">
        <v>3693</v>
      </c>
      <c r="E361" t="s">
        <v>70</v>
      </c>
      <c r="F361" t="s">
        <v>33</v>
      </c>
      <c r="G361" t="s">
        <v>71</v>
      </c>
      <c r="H361" t="s">
        <v>72</v>
      </c>
      <c r="I361" t="s">
        <v>3660</v>
      </c>
      <c r="J361" t="s">
        <v>3694</v>
      </c>
      <c r="K361" t="s">
        <v>36</v>
      </c>
      <c r="L361" t="s">
        <v>33</v>
      </c>
      <c r="M361">
        <v>20603822189</v>
      </c>
      <c r="N361" t="s">
        <v>439</v>
      </c>
      <c r="O361" t="s">
        <v>76</v>
      </c>
      <c r="P361" t="s">
        <v>38</v>
      </c>
      <c r="Q361">
        <v>4302571515031</v>
      </c>
      <c r="R361" t="s">
        <v>3695</v>
      </c>
      <c r="S361">
        <v>3290</v>
      </c>
      <c r="T361" t="s">
        <v>40</v>
      </c>
      <c r="U361">
        <f>+IF(Tabla1[[#This Row],[MONEDA]]="PEN",Tabla1[[#This Row],[MONTO]],Tabla1[[#This Row],[MONTO]]*3.56)</f>
        <v>3290</v>
      </c>
      <c r="X361" t="s">
        <v>81</v>
      </c>
      <c r="Y361" t="s">
        <v>42</v>
      </c>
      <c r="Z361" t="s">
        <v>43</v>
      </c>
      <c r="AA361" t="s">
        <v>3696</v>
      </c>
      <c r="AB361" t="s">
        <v>3697</v>
      </c>
      <c r="AC361" t="s">
        <v>3698</v>
      </c>
      <c r="AD361" t="s">
        <v>3699</v>
      </c>
      <c r="AE361">
        <v>3191.3</v>
      </c>
      <c r="AF361" t="s">
        <v>87</v>
      </c>
      <c r="AG361" t="s">
        <v>169</v>
      </c>
    </row>
    <row r="362" spans="1:33" hidden="1" x14ac:dyDescent="0.25">
      <c r="A362">
        <v>35279</v>
      </c>
      <c r="B362" t="s">
        <v>32</v>
      </c>
      <c r="C362">
        <v>1</v>
      </c>
      <c r="D362" t="s">
        <v>4271</v>
      </c>
      <c r="E362" t="s">
        <v>70</v>
      </c>
      <c r="F362" t="s">
        <v>33</v>
      </c>
      <c r="G362" t="s">
        <v>71</v>
      </c>
      <c r="H362" t="s">
        <v>72</v>
      </c>
      <c r="I362" t="s">
        <v>4257</v>
      </c>
      <c r="J362" t="s">
        <v>4272</v>
      </c>
      <c r="K362" t="s">
        <v>36</v>
      </c>
      <c r="L362" t="s">
        <v>33</v>
      </c>
      <c r="M362">
        <v>20603822189</v>
      </c>
      <c r="N362" t="s">
        <v>439</v>
      </c>
      <c r="O362" t="s">
        <v>76</v>
      </c>
      <c r="P362" t="s">
        <v>38</v>
      </c>
      <c r="Q362">
        <v>4302571515031</v>
      </c>
      <c r="R362" t="s">
        <v>4273</v>
      </c>
      <c r="S362">
        <v>2380</v>
      </c>
      <c r="T362" t="s">
        <v>40</v>
      </c>
      <c r="U362">
        <f>+IF(Tabla1[[#This Row],[MONEDA]]="PEN",Tabla1[[#This Row],[MONTO]],Tabla1[[#This Row],[MONTO]]*3.56)</f>
        <v>2380</v>
      </c>
      <c r="X362" t="s">
        <v>81</v>
      </c>
      <c r="Y362" t="s">
        <v>42</v>
      </c>
      <c r="Z362" t="s">
        <v>43</v>
      </c>
      <c r="AA362" t="s">
        <v>4225</v>
      </c>
      <c r="AB362" t="s">
        <v>4274</v>
      </c>
      <c r="AC362" t="s">
        <v>4275</v>
      </c>
      <c r="AD362" t="s">
        <v>4276</v>
      </c>
      <c r="AE362">
        <v>2308.6</v>
      </c>
      <c r="AF362" t="s">
        <v>87</v>
      </c>
      <c r="AG362" t="s">
        <v>169</v>
      </c>
    </row>
    <row r="363" spans="1:33" hidden="1" x14ac:dyDescent="0.25">
      <c r="A363">
        <v>34654</v>
      </c>
      <c r="B363" t="s">
        <v>32</v>
      </c>
      <c r="C363">
        <v>1</v>
      </c>
      <c r="D363" t="s">
        <v>4540</v>
      </c>
      <c r="E363" t="s">
        <v>70</v>
      </c>
      <c r="F363" t="s">
        <v>33</v>
      </c>
      <c r="G363" t="s">
        <v>71</v>
      </c>
      <c r="H363" t="s">
        <v>72</v>
      </c>
      <c r="I363" t="s">
        <v>4533</v>
      </c>
      <c r="J363" t="s">
        <v>4541</v>
      </c>
      <c r="K363" t="s">
        <v>36</v>
      </c>
      <c r="L363" t="s">
        <v>33</v>
      </c>
      <c r="M363">
        <v>20603822189</v>
      </c>
      <c r="N363" t="s">
        <v>439</v>
      </c>
      <c r="O363" t="s">
        <v>76</v>
      </c>
      <c r="P363" t="s">
        <v>38</v>
      </c>
      <c r="Q363">
        <v>4302571515031</v>
      </c>
      <c r="R363" t="s">
        <v>4542</v>
      </c>
      <c r="S363">
        <v>2738.5</v>
      </c>
      <c r="T363" t="s">
        <v>40</v>
      </c>
      <c r="U363">
        <f>+IF(Tabla1[[#This Row],[MONEDA]]="PEN",Tabla1[[#This Row],[MONTO]],Tabla1[[#This Row],[MONTO]]*3.56)</f>
        <v>2738.5</v>
      </c>
      <c r="X363" t="s">
        <v>81</v>
      </c>
      <c r="Y363" t="s">
        <v>42</v>
      </c>
      <c r="Z363" t="s">
        <v>82</v>
      </c>
      <c r="AA363" t="s">
        <v>4543</v>
      </c>
      <c r="AB363" t="s">
        <v>4544</v>
      </c>
      <c r="AC363" t="s">
        <v>4545</v>
      </c>
      <c r="AD363" t="s">
        <v>4546</v>
      </c>
      <c r="AE363">
        <v>2656.35</v>
      </c>
      <c r="AF363" t="s">
        <v>87</v>
      </c>
      <c r="AG363" t="s">
        <v>169</v>
      </c>
    </row>
    <row r="364" spans="1:33" hidden="1" x14ac:dyDescent="0.25">
      <c r="A364">
        <v>32849</v>
      </c>
      <c r="B364" t="s">
        <v>32</v>
      </c>
      <c r="C364">
        <v>1</v>
      </c>
      <c r="D364" t="s">
        <v>5270</v>
      </c>
      <c r="E364" t="s">
        <v>70</v>
      </c>
      <c r="F364" t="s">
        <v>33</v>
      </c>
      <c r="G364" t="s">
        <v>71</v>
      </c>
      <c r="H364" t="s">
        <v>72</v>
      </c>
      <c r="I364" t="s">
        <v>5234</v>
      </c>
      <c r="J364" t="s">
        <v>5271</v>
      </c>
      <c r="K364" t="s">
        <v>36</v>
      </c>
      <c r="L364" t="s">
        <v>33</v>
      </c>
      <c r="M364">
        <v>20603822189</v>
      </c>
      <c r="N364" t="s">
        <v>439</v>
      </c>
      <c r="O364" t="s">
        <v>76</v>
      </c>
      <c r="P364" t="s">
        <v>38</v>
      </c>
      <c r="Q364">
        <v>4302571515031</v>
      </c>
      <c r="R364" t="s">
        <v>5272</v>
      </c>
      <c r="S364">
        <v>2847.8</v>
      </c>
      <c r="T364" t="s">
        <v>40</v>
      </c>
      <c r="U364">
        <f>+IF(Tabla1[[#This Row],[MONEDA]]="PEN",Tabla1[[#This Row],[MONTO]],Tabla1[[#This Row],[MONTO]]*3.56)</f>
        <v>2847.8</v>
      </c>
      <c r="X364" t="s">
        <v>81</v>
      </c>
      <c r="Y364" t="s">
        <v>42</v>
      </c>
      <c r="Z364" t="s">
        <v>43</v>
      </c>
      <c r="AA364" t="s">
        <v>5273</v>
      </c>
      <c r="AB364" t="s">
        <v>5274</v>
      </c>
      <c r="AC364" t="s">
        <v>5275</v>
      </c>
      <c r="AD364" t="s">
        <v>5276</v>
      </c>
      <c r="AE364">
        <v>2762.37</v>
      </c>
      <c r="AF364" t="s">
        <v>87</v>
      </c>
      <c r="AG364" t="s">
        <v>169</v>
      </c>
    </row>
    <row r="365" spans="1:33" hidden="1" x14ac:dyDescent="0.25">
      <c r="A365">
        <v>31511</v>
      </c>
      <c r="B365" t="s">
        <v>32</v>
      </c>
      <c r="C365">
        <v>1</v>
      </c>
      <c r="D365" t="s">
        <v>5730</v>
      </c>
      <c r="E365" t="s">
        <v>70</v>
      </c>
      <c r="F365" t="s">
        <v>33</v>
      </c>
      <c r="G365" t="s">
        <v>71</v>
      </c>
      <c r="H365" t="s">
        <v>72</v>
      </c>
      <c r="I365" t="s">
        <v>5709</v>
      </c>
      <c r="J365" t="s">
        <v>5731</v>
      </c>
      <c r="K365" t="s">
        <v>36</v>
      </c>
      <c r="L365" t="s">
        <v>33</v>
      </c>
      <c r="M365">
        <v>20603822189</v>
      </c>
      <c r="N365" t="s">
        <v>439</v>
      </c>
      <c r="O365" t="s">
        <v>76</v>
      </c>
      <c r="P365" t="s">
        <v>38</v>
      </c>
      <c r="Q365">
        <v>4302571515031</v>
      </c>
      <c r="R365" t="s">
        <v>5732</v>
      </c>
      <c r="S365">
        <v>3581.5</v>
      </c>
      <c r="T365" t="s">
        <v>40</v>
      </c>
      <c r="U365">
        <f>+IF(Tabla1[[#This Row],[MONEDA]]="PEN",Tabla1[[#This Row],[MONTO]],Tabla1[[#This Row],[MONTO]]*3.56)</f>
        <v>3581.5</v>
      </c>
      <c r="X365" t="s">
        <v>81</v>
      </c>
      <c r="Y365" t="s">
        <v>42</v>
      </c>
      <c r="Z365" t="s">
        <v>43</v>
      </c>
      <c r="AA365" t="s">
        <v>5733</v>
      </c>
      <c r="AB365" t="s">
        <v>5734</v>
      </c>
      <c r="AC365" t="s">
        <v>5735</v>
      </c>
      <c r="AD365" t="s">
        <v>5736</v>
      </c>
      <c r="AE365">
        <v>3474.06</v>
      </c>
      <c r="AF365" t="s">
        <v>87</v>
      </c>
      <c r="AG365" t="s">
        <v>169</v>
      </c>
    </row>
    <row r="366" spans="1:33" hidden="1" x14ac:dyDescent="0.25">
      <c r="A366">
        <v>29989</v>
      </c>
      <c r="B366" t="s">
        <v>32</v>
      </c>
      <c r="C366">
        <v>2</v>
      </c>
      <c r="D366" t="s">
        <v>6491</v>
      </c>
      <c r="E366" t="s">
        <v>70</v>
      </c>
      <c r="F366" t="s">
        <v>33</v>
      </c>
      <c r="G366" t="s">
        <v>71</v>
      </c>
      <c r="H366" t="s">
        <v>72</v>
      </c>
      <c r="I366" t="s">
        <v>6492</v>
      </c>
      <c r="J366" t="s">
        <v>6493</v>
      </c>
      <c r="K366" t="s">
        <v>36</v>
      </c>
      <c r="L366" t="s">
        <v>33</v>
      </c>
      <c r="M366">
        <v>20603822189</v>
      </c>
      <c r="N366" t="s">
        <v>439</v>
      </c>
      <c r="O366" t="s">
        <v>76</v>
      </c>
      <c r="P366" t="s">
        <v>38</v>
      </c>
      <c r="Q366">
        <v>4302571515031</v>
      </c>
      <c r="R366" t="s">
        <v>6494</v>
      </c>
      <c r="S366">
        <v>3619.3</v>
      </c>
      <c r="T366" t="s">
        <v>40</v>
      </c>
      <c r="U366">
        <f>+IF(Tabla1[[#This Row],[MONEDA]]="PEN",Tabla1[[#This Row],[MONTO]],Tabla1[[#This Row],[MONTO]]*3.56)</f>
        <v>3619.3</v>
      </c>
      <c r="X366" t="s">
        <v>81</v>
      </c>
      <c r="Y366" t="s">
        <v>42</v>
      </c>
      <c r="Z366" t="s">
        <v>43</v>
      </c>
      <c r="AA366" t="s">
        <v>6495</v>
      </c>
      <c r="AB366" t="s">
        <v>6496</v>
      </c>
      <c r="AC366" t="s">
        <v>6497</v>
      </c>
      <c r="AD366" t="s">
        <v>6498</v>
      </c>
      <c r="AE366">
        <v>3510.72</v>
      </c>
      <c r="AF366" t="s">
        <v>87</v>
      </c>
      <c r="AG366" t="s">
        <v>169</v>
      </c>
    </row>
    <row r="367" spans="1:33" hidden="1" x14ac:dyDescent="0.25">
      <c r="A367">
        <v>29844</v>
      </c>
      <c r="B367" t="s">
        <v>32</v>
      </c>
      <c r="C367">
        <v>1</v>
      </c>
      <c r="D367" t="s">
        <v>6591</v>
      </c>
      <c r="E367" t="s">
        <v>70</v>
      </c>
      <c r="F367" t="s">
        <v>33</v>
      </c>
      <c r="G367" t="s">
        <v>71</v>
      </c>
      <c r="H367" t="s">
        <v>72</v>
      </c>
      <c r="I367" t="s">
        <v>6592</v>
      </c>
      <c r="J367" t="s">
        <v>6593</v>
      </c>
      <c r="K367" t="s">
        <v>36</v>
      </c>
      <c r="L367" t="s">
        <v>33</v>
      </c>
      <c r="M367">
        <v>20603822189</v>
      </c>
      <c r="N367" t="s">
        <v>439</v>
      </c>
      <c r="O367" t="s">
        <v>76</v>
      </c>
      <c r="R367" t="s">
        <v>6594</v>
      </c>
      <c r="S367">
        <v>40</v>
      </c>
      <c r="T367" t="s">
        <v>40</v>
      </c>
      <c r="U367">
        <f>+IF(Tabla1[[#This Row],[MONEDA]]="PEN",Tabla1[[#This Row],[MONTO]],Tabla1[[#This Row],[MONTO]]*3.56)</f>
        <v>40</v>
      </c>
      <c r="V367" t="s">
        <v>190</v>
      </c>
      <c r="W367">
        <v>28316</v>
      </c>
      <c r="X367" t="s">
        <v>41</v>
      </c>
      <c r="Y367" t="s">
        <v>42</v>
      </c>
      <c r="Z367" t="s">
        <v>43</v>
      </c>
      <c r="AA367" t="s">
        <v>6588</v>
      </c>
      <c r="AC367" t="s">
        <v>6595</v>
      </c>
      <c r="AD367" t="s">
        <v>6596</v>
      </c>
    </row>
    <row r="368" spans="1:33" hidden="1" x14ac:dyDescent="0.25">
      <c r="A368">
        <v>29722</v>
      </c>
      <c r="B368" t="s">
        <v>32</v>
      </c>
      <c r="C368">
        <v>1</v>
      </c>
      <c r="D368" t="s">
        <v>6728</v>
      </c>
      <c r="E368" t="s">
        <v>70</v>
      </c>
      <c r="F368" t="s">
        <v>33</v>
      </c>
      <c r="G368" t="s">
        <v>71</v>
      </c>
      <c r="H368" t="s">
        <v>72</v>
      </c>
      <c r="I368" t="s">
        <v>6714</v>
      </c>
      <c r="J368" t="s">
        <v>6729</v>
      </c>
      <c r="K368" t="s">
        <v>36</v>
      </c>
      <c r="L368" t="s">
        <v>33</v>
      </c>
      <c r="M368">
        <v>20603822189</v>
      </c>
      <c r="N368" t="s">
        <v>439</v>
      </c>
      <c r="O368" t="s">
        <v>76</v>
      </c>
      <c r="P368" t="s">
        <v>38</v>
      </c>
      <c r="Q368">
        <v>4302571515031</v>
      </c>
      <c r="R368" t="s">
        <v>6730</v>
      </c>
      <c r="S368">
        <v>2773.4</v>
      </c>
      <c r="T368" t="s">
        <v>40</v>
      </c>
      <c r="U368">
        <f>+IF(Tabla1[[#This Row],[MONEDA]]="PEN",Tabla1[[#This Row],[MONTO]],Tabla1[[#This Row],[MONTO]]*3.56)</f>
        <v>2773.4</v>
      </c>
      <c r="X368" t="s">
        <v>81</v>
      </c>
      <c r="Y368" t="s">
        <v>42</v>
      </c>
      <c r="Z368" t="s">
        <v>43</v>
      </c>
      <c r="AA368" t="s">
        <v>6731</v>
      </c>
      <c r="AB368" t="s">
        <v>6732</v>
      </c>
      <c r="AC368" t="s">
        <v>6733</v>
      </c>
      <c r="AD368" t="s">
        <v>6734</v>
      </c>
      <c r="AE368">
        <v>2690.2</v>
      </c>
      <c r="AF368" t="s">
        <v>87</v>
      </c>
      <c r="AG368" t="s">
        <v>169</v>
      </c>
    </row>
    <row r="369" spans="1:33" hidden="1" x14ac:dyDescent="0.25">
      <c r="A369">
        <v>28880</v>
      </c>
      <c r="B369" t="s">
        <v>32</v>
      </c>
      <c r="C369">
        <v>1</v>
      </c>
      <c r="D369" t="s">
        <v>7314</v>
      </c>
      <c r="E369" t="s">
        <v>70</v>
      </c>
      <c r="F369" t="s">
        <v>33</v>
      </c>
      <c r="G369" t="s">
        <v>71</v>
      </c>
      <c r="H369" t="s">
        <v>72</v>
      </c>
      <c r="I369" t="s">
        <v>7315</v>
      </c>
      <c r="J369" t="s">
        <v>7316</v>
      </c>
      <c r="K369" t="s">
        <v>36</v>
      </c>
      <c r="L369" t="s">
        <v>33</v>
      </c>
      <c r="M369">
        <v>20603822189</v>
      </c>
      <c r="N369" t="s">
        <v>439</v>
      </c>
      <c r="O369" t="s">
        <v>76</v>
      </c>
      <c r="P369" t="s">
        <v>38</v>
      </c>
      <c r="Q369">
        <v>4302571515031</v>
      </c>
      <c r="R369" t="s">
        <v>7317</v>
      </c>
      <c r="S369">
        <v>4097.1000000000004</v>
      </c>
      <c r="T369" t="s">
        <v>40</v>
      </c>
      <c r="U369">
        <f>+IF(Tabla1[[#This Row],[MONEDA]]="PEN",Tabla1[[#This Row],[MONTO]],Tabla1[[#This Row],[MONTO]]*3.56)</f>
        <v>4097.1000000000004</v>
      </c>
      <c r="X369" t="s">
        <v>81</v>
      </c>
      <c r="Y369" t="s">
        <v>42</v>
      </c>
      <c r="Z369" t="s">
        <v>43</v>
      </c>
      <c r="AA369" t="s">
        <v>7318</v>
      </c>
      <c r="AB369" t="s">
        <v>7319</v>
      </c>
      <c r="AC369" t="s">
        <v>7320</v>
      </c>
      <c r="AD369" t="s">
        <v>7321</v>
      </c>
      <c r="AE369">
        <v>3974.19</v>
      </c>
      <c r="AF369" t="s">
        <v>87</v>
      </c>
      <c r="AG369" t="s">
        <v>169</v>
      </c>
    </row>
    <row r="370" spans="1:33" x14ac:dyDescent="0.25">
      <c r="A370">
        <v>27541</v>
      </c>
      <c r="B370" t="s">
        <v>32</v>
      </c>
      <c r="C370">
        <v>1</v>
      </c>
      <c r="D370" t="s">
        <v>8257</v>
      </c>
      <c r="E370" t="s">
        <v>70</v>
      </c>
      <c r="F370" t="s">
        <v>5328</v>
      </c>
      <c r="G370" t="s">
        <v>5329</v>
      </c>
      <c r="H370" t="s">
        <v>72</v>
      </c>
      <c r="I370" t="s">
        <v>8258</v>
      </c>
      <c r="J370" t="s">
        <v>8259</v>
      </c>
      <c r="K370" t="s">
        <v>36</v>
      </c>
      <c r="L370" t="s">
        <v>33</v>
      </c>
      <c r="M370">
        <v>20603822189</v>
      </c>
      <c r="N370" t="s">
        <v>439</v>
      </c>
      <c r="O370" t="s">
        <v>6159</v>
      </c>
      <c r="P370" t="s">
        <v>38</v>
      </c>
      <c r="Q370">
        <v>4302571515031</v>
      </c>
      <c r="R370" t="s">
        <v>8260</v>
      </c>
      <c r="S370">
        <v>3750</v>
      </c>
      <c r="T370" t="s">
        <v>40</v>
      </c>
      <c r="U370">
        <f>+IF(Tabla1[[#This Row],[MONEDA]]="PEN",Tabla1[[#This Row],[MONTO]],Tabla1[[#This Row],[MONTO]]*3.56)</f>
        <v>3750</v>
      </c>
      <c r="X370" t="s">
        <v>81</v>
      </c>
      <c r="Y370" t="s">
        <v>42</v>
      </c>
      <c r="Z370" t="s">
        <v>43</v>
      </c>
      <c r="AA370" t="s">
        <v>8261</v>
      </c>
      <c r="AB370" t="s">
        <v>8262</v>
      </c>
      <c r="AC370" t="s">
        <v>8263</v>
      </c>
      <c r="AD370" t="s">
        <v>8264</v>
      </c>
      <c r="AE370">
        <v>3637.5</v>
      </c>
      <c r="AF370" t="s">
        <v>87</v>
      </c>
      <c r="AG370" t="s">
        <v>169</v>
      </c>
    </row>
    <row r="371" spans="1:33" x14ac:dyDescent="0.25">
      <c r="A371">
        <v>27183</v>
      </c>
      <c r="B371" t="s">
        <v>32</v>
      </c>
      <c r="C371">
        <v>1</v>
      </c>
      <c r="D371" t="s">
        <v>8641</v>
      </c>
      <c r="E371" t="s">
        <v>70</v>
      </c>
      <c r="F371" t="s">
        <v>5328</v>
      </c>
      <c r="G371" t="s">
        <v>5329</v>
      </c>
      <c r="H371" t="s">
        <v>72</v>
      </c>
      <c r="I371" t="s">
        <v>8642</v>
      </c>
      <c r="J371" t="s">
        <v>8643</v>
      </c>
      <c r="K371" t="s">
        <v>36</v>
      </c>
      <c r="L371" t="s">
        <v>33</v>
      </c>
      <c r="M371">
        <v>20603822189</v>
      </c>
      <c r="N371" t="s">
        <v>439</v>
      </c>
      <c r="O371" t="s">
        <v>6159</v>
      </c>
      <c r="P371" t="s">
        <v>38</v>
      </c>
      <c r="Q371">
        <v>4302571515031</v>
      </c>
      <c r="R371" t="s">
        <v>8644</v>
      </c>
      <c r="S371">
        <v>954.5</v>
      </c>
      <c r="T371" t="s">
        <v>40</v>
      </c>
      <c r="U371">
        <f>+IF(Tabla1[[#This Row],[MONEDA]]="PEN",Tabla1[[#This Row],[MONTO]],Tabla1[[#This Row],[MONTO]]*3.56)</f>
        <v>954.5</v>
      </c>
      <c r="X371" t="s">
        <v>81</v>
      </c>
      <c r="Y371" t="s">
        <v>42</v>
      </c>
      <c r="Z371" t="s">
        <v>82</v>
      </c>
      <c r="AA371" t="s">
        <v>8645</v>
      </c>
      <c r="AB371" t="s">
        <v>8646</v>
      </c>
      <c r="AC371" t="s">
        <v>8647</v>
      </c>
      <c r="AD371" t="s">
        <v>8648</v>
      </c>
      <c r="AE371">
        <v>925.87</v>
      </c>
      <c r="AF371" t="s">
        <v>87</v>
      </c>
      <c r="AG371" t="s">
        <v>169</v>
      </c>
    </row>
    <row r="372" spans="1:33" hidden="1" x14ac:dyDescent="0.25">
      <c r="A372">
        <v>26298</v>
      </c>
      <c r="B372" t="s">
        <v>32</v>
      </c>
      <c r="C372">
        <v>2</v>
      </c>
      <c r="D372" t="s">
        <v>9315</v>
      </c>
      <c r="E372" t="s">
        <v>70</v>
      </c>
      <c r="F372" t="s">
        <v>33</v>
      </c>
      <c r="G372" t="s">
        <v>71</v>
      </c>
      <c r="H372" t="s">
        <v>72</v>
      </c>
      <c r="I372" t="s">
        <v>9308</v>
      </c>
      <c r="J372" t="s">
        <v>9316</v>
      </c>
      <c r="K372" t="s">
        <v>36</v>
      </c>
      <c r="L372" t="s">
        <v>33</v>
      </c>
      <c r="M372">
        <v>20603822189</v>
      </c>
      <c r="N372" t="s">
        <v>439</v>
      </c>
      <c r="O372" t="s">
        <v>76</v>
      </c>
      <c r="P372" t="s">
        <v>38</v>
      </c>
      <c r="Q372">
        <v>4302571515031</v>
      </c>
      <c r="R372" t="s">
        <v>9317</v>
      </c>
      <c r="S372">
        <v>4627</v>
      </c>
      <c r="T372" t="s">
        <v>40</v>
      </c>
      <c r="U372">
        <f>+IF(Tabla1[[#This Row],[MONEDA]]="PEN",Tabla1[[#This Row],[MONTO]],Tabla1[[#This Row],[MONTO]]*3.56)</f>
        <v>4627</v>
      </c>
      <c r="X372" t="s">
        <v>81</v>
      </c>
      <c r="Y372" t="s">
        <v>42</v>
      </c>
      <c r="Z372" t="s">
        <v>82</v>
      </c>
      <c r="AA372" t="s">
        <v>9318</v>
      </c>
      <c r="AB372" t="s">
        <v>9319</v>
      </c>
      <c r="AC372" t="s">
        <v>9320</v>
      </c>
      <c r="AD372" t="s">
        <v>9321</v>
      </c>
      <c r="AE372">
        <v>4488.1899999999996</v>
      </c>
      <c r="AF372" t="s">
        <v>87</v>
      </c>
      <c r="AG372" t="s">
        <v>169</v>
      </c>
    </row>
    <row r="373" spans="1:33" hidden="1" x14ac:dyDescent="0.25">
      <c r="A373">
        <v>25903</v>
      </c>
      <c r="B373" t="s">
        <v>32</v>
      </c>
      <c r="C373">
        <v>1</v>
      </c>
      <c r="D373" t="s">
        <v>9526</v>
      </c>
      <c r="E373" t="s">
        <v>70</v>
      </c>
      <c r="F373" t="s">
        <v>33</v>
      </c>
      <c r="G373" t="s">
        <v>71</v>
      </c>
      <c r="H373" t="s">
        <v>72</v>
      </c>
      <c r="I373" t="s">
        <v>9519</v>
      </c>
      <c r="J373" t="s">
        <v>9527</v>
      </c>
      <c r="K373" t="s">
        <v>36</v>
      </c>
      <c r="L373" t="s">
        <v>33</v>
      </c>
      <c r="M373">
        <v>20603822189</v>
      </c>
      <c r="N373" t="s">
        <v>439</v>
      </c>
      <c r="O373" t="s">
        <v>76</v>
      </c>
      <c r="P373" t="s">
        <v>38</v>
      </c>
      <c r="Q373">
        <v>4302571515031</v>
      </c>
      <c r="R373" t="s">
        <v>9528</v>
      </c>
      <c r="S373">
        <v>2366</v>
      </c>
      <c r="T373" t="s">
        <v>40</v>
      </c>
      <c r="U373">
        <f>+IF(Tabla1[[#This Row],[MONEDA]]="PEN",Tabla1[[#This Row],[MONTO]],Tabla1[[#This Row],[MONTO]]*3.56)</f>
        <v>2366</v>
      </c>
      <c r="X373" t="s">
        <v>81</v>
      </c>
      <c r="Y373" t="s">
        <v>42</v>
      </c>
      <c r="Z373" t="s">
        <v>82</v>
      </c>
      <c r="AA373" t="s">
        <v>9529</v>
      </c>
      <c r="AB373" t="s">
        <v>9530</v>
      </c>
      <c r="AC373" t="s">
        <v>9531</v>
      </c>
      <c r="AD373" t="s">
        <v>9532</v>
      </c>
      <c r="AE373">
        <v>2295.02</v>
      </c>
      <c r="AF373" t="s">
        <v>87</v>
      </c>
      <c r="AG373" t="s">
        <v>169</v>
      </c>
    </row>
    <row r="374" spans="1:33" hidden="1" x14ac:dyDescent="0.25">
      <c r="A374">
        <v>24771</v>
      </c>
      <c r="B374" t="s">
        <v>32</v>
      </c>
      <c r="C374">
        <v>1</v>
      </c>
      <c r="D374" t="s">
        <v>10075</v>
      </c>
      <c r="E374" t="s">
        <v>70</v>
      </c>
      <c r="F374" t="s">
        <v>33</v>
      </c>
      <c r="G374" t="s">
        <v>71</v>
      </c>
      <c r="H374" t="s">
        <v>72</v>
      </c>
      <c r="I374" t="s">
        <v>10076</v>
      </c>
      <c r="J374" t="s">
        <v>10077</v>
      </c>
      <c r="K374" t="s">
        <v>36</v>
      </c>
      <c r="L374" t="s">
        <v>33</v>
      </c>
      <c r="M374">
        <v>20603822189</v>
      </c>
      <c r="N374" t="s">
        <v>439</v>
      </c>
      <c r="O374" t="s">
        <v>76</v>
      </c>
      <c r="P374" t="s">
        <v>38</v>
      </c>
      <c r="Q374">
        <v>4302571515031</v>
      </c>
      <c r="R374" t="s">
        <v>10078</v>
      </c>
      <c r="S374">
        <v>1317.1</v>
      </c>
      <c r="T374" t="s">
        <v>40</v>
      </c>
      <c r="U374">
        <f>+IF(Tabla1[[#This Row],[MONEDA]]="PEN",Tabla1[[#This Row],[MONTO]],Tabla1[[#This Row],[MONTO]]*3.56)</f>
        <v>1317.1</v>
      </c>
      <c r="X374" t="s">
        <v>81</v>
      </c>
      <c r="Y374" t="s">
        <v>42</v>
      </c>
      <c r="Z374" t="s">
        <v>82</v>
      </c>
      <c r="AA374" t="s">
        <v>10079</v>
      </c>
      <c r="AB374" t="s">
        <v>10080</v>
      </c>
      <c r="AC374" t="s">
        <v>10081</v>
      </c>
      <c r="AD374" t="s">
        <v>10082</v>
      </c>
      <c r="AE374">
        <v>1277.5899999999999</v>
      </c>
      <c r="AF374" t="s">
        <v>87</v>
      </c>
      <c r="AG374" t="s">
        <v>169</v>
      </c>
    </row>
    <row r="375" spans="1:33" hidden="1" x14ac:dyDescent="0.25">
      <c r="A375">
        <v>24450</v>
      </c>
      <c r="B375" t="s">
        <v>32</v>
      </c>
      <c r="C375">
        <v>1</v>
      </c>
      <c r="D375" t="s">
        <v>10185</v>
      </c>
      <c r="E375" t="s">
        <v>70</v>
      </c>
      <c r="F375" t="s">
        <v>33</v>
      </c>
      <c r="G375" t="s">
        <v>71</v>
      </c>
      <c r="H375" t="s">
        <v>72</v>
      </c>
      <c r="I375" t="s">
        <v>10164</v>
      </c>
      <c r="J375" t="s">
        <v>10186</v>
      </c>
      <c r="K375" t="s">
        <v>36</v>
      </c>
      <c r="L375" t="s">
        <v>33</v>
      </c>
      <c r="M375">
        <v>20603822189</v>
      </c>
      <c r="N375" t="s">
        <v>439</v>
      </c>
      <c r="O375" t="s">
        <v>76</v>
      </c>
      <c r="P375" t="s">
        <v>38</v>
      </c>
      <c r="Q375">
        <v>4302571515031</v>
      </c>
      <c r="R375" t="s">
        <v>10187</v>
      </c>
      <c r="S375">
        <v>1725</v>
      </c>
      <c r="T375" t="s">
        <v>40</v>
      </c>
      <c r="U375">
        <f>+IF(Tabla1[[#This Row],[MONEDA]]="PEN",Tabla1[[#This Row],[MONTO]],Tabla1[[#This Row],[MONTO]]*3.56)</f>
        <v>1725</v>
      </c>
      <c r="X375" t="s">
        <v>81</v>
      </c>
      <c r="Y375" t="s">
        <v>42</v>
      </c>
      <c r="Z375" t="s">
        <v>43</v>
      </c>
      <c r="AA375" t="s">
        <v>10188</v>
      </c>
      <c r="AB375" t="s">
        <v>10189</v>
      </c>
      <c r="AC375" t="s">
        <v>10190</v>
      </c>
      <c r="AD375" t="s">
        <v>10191</v>
      </c>
      <c r="AE375">
        <v>1673.25</v>
      </c>
      <c r="AF375" t="s">
        <v>87</v>
      </c>
      <c r="AG375" t="s">
        <v>169</v>
      </c>
    </row>
    <row r="376" spans="1:33" hidden="1" x14ac:dyDescent="0.25">
      <c r="A376">
        <v>24048</v>
      </c>
      <c r="B376" t="s">
        <v>32</v>
      </c>
      <c r="C376">
        <v>1</v>
      </c>
      <c r="D376" t="s">
        <v>10723</v>
      </c>
      <c r="E376" t="s">
        <v>70</v>
      </c>
      <c r="F376" t="s">
        <v>33</v>
      </c>
      <c r="G376" t="s">
        <v>71</v>
      </c>
      <c r="H376" t="s">
        <v>72</v>
      </c>
      <c r="I376" t="s">
        <v>10709</v>
      </c>
      <c r="J376" t="s">
        <v>10724</v>
      </c>
      <c r="K376" t="s">
        <v>36</v>
      </c>
      <c r="L376" t="s">
        <v>33</v>
      </c>
      <c r="M376">
        <v>20603822189</v>
      </c>
      <c r="N376" t="s">
        <v>439</v>
      </c>
      <c r="O376" t="s">
        <v>76</v>
      </c>
      <c r="P376" t="s">
        <v>38</v>
      </c>
      <c r="Q376">
        <v>4302571515031</v>
      </c>
      <c r="R376" t="s">
        <v>10725</v>
      </c>
      <c r="S376">
        <v>2846</v>
      </c>
      <c r="T376" t="s">
        <v>40</v>
      </c>
      <c r="U376">
        <f>+IF(Tabla1[[#This Row],[MONEDA]]="PEN",Tabla1[[#This Row],[MONTO]],Tabla1[[#This Row],[MONTO]]*3.56)</f>
        <v>2846</v>
      </c>
      <c r="X376" t="s">
        <v>81</v>
      </c>
      <c r="Y376" t="s">
        <v>42</v>
      </c>
      <c r="Z376" t="s">
        <v>43</v>
      </c>
      <c r="AA376" t="s">
        <v>10726</v>
      </c>
      <c r="AB376" t="s">
        <v>10727</v>
      </c>
      <c r="AC376" t="s">
        <v>10728</v>
      </c>
      <c r="AD376" t="s">
        <v>10729</v>
      </c>
      <c r="AE376">
        <v>2760.62</v>
      </c>
      <c r="AF376" t="s">
        <v>87</v>
      </c>
      <c r="AG376" t="s">
        <v>169</v>
      </c>
    </row>
    <row r="377" spans="1:33" hidden="1" x14ac:dyDescent="0.25">
      <c r="A377">
        <v>23227</v>
      </c>
      <c r="B377" t="s">
        <v>32</v>
      </c>
      <c r="C377">
        <v>1</v>
      </c>
      <c r="D377" t="s">
        <v>11400</v>
      </c>
      <c r="E377" t="s">
        <v>70</v>
      </c>
      <c r="F377" t="s">
        <v>33</v>
      </c>
      <c r="G377" t="s">
        <v>71</v>
      </c>
      <c r="H377" t="s">
        <v>72</v>
      </c>
      <c r="I377" t="s">
        <v>11393</v>
      </c>
      <c r="J377" t="s">
        <v>11401</v>
      </c>
      <c r="K377" t="s">
        <v>36</v>
      </c>
      <c r="L377" t="s">
        <v>33</v>
      </c>
      <c r="M377">
        <v>20603822189</v>
      </c>
      <c r="N377" t="s">
        <v>439</v>
      </c>
      <c r="O377" t="s">
        <v>76</v>
      </c>
      <c r="P377" t="s">
        <v>38</v>
      </c>
      <c r="Q377">
        <v>4302571515031</v>
      </c>
      <c r="R377" t="s">
        <v>11402</v>
      </c>
      <c r="S377">
        <v>1049.5999999999999</v>
      </c>
      <c r="T377" t="s">
        <v>40</v>
      </c>
      <c r="U377">
        <f>+IF(Tabla1[[#This Row],[MONEDA]]="PEN",Tabla1[[#This Row],[MONTO]],Tabla1[[#This Row],[MONTO]]*3.56)</f>
        <v>1049.5999999999999</v>
      </c>
      <c r="X377" t="s">
        <v>81</v>
      </c>
      <c r="Y377" t="s">
        <v>42</v>
      </c>
      <c r="Z377" t="s">
        <v>43</v>
      </c>
      <c r="AA377" t="s">
        <v>11403</v>
      </c>
      <c r="AB377" t="s">
        <v>11404</v>
      </c>
      <c r="AC377" t="s">
        <v>11405</v>
      </c>
      <c r="AD377" t="s">
        <v>11406</v>
      </c>
      <c r="AE377">
        <v>1018.11</v>
      </c>
      <c r="AF377" t="s">
        <v>87</v>
      </c>
      <c r="AG377" t="s">
        <v>169</v>
      </c>
    </row>
    <row r="378" spans="1:33" hidden="1" x14ac:dyDescent="0.25">
      <c r="A378">
        <v>22585</v>
      </c>
      <c r="B378" t="s">
        <v>32</v>
      </c>
      <c r="C378">
        <v>1</v>
      </c>
      <c r="D378" t="s">
        <v>11780</v>
      </c>
      <c r="E378" t="s">
        <v>70</v>
      </c>
      <c r="F378" t="s">
        <v>33</v>
      </c>
      <c r="G378" t="s">
        <v>71</v>
      </c>
      <c r="H378" t="s">
        <v>72</v>
      </c>
      <c r="I378" t="s">
        <v>11772</v>
      </c>
      <c r="J378" t="s">
        <v>11781</v>
      </c>
      <c r="K378" t="s">
        <v>36</v>
      </c>
      <c r="L378" t="s">
        <v>33</v>
      </c>
      <c r="M378">
        <v>20603822189</v>
      </c>
      <c r="N378" t="s">
        <v>439</v>
      </c>
      <c r="O378" t="s">
        <v>76</v>
      </c>
      <c r="P378" t="s">
        <v>38</v>
      </c>
      <c r="Q378">
        <v>4302571515031</v>
      </c>
      <c r="R378" t="s">
        <v>11782</v>
      </c>
      <c r="S378">
        <v>3917.5</v>
      </c>
      <c r="T378" t="s">
        <v>40</v>
      </c>
      <c r="U378">
        <f>+IF(Tabla1[[#This Row],[MONEDA]]="PEN",Tabla1[[#This Row],[MONTO]],Tabla1[[#This Row],[MONTO]]*3.56)</f>
        <v>3917.5</v>
      </c>
      <c r="X378" t="s">
        <v>81</v>
      </c>
      <c r="Y378" t="s">
        <v>42</v>
      </c>
      <c r="Z378" t="s">
        <v>43</v>
      </c>
      <c r="AA378" t="s">
        <v>11783</v>
      </c>
      <c r="AB378" t="s">
        <v>11784</v>
      </c>
      <c r="AC378" t="s">
        <v>11785</v>
      </c>
      <c r="AD378" t="s">
        <v>11786</v>
      </c>
      <c r="AE378">
        <v>3799.98</v>
      </c>
      <c r="AF378" t="s">
        <v>87</v>
      </c>
      <c r="AG378" t="s">
        <v>169</v>
      </c>
    </row>
    <row r="379" spans="1:33" hidden="1" x14ac:dyDescent="0.25">
      <c r="A379">
        <v>22025</v>
      </c>
      <c r="B379" t="s">
        <v>32</v>
      </c>
      <c r="C379">
        <v>1</v>
      </c>
      <c r="D379" t="s">
        <v>12038</v>
      </c>
      <c r="E379" t="s">
        <v>70</v>
      </c>
      <c r="F379" t="s">
        <v>33</v>
      </c>
      <c r="G379" t="s">
        <v>9422</v>
      </c>
      <c r="H379" t="s">
        <v>72</v>
      </c>
      <c r="I379" t="s">
        <v>12039</v>
      </c>
      <c r="J379" t="s">
        <v>12040</v>
      </c>
      <c r="K379" t="s">
        <v>36</v>
      </c>
      <c r="L379" t="s">
        <v>33</v>
      </c>
      <c r="M379">
        <v>20603822189</v>
      </c>
      <c r="N379" t="s">
        <v>439</v>
      </c>
      <c r="O379" t="s">
        <v>9423</v>
      </c>
      <c r="P379" t="s">
        <v>38</v>
      </c>
      <c r="Q379">
        <v>4302571515031</v>
      </c>
      <c r="R379" t="s">
        <v>12041</v>
      </c>
      <c r="S379">
        <v>1757</v>
      </c>
      <c r="T379" t="s">
        <v>40</v>
      </c>
      <c r="U379">
        <f>+IF(Tabla1[[#This Row],[MONEDA]]="PEN",Tabla1[[#This Row],[MONTO]],Tabla1[[#This Row],[MONTO]]*3.56)</f>
        <v>1757</v>
      </c>
      <c r="X379" t="s">
        <v>81</v>
      </c>
      <c r="Y379" t="s">
        <v>42</v>
      </c>
      <c r="Z379" t="s">
        <v>43</v>
      </c>
      <c r="AA379" t="s">
        <v>12042</v>
      </c>
      <c r="AB379" t="s">
        <v>12043</v>
      </c>
      <c r="AC379" t="s">
        <v>12044</v>
      </c>
      <c r="AD379" t="s">
        <v>12045</v>
      </c>
      <c r="AE379">
        <v>1704.29</v>
      </c>
      <c r="AF379" t="s">
        <v>87</v>
      </c>
      <c r="AG379" t="s">
        <v>169</v>
      </c>
    </row>
    <row r="380" spans="1:33" hidden="1" x14ac:dyDescent="0.25">
      <c r="A380">
        <v>21616</v>
      </c>
      <c r="B380" t="s">
        <v>32</v>
      </c>
      <c r="C380">
        <v>1</v>
      </c>
      <c r="D380" t="s">
        <v>12333</v>
      </c>
      <c r="E380" t="s">
        <v>70</v>
      </c>
      <c r="F380" t="s">
        <v>33</v>
      </c>
      <c r="G380" t="s">
        <v>71</v>
      </c>
      <c r="H380" t="s">
        <v>72</v>
      </c>
      <c r="I380" t="s">
        <v>12320</v>
      </c>
      <c r="J380" t="s">
        <v>12334</v>
      </c>
      <c r="K380" t="s">
        <v>36</v>
      </c>
      <c r="L380" t="s">
        <v>33</v>
      </c>
      <c r="M380">
        <v>20603822189</v>
      </c>
      <c r="N380" t="s">
        <v>439</v>
      </c>
      <c r="O380" t="s">
        <v>76</v>
      </c>
      <c r="P380" t="s">
        <v>38</v>
      </c>
      <c r="Q380">
        <v>4302571515031</v>
      </c>
      <c r="R380" t="s">
        <v>12335</v>
      </c>
      <c r="S380">
        <v>3040.5</v>
      </c>
      <c r="T380" t="s">
        <v>40</v>
      </c>
      <c r="U380">
        <f>+IF(Tabla1[[#This Row],[MONEDA]]="PEN",Tabla1[[#This Row],[MONTO]],Tabla1[[#This Row],[MONTO]]*3.56)</f>
        <v>3040.5</v>
      </c>
      <c r="X380" t="s">
        <v>81</v>
      </c>
      <c r="Y380" t="s">
        <v>42</v>
      </c>
      <c r="Z380" t="s">
        <v>43</v>
      </c>
      <c r="AA380" t="s">
        <v>12336</v>
      </c>
      <c r="AB380" t="s">
        <v>12337</v>
      </c>
      <c r="AC380" t="s">
        <v>12338</v>
      </c>
      <c r="AD380" t="s">
        <v>12339</v>
      </c>
      <c r="AE380">
        <v>2949.29</v>
      </c>
      <c r="AF380" t="s">
        <v>87</v>
      </c>
      <c r="AG380" t="s">
        <v>169</v>
      </c>
    </row>
    <row r="381" spans="1:33" hidden="1" x14ac:dyDescent="0.25">
      <c r="A381">
        <v>21174</v>
      </c>
      <c r="B381" t="s">
        <v>32</v>
      </c>
      <c r="C381">
        <v>1</v>
      </c>
      <c r="D381" t="s">
        <v>12591</v>
      </c>
      <c r="E381" t="s">
        <v>70</v>
      </c>
      <c r="F381" t="s">
        <v>33</v>
      </c>
      <c r="G381" t="s">
        <v>71</v>
      </c>
      <c r="H381" t="s">
        <v>72</v>
      </c>
      <c r="I381" t="s">
        <v>12592</v>
      </c>
      <c r="J381" t="s">
        <v>12593</v>
      </c>
      <c r="K381" t="s">
        <v>36</v>
      </c>
      <c r="L381" t="s">
        <v>33</v>
      </c>
      <c r="M381">
        <v>20603822189</v>
      </c>
      <c r="N381" t="s">
        <v>439</v>
      </c>
      <c r="O381" t="s">
        <v>76</v>
      </c>
      <c r="P381" t="s">
        <v>38</v>
      </c>
      <c r="Q381">
        <v>4302571515031</v>
      </c>
      <c r="R381" t="s">
        <v>12594</v>
      </c>
      <c r="S381">
        <v>1400</v>
      </c>
      <c r="T381" t="s">
        <v>40</v>
      </c>
      <c r="U381">
        <f>+IF(Tabla1[[#This Row],[MONEDA]]="PEN",Tabla1[[#This Row],[MONTO]],Tabla1[[#This Row],[MONTO]]*3.56)</f>
        <v>1400</v>
      </c>
      <c r="X381" t="s">
        <v>81</v>
      </c>
      <c r="Y381" t="s">
        <v>42</v>
      </c>
      <c r="Z381" t="s">
        <v>82</v>
      </c>
      <c r="AA381" t="s">
        <v>12595</v>
      </c>
      <c r="AB381" t="s">
        <v>12596</v>
      </c>
      <c r="AC381" t="s">
        <v>12597</v>
      </c>
      <c r="AD381" t="s">
        <v>12598</v>
      </c>
      <c r="AE381">
        <v>1358</v>
      </c>
      <c r="AF381" t="s">
        <v>87</v>
      </c>
      <c r="AG381" t="s">
        <v>169</v>
      </c>
    </row>
    <row r="382" spans="1:33" hidden="1" x14ac:dyDescent="0.25">
      <c r="A382">
        <v>21143</v>
      </c>
      <c r="B382" t="s">
        <v>32</v>
      </c>
      <c r="C382">
        <v>1</v>
      </c>
      <c r="D382" t="s">
        <v>12684</v>
      </c>
      <c r="E382" t="s">
        <v>70</v>
      </c>
      <c r="F382" t="s">
        <v>33</v>
      </c>
      <c r="G382" t="s">
        <v>71</v>
      </c>
      <c r="H382" t="s">
        <v>72</v>
      </c>
      <c r="I382" t="s">
        <v>12661</v>
      </c>
      <c r="J382" t="s">
        <v>12685</v>
      </c>
      <c r="K382" t="s">
        <v>36</v>
      </c>
      <c r="L382" t="s">
        <v>33</v>
      </c>
      <c r="M382">
        <v>20603822189</v>
      </c>
      <c r="N382" t="s">
        <v>439</v>
      </c>
      <c r="O382" t="s">
        <v>76</v>
      </c>
      <c r="P382" t="s">
        <v>38</v>
      </c>
      <c r="Q382">
        <v>4302571515031</v>
      </c>
      <c r="R382" t="s">
        <v>12686</v>
      </c>
      <c r="S382">
        <v>1380</v>
      </c>
      <c r="T382" t="s">
        <v>40</v>
      </c>
      <c r="U382">
        <f>+IF(Tabla1[[#This Row],[MONEDA]]="PEN",Tabla1[[#This Row],[MONTO]],Tabla1[[#This Row],[MONTO]]*3.56)</f>
        <v>1380</v>
      </c>
      <c r="X382" t="s">
        <v>81</v>
      </c>
      <c r="Y382" t="s">
        <v>42</v>
      </c>
      <c r="Z382" t="s">
        <v>43</v>
      </c>
      <c r="AA382" t="s">
        <v>12687</v>
      </c>
      <c r="AB382" t="s">
        <v>12688</v>
      </c>
      <c r="AC382" t="s">
        <v>12689</v>
      </c>
      <c r="AD382" t="s">
        <v>12690</v>
      </c>
      <c r="AE382">
        <v>1338.6</v>
      </c>
      <c r="AF382" t="s">
        <v>87</v>
      </c>
      <c r="AG382" t="s">
        <v>12184</v>
      </c>
    </row>
    <row r="383" spans="1:33" hidden="1" x14ac:dyDescent="0.25">
      <c r="A383">
        <v>21066</v>
      </c>
      <c r="B383" t="s">
        <v>32</v>
      </c>
      <c r="C383">
        <v>2</v>
      </c>
      <c r="D383" t="s">
        <v>12699</v>
      </c>
      <c r="E383" t="s">
        <v>70</v>
      </c>
      <c r="F383" t="s">
        <v>33</v>
      </c>
      <c r="G383" t="s">
        <v>71</v>
      </c>
      <c r="H383" t="s">
        <v>72</v>
      </c>
      <c r="I383" t="s">
        <v>12692</v>
      </c>
      <c r="J383" t="s">
        <v>12700</v>
      </c>
      <c r="K383" t="s">
        <v>36</v>
      </c>
      <c r="L383" t="s">
        <v>33</v>
      </c>
      <c r="M383">
        <v>20603822189</v>
      </c>
      <c r="N383" t="s">
        <v>439</v>
      </c>
      <c r="O383" t="s">
        <v>76</v>
      </c>
      <c r="P383" t="s">
        <v>38</v>
      </c>
      <c r="Q383">
        <v>4302571515031</v>
      </c>
      <c r="R383" t="s">
        <v>12701</v>
      </c>
      <c r="S383">
        <v>1524</v>
      </c>
      <c r="T383" t="s">
        <v>40</v>
      </c>
      <c r="U383">
        <f>+IF(Tabla1[[#This Row],[MONEDA]]="PEN",Tabla1[[#This Row],[MONTO]],Tabla1[[#This Row],[MONTO]]*3.56)</f>
        <v>1524</v>
      </c>
      <c r="X383" t="s">
        <v>81</v>
      </c>
      <c r="Y383" t="s">
        <v>42</v>
      </c>
      <c r="Z383" t="s">
        <v>43</v>
      </c>
      <c r="AA383" t="s">
        <v>12702</v>
      </c>
      <c r="AB383" t="s">
        <v>12703</v>
      </c>
      <c r="AC383" t="s">
        <v>12704</v>
      </c>
      <c r="AD383" t="s">
        <v>12705</v>
      </c>
      <c r="AE383">
        <v>1478.28</v>
      </c>
      <c r="AF383" t="s">
        <v>87</v>
      </c>
      <c r="AG383" t="s">
        <v>12184</v>
      </c>
    </row>
    <row r="384" spans="1:33" hidden="1" x14ac:dyDescent="0.25">
      <c r="A384">
        <v>20968</v>
      </c>
      <c r="B384" t="s">
        <v>32</v>
      </c>
      <c r="C384">
        <v>1</v>
      </c>
      <c r="D384" t="s">
        <v>12750</v>
      </c>
      <c r="E384" t="s">
        <v>70</v>
      </c>
      <c r="F384" t="s">
        <v>33</v>
      </c>
      <c r="G384" t="s">
        <v>71</v>
      </c>
      <c r="H384" t="s">
        <v>72</v>
      </c>
      <c r="I384" t="s">
        <v>12751</v>
      </c>
      <c r="J384" t="s">
        <v>12752</v>
      </c>
      <c r="K384" t="s">
        <v>36</v>
      </c>
      <c r="L384" t="s">
        <v>33</v>
      </c>
      <c r="M384">
        <v>20603822189</v>
      </c>
      <c r="N384" t="s">
        <v>439</v>
      </c>
      <c r="O384" t="s">
        <v>76</v>
      </c>
      <c r="P384" t="s">
        <v>38</v>
      </c>
      <c r="Q384">
        <v>4302571515031</v>
      </c>
      <c r="R384" t="s">
        <v>12753</v>
      </c>
      <c r="S384">
        <v>2675</v>
      </c>
      <c r="T384" t="s">
        <v>40</v>
      </c>
      <c r="U384">
        <f>+IF(Tabla1[[#This Row],[MONEDA]]="PEN",Tabla1[[#This Row],[MONTO]],Tabla1[[#This Row],[MONTO]]*3.56)</f>
        <v>2675</v>
      </c>
      <c r="X384" t="s">
        <v>81</v>
      </c>
      <c r="Y384" t="s">
        <v>42</v>
      </c>
      <c r="Z384" t="s">
        <v>82</v>
      </c>
      <c r="AA384" t="s">
        <v>12754</v>
      </c>
      <c r="AB384" t="s">
        <v>12755</v>
      </c>
      <c r="AC384" t="s">
        <v>12756</v>
      </c>
      <c r="AD384" t="s">
        <v>12757</v>
      </c>
      <c r="AE384">
        <v>2594.75</v>
      </c>
      <c r="AF384" t="s">
        <v>87</v>
      </c>
      <c r="AG384" t="s">
        <v>169</v>
      </c>
    </row>
    <row r="385" spans="1:33" hidden="1" x14ac:dyDescent="0.25">
      <c r="A385">
        <v>43781</v>
      </c>
      <c r="B385" t="s">
        <v>32</v>
      </c>
      <c r="C385">
        <v>1</v>
      </c>
      <c r="D385" t="s">
        <v>657</v>
      </c>
      <c r="E385" t="s">
        <v>70</v>
      </c>
      <c r="F385" t="s">
        <v>33</v>
      </c>
      <c r="G385" t="s">
        <v>34</v>
      </c>
      <c r="H385" t="s">
        <v>35</v>
      </c>
      <c r="I385" t="s">
        <v>658</v>
      </c>
      <c r="J385" t="s">
        <v>659</v>
      </c>
      <c r="K385" t="s">
        <v>36</v>
      </c>
      <c r="L385" t="s">
        <v>33</v>
      </c>
      <c r="M385">
        <v>20505018924</v>
      </c>
      <c r="N385" t="s">
        <v>660</v>
      </c>
      <c r="P385" t="s">
        <v>101</v>
      </c>
      <c r="Q385" t="s">
        <v>661</v>
      </c>
      <c r="R385" t="s">
        <v>662</v>
      </c>
      <c r="S385">
        <v>619.5</v>
      </c>
      <c r="T385" t="s">
        <v>40</v>
      </c>
      <c r="U385">
        <f>+IF(Tabla1[[#This Row],[MONEDA]]="PEN",Tabla1[[#This Row],[MONTO]],Tabla1[[#This Row],[MONTO]]*3.56)</f>
        <v>619.5</v>
      </c>
      <c r="X385" t="s">
        <v>41</v>
      </c>
      <c r="Y385" t="s">
        <v>51</v>
      </c>
      <c r="Z385" t="s">
        <v>43</v>
      </c>
      <c r="AA385" t="s">
        <v>663</v>
      </c>
      <c r="AB385" t="s">
        <v>664</v>
      </c>
      <c r="AC385" t="s">
        <v>665</v>
      </c>
      <c r="AE385">
        <v>619.5</v>
      </c>
      <c r="AF385" t="s">
        <v>87</v>
      </c>
      <c r="AG385" t="s">
        <v>666</v>
      </c>
    </row>
    <row r="386" spans="1:33" hidden="1" x14ac:dyDescent="0.25">
      <c r="A386">
        <v>31932</v>
      </c>
      <c r="B386" t="s">
        <v>32</v>
      </c>
      <c r="C386">
        <v>1</v>
      </c>
      <c r="D386" t="s">
        <v>5615</v>
      </c>
      <c r="E386" t="s">
        <v>70</v>
      </c>
      <c r="F386" t="s">
        <v>33</v>
      </c>
      <c r="G386" t="s">
        <v>71</v>
      </c>
      <c r="H386" t="s">
        <v>72</v>
      </c>
      <c r="I386" t="s">
        <v>5601</v>
      </c>
      <c r="J386" t="s">
        <v>5616</v>
      </c>
      <c r="K386" t="s">
        <v>36</v>
      </c>
      <c r="L386" t="s">
        <v>33</v>
      </c>
      <c r="M386">
        <v>20100041520</v>
      </c>
      <c r="N386" t="s">
        <v>5617</v>
      </c>
      <c r="O386" t="s">
        <v>76</v>
      </c>
      <c r="P386" t="s">
        <v>38</v>
      </c>
      <c r="Q386" t="s">
        <v>5618</v>
      </c>
      <c r="R386" t="s">
        <v>5619</v>
      </c>
      <c r="S386">
        <v>4950</v>
      </c>
      <c r="T386" t="s">
        <v>40</v>
      </c>
      <c r="U386">
        <f>+IF(Tabla1[[#This Row],[MONEDA]]="PEN",Tabla1[[#This Row],[MONTO]],Tabla1[[#This Row],[MONTO]]*3.56)</f>
        <v>4950</v>
      </c>
      <c r="X386" t="s">
        <v>81</v>
      </c>
      <c r="Y386" t="s">
        <v>42</v>
      </c>
      <c r="Z386" t="s">
        <v>43</v>
      </c>
      <c r="AA386" t="s">
        <v>5620</v>
      </c>
      <c r="AB386" t="s">
        <v>5621</v>
      </c>
      <c r="AC386" t="s">
        <v>5622</v>
      </c>
      <c r="AD386" t="s">
        <v>5623</v>
      </c>
      <c r="AE386">
        <v>4950</v>
      </c>
      <c r="AF386" t="s">
        <v>87</v>
      </c>
      <c r="AG386" t="s">
        <v>169</v>
      </c>
    </row>
    <row r="387" spans="1:33" x14ac:dyDescent="0.25">
      <c r="A387">
        <v>45679</v>
      </c>
      <c r="B387" t="s">
        <v>32</v>
      </c>
      <c r="C387">
        <v>6</v>
      </c>
      <c r="D387" t="s">
        <v>129</v>
      </c>
      <c r="E387" t="s">
        <v>70</v>
      </c>
      <c r="F387" t="s">
        <v>130</v>
      </c>
      <c r="G387" t="s">
        <v>131</v>
      </c>
      <c r="H387" t="s">
        <v>132</v>
      </c>
      <c r="I387" t="s">
        <v>133</v>
      </c>
      <c r="J387" t="s">
        <v>134</v>
      </c>
      <c r="K387" t="s">
        <v>36</v>
      </c>
      <c r="L387" t="s">
        <v>33</v>
      </c>
      <c r="M387">
        <v>20614706865</v>
      </c>
      <c r="N387" t="s">
        <v>135</v>
      </c>
      <c r="P387" t="s">
        <v>136</v>
      </c>
      <c r="Q387" t="s">
        <v>137</v>
      </c>
      <c r="R387" t="s">
        <v>138</v>
      </c>
      <c r="S387">
        <v>112286.42</v>
      </c>
      <c r="T387" t="s">
        <v>40</v>
      </c>
      <c r="U387">
        <f>+IF(Tabla1[[#This Row],[MONEDA]]="PEN",Tabla1[[#This Row],[MONTO]],Tabla1[[#This Row],[MONTO]]*3.56)</f>
        <v>112286.42</v>
      </c>
      <c r="X387" t="s">
        <v>139</v>
      </c>
      <c r="Y387" t="s">
        <v>51</v>
      </c>
      <c r="Z387" t="s">
        <v>43</v>
      </c>
      <c r="AA387" t="s">
        <v>140</v>
      </c>
      <c r="AB387" t="s">
        <v>141</v>
      </c>
      <c r="AC387" t="s">
        <v>142</v>
      </c>
      <c r="AE387">
        <v>112286.42</v>
      </c>
      <c r="AF387" t="s">
        <v>87</v>
      </c>
      <c r="AG387" t="s">
        <v>143</v>
      </c>
    </row>
    <row r="388" spans="1:33" x14ac:dyDescent="0.25">
      <c r="A388">
        <v>45686</v>
      </c>
      <c r="B388" t="s">
        <v>32</v>
      </c>
      <c r="C388">
        <v>6</v>
      </c>
      <c r="D388" t="s">
        <v>144</v>
      </c>
      <c r="E388" t="s">
        <v>70</v>
      </c>
      <c r="F388" t="s">
        <v>130</v>
      </c>
      <c r="G388" t="s">
        <v>131</v>
      </c>
      <c r="H388" t="s">
        <v>132</v>
      </c>
      <c r="I388" t="s">
        <v>133</v>
      </c>
      <c r="J388" t="s">
        <v>145</v>
      </c>
      <c r="K388" t="s">
        <v>36</v>
      </c>
      <c r="L388" t="s">
        <v>33</v>
      </c>
      <c r="M388">
        <v>20614706865</v>
      </c>
      <c r="N388" t="s">
        <v>135</v>
      </c>
      <c r="P388" t="s">
        <v>136</v>
      </c>
      <c r="Q388" t="s">
        <v>137</v>
      </c>
      <c r="R388" t="s">
        <v>146</v>
      </c>
      <c r="S388">
        <v>118656.2</v>
      </c>
      <c r="T388" t="s">
        <v>40</v>
      </c>
      <c r="U388">
        <f>+IF(Tabla1[[#This Row],[MONEDA]]="PEN",Tabla1[[#This Row],[MONTO]],Tabla1[[#This Row],[MONTO]]*3.56)</f>
        <v>118656.2</v>
      </c>
      <c r="X388" t="s">
        <v>139</v>
      </c>
      <c r="Y388" t="s">
        <v>51</v>
      </c>
      <c r="Z388" t="s">
        <v>43</v>
      </c>
      <c r="AA388" t="s">
        <v>147</v>
      </c>
      <c r="AB388" t="s">
        <v>148</v>
      </c>
      <c r="AC388" t="s">
        <v>149</v>
      </c>
      <c r="AE388">
        <v>118656.2</v>
      </c>
      <c r="AF388" t="s">
        <v>87</v>
      </c>
      <c r="AG388" t="s">
        <v>143</v>
      </c>
    </row>
    <row r="389" spans="1:33" x14ac:dyDescent="0.25">
      <c r="A389">
        <v>45687</v>
      </c>
      <c r="B389" t="s">
        <v>32</v>
      </c>
      <c r="C389">
        <v>6</v>
      </c>
      <c r="D389" t="s">
        <v>150</v>
      </c>
      <c r="E389" t="s">
        <v>70</v>
      </c>
      <c r="F389" t="s">
        <v>130</v>
      </c>
      <c r="G389" t="s">
        <v>131</v>
      </c>
      <c r="H389" t="s">
        <v>132</v>
      </c>
      <c r="I389" t="s">
        <v>133</v>
      </c>
      <c r="J389" t="s">
        <v>151</v>
      </c>
      <c r="K389" t="s">
        <v>36</v>
      </c>
      <c r="L389" t="s">
        <v>33</v>
      </c>
      <c r="M389">
        <v>20614706865</v>
      </c>
      <c r="N389" t="s">
        <v>135</v>
      </c>
      <c r="P389" t="s">
        <v>136</v>
      </c>
      <c r="Q389" t="s">
        <v>137</v>
      </c>
      <c r="R389" t="s">
        <v>152</v>
      </c>
      <c r="S389">
        <v>99387.19</v>
      </c>
      <c r="T389" t="s">
        <v>40</v>
      </c>
      <c r="U389">
        <f>+IF(Tabla1[[#This Row],[MONEDA]]="PEN",Tabla1[[#This Row],[MONTO]],Tabla1[[#This Row],[MONTO]]*3.56)</f>
        <v>99387.19</v>
      </c>
      <c r="X389" t="s">
        <v>139</v>
      </c>
      <c r="Y389" t="s">
        <v>51</v>
      </c>
      <c r="Z389" t="s">
        <v>43</v>
      </c>
      <c r="AA389" t="s">
        <v>153</v>
      </c>
      <c r="AB389" t="s">
        <v>154</v>
      </c>
      <c r="AC389" t="s">
        <v>155</v>
      </c>
      <c r="AE389">
        <v>99387.19</v>
      </c>
      <c r="AF389" t="s">
        <v>87</v>
      </c>
      <c r="AG389" t="s">
        <v>143</v>
      </c>
    </row>
    <row r="390" spans="1:33" x14ac:dyDescent="0.25">
      <c r="A390">
        <v>41322</v>
      </c>
      <c r="B390" t="s">
        <v>32</v>
      </c>
      <c r="C390">
        <v>6</v>
      </c>
      <c r="D390" t="s">
        <v>1489</v>
      </c>
      <c r="E390" t="s">
        <v>70</v>
      </c>
      <c r="F390" t="s">
        <v>130</v>
      </c>
      <c r="G390" t="s">
        <v>131</v>
      </c>
      <c r="H390" t="s">
        <v>132</v>
      </c>
      <c r="I390" t="s">
        <v>1490</v>
      </c>
      <c r="J390" t="s">
        <v>1491</v>
      </c>
      <c r="K390" t="s">
        <v>36</v>
      </c>
      <c r="L390" t="s">
        <v>33</v>
      </c>
      <c r="M390">
        <v>20614706865</v>
      </c>
      <c r="N390" t="s">
        <v>135</v>
      </c>
      <c r="P390" t="s">
        <v>136</v>
      </c>
      <c r="Q390" t="s">
        <v>137</v>
      </c>
      <c r="R390" t="s">
        <v>1492</v>
      </c>
      <c r="S390">
        <v>112374.51</v>
      </c>
      <c r="T390" t="s">
        <v>40</v>
      </c>
      <c r="U390">
        <f>+IF(Tabla1[[#This Row],[MONEDA]]="PEN",Tabla1[[#This Row],[MONTO]],Tabla1[[#This Row],[MONTO]]*3.56)</f>
        <v>112374.51</v>
      </c>
      <c r="X390" t="s">
        <v>139</v>
      </c>
      <c r="Y390" t="s">
        <v>42</v>
      </c>
      <c r="Z390" t="s">
        <v>43</v>
      </c>
      <c r="AA390" t="s">
        <v>1493</v>
      </c>
      <c r="AB390" t="s">
        <v>1494</v>
      </c>
      <c r="AC390" t="s">
        <v>1495</v>
      </c>
      <c r="AE390">
        <v>112374.51</v>
      </c>
      <c r="AF390" t="s">
        <v>87</v>
      </c>
      <c r="AG390" t="s">
        <v>143</v>
      </c>
    </row>
    <row r="391" spans="1:33" x14ac:dyDescent="0.25">
      <c r="A391">
        <v>41323</v>
      </c>
      <c r="B391" t="s">
        <v>32</v>
      </c>
      <c r="C391">
        <v>6</v>
      </c>
      <c r="D391" t="s">
        <v>1496</v>
      </c>
      <c r="E391" t="s">
        <v>70</v>
      </c>
      <c r="F391" t="s">
        <v>130</v>
      </c>
      <c r="G391" t="s">
        <v>131</v>
      </c>
      <c r="H391" t="s">
        <v>132</v>
      </c>
      <c r="I391" t="s">
        <v>1490</v>
      </c>
      <c r="J391" t="s">
        <v>1497</v>
      </c>
      <c r="K391" t="s">
        <v>36</v>
      </c>
      <c r="L391" t="s">
        <v>33</v>
      </c>
      <c r="M391">
        <v>20614706865</v>
      </c>
      <c r="N391" t="s">
        <v>135</v>
      </c>
      <c r="P391" t="s">
        <v>136</v>
      </c>
      <c r="Q391" t="s">
        <v>137</v>
      </c>
      <c r="R391" t="s">
        <v>1498</v>
      </c>
      <c r="S391">
        <v>121709.29</v>
      </c>
      <c r="T391" t="s">
        <v>40</v>
      </c>
      <c r="U391">
        <f>+IF(Tabla1[[#This Row],[MONEDA]]="PEN",Tabla1[[#This Row],[MONTO]],Tabla1[[#This Row],[MONTO]]*3.56)</f>
        <v>121709.29</v>
      </c>
      <c r="X391" t="s">
        <v>139</v>
      </c>
      <c r="Y391" t="s">
        <v>42</v>
      </c>
      <c r="Z391" t="s">
        <v>43</v>
      </c>
      <c r="AA391" t="s">
        <v>1499</v>
      </c>
      <c r="AB391" t="s">
        <v>1500</v>
      </c>
      <c r="AC391" t="s">
        <v>1501</v>
      </c>
      <c r="AE391">
        <v>121709.29</v>
      </c>
      <c r="AF391" t="s">
        <v>87</v>
      </c>
      <c r="AG391" t="s">
        <v>143</v>
      </c>
    </row>
    <row r="392" spans="1:33" x14ac:dyDescent="0.25">
      <c r="A392">
        <v>40193</v>
      </c>
      <c r="B392" t="s">
        <v>32</v>
      </c>
      <c r="C392">
        <v>6</v>
      </c>
      <c r="D392" t="s">
        <v>2154</v>
      </c>
      <c r="E392" t="s">
        <v>70</v>
      </c>
      <c r="F392" t="s">
        <v>130</v>
      </c>
      <c r="G392" t="s">
        <v>131</v>
      </c>
      <c r="H392" t="s">
        <v>132</v>
      </c>
      <c r="I392" t="s">
        <v>2155</v>
      </c>
      <c r="J392" t="s">
        <v>2156</v>
      </c>
      <c r="K392" t="s">
        <v>36</v>
      </c>
      <c r="L392" t="s">
        <v>33</v>
      </c>
      <c r="M392">
        <v>20614706865</v>
      </c>
      <c r="N392" t="s">
        <v>135</v>
      </c>
      <c r="P392" t="s">
        <v>136</v>
      </c>
      <c r="Q392" t="s">
        <v>137</v>
      </c>
      <c r="R392" t="s">
        <v>2157</v>
      </c>
      <c r="S392">
        <v>125970.09</v>
      </c>
      <c r="T392" t="s">
        <v>40</v>
      </c>
      <c r="U392">
        <f>+IF(Tabla1[[#This Row],[MONEDA]]="PEN",Tabla1[[#This Row],[MONTO]],Tabla1[[#This Row],[MONTO]]*3.56)</f>
        <v>125970.09</v>
      </c>
      <c r="X392" t="s">
        <v>139</v>
      </c>
      <c r="Y392" t="s">
        <v>42</v>
      </c>
      <c r="Z392" t="s">
        <v>511</v>
      </c>
      <c r="AA392" t="s">
        <v>2158</v>
      </c>
      <c r="AB392" t="s">
        <v>2159</v>
      </c>
      <c r="AC392" t="s">
        <v>2160</v>
      </c>
      <c r="AE392">
        <v>125970.09</v>
      </c>
      <c r="AF392" t="s">
        <v>87</v>
      </c>
      <c r="AG392" t="s">
        <v>143</v>
      </c>
    </row>
    <row r="393" spans="1:33" hidden="1" x14ac:dyDescent="0.25">
      <c r="A393">
        <v>35927</v>
      </c>
      <c r="B393" t="s">
        <v>32</v>
      </c>
      <c r="C393">
        <v>1</v>
      </c>
      <c r="D393" t="s">
        <v>4102</v>
      </c>
      <c r="E393" t="s">
        <v>70</v>
      </c>
      <c r="F393" t="s">
        <v>33</v>
      </c>
      <c r="G393" t="s">
        <v>71</v>
      </c>
      <c r="H393" t="s">
        <v>72</v>
      </c>
      <c r="I393" t="s">
        <v>4094</v>
      </c>
      <c r="J393" t="s">
        <v>4103</v>
      </c>
      <c r="K393" t="s">
        <v>36</v>
      </c>
      <c r="L393" t="s">
        <v>33</v>
      </c>
      <c r="M393">
        <v>20601370132</v>
      </c>
      <c r="N393" t="s">
        <v>4104</v>
      </c>
      <c r="O393" t="s">
        <v>76</v>
      </c>
      <c r="P393" t="s">
        <v>224</v>
      </c>
      <c r="Q393" t="s">
        <v>4105</v>
      </c>
      <c r="R393" t="s">
        <v>4106</v>
      </c>
      <c r="S393">
        <v>944</v>
      </c>
      <c r="T393" t="s">
        <v>40</v>
      </c>
      <c r="U393">
        <f>+IF(Tabla1[[#This Row],[MONEDA]]="PEN",Tabla1[[#This Row],[MONTO]],Tabla1[[#This Row],[MONTO]]*3.56)</f>
        <v>944</v>
      </c>
      <c r="X393" t="s">
        <v>81</v>
      </c>
      <c r="Y393" t="s">
        <v>42</v>
      </c>
      <c r="Z393" t="s">
        <v>43</v>
      </c>
      <c r="AA393" t="s">
        <v>4107</v>
      </c>
      <c r="AB393" t="s">
        <v>4108</v>
      </c>
      <c r="AC393" t="s">
        <v>4109</v>
      </c>
      <c r="AD393" t="s">
        <v>4110</v>
      </c>
      <c r="AE393">
        <v>915.68</v>
      </c>
      <c r="AF393" t="s">
        <v>87</v>
      </c>
      <c r="AG393" t="s">
        <v>1798</v>
      </c>
    </row>
    <row r="394" spans="1:33" hidden="1" x14ac:dyDescent="0.25">
      <c r="A394">
        <v>31088</v>
      </c>
      <c r="B394" t="s">
        <v>32</v>
      </c>
      <c r="C394">
        <v>2</v>
      </c>
      <c r="D394" t="s">
        <v>6137</v>
      </c>
      <c r="E394" t="s">
        <v>70</v>
      </c>
      <c r="F394" t="s">
        <v>33</v>
      </c>
      <c r="G394" t="s">
        <v>71</v>
      </c>
      <c r="H394" t="s">
        <v>35</v>
      </c>
      <c r="I394" t="s">
        <v>6103</v>
      </c>
      <c r="J394" t="s">
        <v>6138</v>
      </c>
      <c r="K394" t="s">
        <v>36</v>
      </c>
      <c r="L394" t="s">
        <v>33</v>
      </c>
      <c r="M394">
        <v>20601370132</v>
      </c>
      <c r="N394" t="s">
        <v>4104</v>
      </c>
      <c r="O394" t="s">
        <v>76</v>
      </c>
      <c r="P394" t="s">
        <v>224</v>
      </c>
      <c r="Q394" t="s">
        <v>4105</v>
      </c>
      <c r="R394" t="s">
        <v>6139</v>
      </c>
      <c r="S394">
        <v>944</v>
      </c>
      <c r="T394" t="s">
        <v>40</v>
      </c>
      <c r="U394">
        <f>+IF(Tabla1[[#This Row],[MONEDA]]="PEN",Tabla1[[#This Row],[MONTO]],Tabla1[[#This Row],[MONTO]]*3.56)</f>
        <v>944</v>
      </c>
      <c r="X394" t="s">
        <v>81</v>
      </c>
      <c r="Y394" t="s">
        <v>42</v>
      </c>
      <c r="Z394" t="s">
        <v>43</v>
      </c>
      <c r="AA394" t="s">
        <v>6140</v>
      </c>
      <c r="AB394" t="s">
        <v>6141</v>
      </c>
      <c r="AC394" t="s">
        <v>6142</v>
      </c>
      <c r="AD394" t="s">
        <v>6143</v>
      </c>
      <c r="AE394">
        <v>915.68</v>
      </c>
      <c r="AF394" t="s">
        <v>87</v>
      </c>
      <c r="AG394" t="s">
        <v>1798</v>
      </c>
    </row>
    <row r="395" spans="1:33" hidden="1" x14ac:dyDescent="0.25">
      <c r="A395">
        <v>40873</v>
      </c>
      <c r="B395" t="s">
        <v>32</v>
      </c>
      <c r="C395">
        <v>1</v>
      </c>
      <c r="D395" t="s">
        <v>1829</v>
      </c>
      <c r="E395" t="s">
        <v>70</v>
      </c>
      <c r="F395" t="s">
        <v>33</v>
      </c>
      <c r="G395" t="s">
        <v>71</v>
      </c>
      <c r="H395" t="s">
        <v>35</v>
      </c>
      <c r="I395" t="s">
        <v>1830</v>
      </c>
      <c r="J395" t="s">
        <v>1831</v>
      </c>
      <c r="K395" t="s">
        <v>36</v>
      </c>
      <c r="L395" t="s">
        <v>33</v>
      </c>
      <c r="M395">
        <v>20251549835</v>
      </c>
      <c r="N395" t="s">
        <v>1832</v>
      </c>
      <c r="O395" t="s">
        <v>76</v>
      </c>
      <c r="P395" t="s">
        <v>38</v>
      </c>
      <c r="Q395" t="s">
        <v>1833</v>
      </c>
      <c r="R395" t="s">
        <v>1834</v>
      </c>
      <c r="S395">
        <v>6682.95</v>
      </c>
      <c r="T395" t="s">
        <v>40</v>
      </c>
      <c r="U395">
        <f>+IF(Tabla1[[#This Row],[MONEDA]]="PEN",Tabla1[[#This Row],[MONTO]],Tabla1[[#This Row],[MONTO]]*3.56)</f>
        <v>6682.95</v>
      </c>
      <c r="X395" t="s">
        <v>81</v>
      </c>
      <c r="Y395" t="s">
        <v>42</v>
      </c>
      <c r="Z395" t="s">
        <v>82</v>
      </c>
      <c r="AA395" t="s">
        <v>1835</v>
      </c>
      <c r="AB395" t="s">
        <v>1836</v>
      </c>
      <c r="AC395" t="s">
        <v>1837</v>
      </c>
      <c r="AD395" t="s">
        <v>1838</v>
      </c>
      <c r="AE395">
        <v>6482.46</v>
      </c>
      <c r="AF395" t="s">
        <v>87</v>
      </c>
      <c r="AG395" t="s">
        <v>169</v>
      </c>
    </row>
    <row r="396" spans="1:33" hidden="1" x14ac:dyDescent="0.25">
      <c r="A396">
        <v>40873</v>
      </c>
      <c r="B396" t="s">
        <v>32</v>
      </c>
      <c r="C396">
        <v>1</v>
      </c>
      <c r="D396" t="s">
        <v>1829</v>
      </c>
      <c r="E396" t="s">
        <v>70</v>
      </c>
      <c r="F396" t="s">
        <v>33</v>
      </c>
      <c r="G396" t="s">
        <v>71</v>
      </c>
      <c r="H396" t="s">
        <v>35</v>
      </c>
      <c r="I396" t="s">
        <v>1830</v>
      </c>
      <c r="J396" t="s">
        <v>1831</v>
      </c>
      <c r="K396" t="s">
        <v>36</v>
      </c>
      <c r="L396" t="s">
        <v>33</v>
      </c>
      <c r="M396">
        <v>20251549835</v>
      </c>
      <c r="N396" t="s">
        <v>1832</v>
      </c>
      <c r="O396" t="s">
        <v>76</v>
      </c>
      <c r="P396" t="s">
        <v>38</v>
      </c>
      <c r="Q396" t="s">
        <v>1833</v>
      </c>
      <c r="R396" t="s">
        <v>1834</v>
      </c>
      <c r="S396">
        <v>6682.95</v>
      </c>
      <c r="T396" t="s">
        <v>40</v>
      </c>
      <c r="U396">
        <f>+IF(Tabla1[[#This Row],[MONEDA]]="PEN",Tabla1[[#This Row],[MONTO]],Tabla1[[#This Row],[MONTO]]*3.56)</f>
        <v>6682.95</v>
      </c>
      <c r="X396" t="s">
        <v>81</v>
      </c>
      <c r="Y396" t="s">
        <v>42</v>
      </c>
      <c r="Z396" t="s">
        <v>82</v>
      </c>
      <c r="AA396" t="s">
        <v>1835</v>
      </c>
      <c r="AB396" t="s">
        <v>1836</v>
      </c>
      <c r="AC396" t="s">
        <v>1837</v>
      </c>
      <c r="AD396" t="s">
        <v>1838</v>
      </c>
      <c r="AE396">
        <v>6482.46</v>
      </c>
      <c r="AF396" t="s">
        <v>87</v>
      </c>
      <c r="AG396" t="s">
        <v>169</v>
      </c>
    </row>
    <row r="397" spans="1:33" hidden="1" x14ac:dyDescent="0.25">
      <c r="A397">
        <v>31095</v>
      </c>
      <c r="B397" t="s">
        <v>32</v>
      </c>
      <c r="C397">
        <v>2</v>
      </c>
      <c r="D397" t="s">
        <v>5966</v>
      </c>
      <c r="E397" t="s">
        <v>70</v>
      </c>
      <c r="F397" t="s">
        <v>33</v>
      </c>
      <c r="G397" t="s">
        <v>71</v>
      </c>
      <c r="H397" t="s">
        <v>72</v>
      </c>
      <c r="I397" t="s">
        <v>5965</v>
      </c>
      <c r="J397" t="s">
        <v>5967</v>
      </c>
      <c r="K397" t="s">
        <v>36</v>
      </c>
      <c r="L397" t="s">
        <v>33</v>
      </c>
      <c r="M397">
        <v>20251549835</v>
      </c>
      <c r="N397" t="s">
        <v>1832</v>
      </c>
      <c r="O397" t="s">
        <v>76</v>
      </c>
      <c r="P397" t="s">
        <v>38</v>
      </c>
      <c r="Q397" t="s">
        <v>1833</v>
      </c>
      <c r="R397" t="s">
        <v>5968</v>
      </c>
      <c r="S397">
        <v>5575.5</v>
      </c>
      <c r="T397" t="s">
        <v>40</v>
      </c>
      <c r="U397">
        <f>+IF(Tabla1[[#This Row],[MONEDA]]="PEN",Tabla1[[#This Row],[MONTO]],Tabla1[[#This Row],[MONTO]]*3.56)</f>
        <v>5575.5</v>
      </c>
      <c r="X397" t="s">
        <v>81</v>
      </c>
      <c r="Y397" t="s">
        <v>42</v>
      </c>
      <c r="Z397" t="s">
        <v>43</v>
      </c>
      <c r="AA397" t="s">
        <v>5969</v>
      </c>
      <c r="AB397" t="s">
        <v>5970</v>
      </c>
      <c r="AC397" t="s">
        <v>5971</v>
      </c>
      <c r="AD397" t="s">
        <v>5972</v>
      </c>
      <c r="AE397">
        <v>5408.24</v>
      </c>
      <c r="AF397" t="s">
        <v>87</v>
      </c>
      <c r="AG397" t="s">
        <v>169</v>
      </c>
    </row>
    <row r="398" spans="1:33" hidden="1" x14ac:dyDescent="0.25">
      <c r="A398">
        <v>31095</v>
      </c>
      <c r="B398" t="s">
        <v>32</v>
      </c>
      <c r="C398">
        <v>2</v>
      </c>
      <c r="D398" t="s">
        <v>5966</v>
      </c>
      <c r="E398" t="s">
        <v>70</v>
      </c>
      <c r="F398" t="s">
        <v>33</v>
      </c>
      <c r="G398" t="s">
        <v>71</v>
      </c>
      <c r="H398" t="s">
        <v>72</v>
      </c>
      <c r="I398" t="s">
        <v>5965</v>
      </c>
      <c r="J398" t="s">
        <v>5967</v>
      </c>
      <c r="K398" t="s">
        <v>36</v>
      </c>
      <c r="L398" t="s">
        <v>33</v>
      </c>
      <c r="M398">
        <v>20251549835</v>
      </c>
      <c r="N398" t="s">
        <v>1832</v>
      </c>
      <c r="O398" t="s">
        <v>76</v>
      </c>
      <c r="P398" t="s">
        <v>38</v>
      </c>
      <c r="Q398" t="s">
        <v>1833</v>
      </c>
      <c r="R398" t="s">
        <v>5968</v>
      </c>
      <c r="S398">
        <v>5575.5</v>
      </c>
      <c r="T398" t="s">
        <v>40</v>
      </c>
      <c r="U398">
        <f>+IF(Tabla1[[#This Row],[MONEDA]]="PEN",Tabla1[[#This Row],[MONTO]],Tabla1[[#This Row],[MONTO]]*3.56)</f>
        <v>5575.5</v>
      </c>
      <c r="X398" t="s">
        <v>81</v>
      </c>
      <c r="Y398" t="s">
        <v>42</v>
      </c>
      <c r="Z398" t="s">
        <v>43</v>
      </c>
      <c r="AA398" t="s">
        <v>5969</v>
      </c>
      <c r="AB398" t="s">
        <v>5970</v>
      </c>
      <c r="AC398" t="s">
        <v>5971</v>
      </c>
      <c r="AD398" t="s">
        <v>5972</v>
      </c>
      <c r="AE398">
        <v>5408.24</v>
      </c>
      <c r="AF398" t="s">
        <v>87</v>
      </c>
      <c r="AG398" t="s">
        <v>169</v>
      </c>
    </row>
    <row r="399" spans="1:33" hidden="1" x14ac:dyDescent="0.25">
      <c r="A399">
        <v>24174</v>
      </c>
      <c r="B399" t="s">
        <v>32</v>
      </c>
      <c r="C399">
        <v>1</v>
      </c>
      <c r="D399" t="s">
        <v>10644</v>
      </c>
      <c r="E399" t="s">
        <v>70</v>
      </c>
      <c r="F399" t="s">
        <v>33</v>
      </c>
      <c r="G399" t="s">
        <v>9422</v>
      </c>
      <c r="H399" t="s">
        <v>72</v>
      </c>
      <c r="I399" t="s">
        <v>10645</v>
      </c>
      <c r="J399" t="s">
        <v>10646</v>
      </c>
      <c r="K399" t="s">
        <v>36</v>
      </c>
      <c r="L399" t="s">
        <v>33</v>
      </c>
      <c r="M399">
        <v>20251549835</v>
      </c>
      <c r="N399" t="s">
        <v>1832</v>
      </c>
      <c r="O399" t="s">
        <v>9423</v>
      </c>
      <c r="P399" t="s">
        <v>38</v>
      </c>
      <c r="Q399" t="s">
        <v>1833</v>
      </c>
      <c r="R399" t="s">
        <v>10647</v>
      </c>
      <c r="S399">
        <v>450.03</v>
      </c>
      <c r="T399" t="s">
        <v>40</v>
      </c>
      <c r="U399">
        <f>+IF(Tabla1[[#This Row],[MONEDA]]="PEN",Tabla1[[#This Row],[MONTO]],Tabla1[[#This Row],[MONTO]]*3.56)</f>
        <v>450.03</v>
      </c>
      <c r="X399" t="s">
        <v>41</v>
      </c>
      <c r="Y399" t="s">
        <v>42</v>
      </c>
      <c r="Z399" t="s">
        <v>82</v>
      </c>
      <c r="AA399" t="s">
        <v>10648</v>
      </c>
      <c r="AB399" t="s">
        <v>10649</v>
      </c>
      <c r="AC399" t="s">
        <v>10650</v>
      </c>
      <c r="AD399" t="s">
        <v>10651</v>
      </c>
      <c r="AE399">
        <v>450.03</v>
      </c>
      <c r="AF399" t="s">
        <v>87</v>
      </c>
      <c r="AG399" t="s">
        <v>169</v>
      </c>
    </row>
    <row r="400" spans="1:33" hidden="1" x14ac:dyDescent="0.25">
      <c r="A400">
        <v>24174</v>
      </c>
      <c r="B400" t="s">
        <v>32</v>
      </c>
      <c r="C400">
        <v>1</v>
      </c>
      <c r="D400" t="s">
        <v>10644</v>
      </c>
      <c r="E400" t="s">
        <v>70</v>
      </c>
      <c r="F400" t="s">
        <v>33</v>
      </c>
      <c r="G400" t="s">
        <v>9422</v>
      </c>
      <c r="H400" t="s">
        <v>72</v>
      </c>
      <c r="I400" t="s">
        <v>10645</v>
      </c>
      <c r="J400" t="s">
        <v>10646</v>
      </c>
      <c r="K400" t="s">
        <v>36</v>
      </c>
      <c r="L400" t="s">
        <v>33</v>
      </c>
      <c r="M400">
        <v>20251549835</v>
      </c>
      <c r="N400" t="s">
        <v>1832</v>
      </c>
      <c r="O400" t="s">
        <v>9423</v>
      </c>
      <c r="P400" t="s">
        <v>38</v>
      </c>
      <c r="Q400" t="s">
        <v>1833</v>
      </c>
      <c r="R400" t="s">
        <v>10647</v>
      </c>
      <c r="S400">
        <v>450.03</v>
      </c>
      <c r="T400" t="s">
        <v>40</v>
      </c>
      <c r="U400">
        <f>+IF(Tabla1[[#This Row],[MONEDA]]="PEN",Tabla1[[#This Row],[MONTO]],Tabla1[[#This Row],[MONTO]]*3.56)</f>
        <v>450.03</v>
      </c>
      <c r="X400" t="s">
        <v>41</v>
      </c>
      <c r="Y400" t="s">
        <v>42</v>
      </c>
      <c r="Z400" t="s">
        <v>82</v>
      </c>
      <c r="AA400" t="s">
        <v>10648</v>
      </c>
      <c r="AB400" t="s">
        <v>10649</v>
      </c>
      <c r="AC400" t="s">
        <v>10650</v>
      </c>
      <c r="AD400" t="s">
        <v>10651</v>
      </c>
      <c r="AE400">
        <v>450.03</v>
      </c>
      <c r="AF400" t="s">
        <v>87</v>
      </c>
      <c r="AG400" t="s">
        <v>169</v>
      </c>
    </row>
    <row r="401" spans="1:33" hidden="1" x14ac:dyDescent="0.25">
      <c r="A401">
        <v>22631</v>
      </c>
      <c r="B401" t="s">
        <v>32</v>
      </c>
      <c r="C401">
        <v>1</v>
      </c>
      <c r="D401" t="s">
        <v>11764</v>
      </c>
      <c r="E401" t="s">
        <v>70</v>
      </c>
      <c r="F401" t="s">
        <v>33</v>
      </c>
      <c r="G401" t="s">
        <v>9422</v>
      </c>
      <c r="H401" t="s">
        <v>72</v>
      </c>
      <c r="I401" t="s">
        <v>11757</v>
      </c>
      <c r="J401" t="s">
        <v>11765</v>
      </c>
      <c r="K401" t="s">
        <v>36</v>
      </c>
      <c r="L401" t="s">
        <v>33</v>
      </c>
      <c r="M401">
        <v>20251549835</v>
      </c>
      <c r="N401" t="s">
        <v>1832</v>
      </c>
      <c r="O401" t="s">
        <v>9423</v>
      </c>
      <c r="P401" t="s">
        <v>38</v>
      </c>
      <c r="Q401" t="s">
        <v>1833</v>
      </c>
      <c r="R401" t="s">
        <v>11766</v>
      </c>
      <c r="S401">
        <v>6005.48</v>
      </c>
      <c r="T401" t="s">
        <v>40</v>
      </c>
      <c r="U401">
        <f>+IF(Tabla1[[#This Row],[MONEDA]]="PEN",Tabla1[[#This Row],[MONTO]],Tabla1[[#This Row],[MONTO]]*3.56)</f>
        <v>6005.48</v>
      </c>
      <c r="X401" t="s">
        <v>81</v>
      </c>
      <c r="Y401" t="s">
        <v>42</v>
      </c>
      <c r="Z401" t="s">
        <v>43</v>
      </c>
      <c r="AA401" t="s">
        <v>11767</v>
      </c>
      <c r="AB401" t="s">
        <v>11768</v>
      </c>
      <c r="AC401" t="s">
        <v>11769</v>
      </c>
      <c r="AD401" t="s">
        <v>11770</v>
      </c>
      <c r="AE401">
        <v>5825.32</v>
      </c>
      <c r="AF401" t="s">
        <v>87</v>
      </c>
      <c r="AG401" t="s">
        <v>169</v>
      </c>
    </row>
    <row r="402" spans="1:33" hidden="1" x14ac:dyDescent="0.25">
      <c r="A402">
        <v>22631</v>
      </c>
      <c r="B402" t="s">
        <v>32</v>
      </c>
      <c r="C402">
        <v>1</v>
      </c>
      <c r="D402" t="s">
        <v>11764</v>
      </c>
      <c r="E402" t="s">
        <v>70</v>
      </c>
      <c r="F402" t="s">
        <v>33</v>
      </c>
      <c r="G402" t="s">
        <v>9422</v>
      </c>
      <c r="H402" t="s">
        <v>72</v>
      </c>
      <c r="I402" t="s">
        <v>11757</v>
      </c>
      <c r="J402" t="s">
        <v>11765</v>
      </c>
      <c r="K402" t="s">
        <v>36</v>
      </c>
      <c r="L402" t="s">
        <v>33</v>
      </c>
      <c r="M402">
        <v>20251549835</v>
      </c>
      <c r="N402" t="s">
        <v>1832</v>
      </c>
      <c r="O402" t="s">
        <v>9423</v>
      </c>
      <c r="P402" t="s">
        <v>38</v>
      </c>
      <c r="Q402" t="s">
        <v>1833</v>
      </c>
      <c r="R402" t="s">
        <v>11766</v>
      </c>
      <c r="S402">
        <v>6005.48</v>
      </c>
      <c r="T402" t="s">
        <v>40</v>
      </c>
      <c r="U402">
        <f>+IF(Tabla1[[#This Row],[MONEDA]]="PEN",Tabla1[[#This Row],[MONTO]],Tabla1[[#This Row],[MONTO]]*3.56)</f>
        <v>6005.48</v>
      </c>
      <c r="X402" t="s">
        <v>81</v>
      </c>
      <c r="Y402" t="s">
        <v>42</v>
      </c>
      <c r="Z402" t="s">
        <v>43</v>
      </c>
      <c r="AA402" t="s">
        <v>11767</v>
      </c>
      <c r="AB402" t="s">
        <v>11768</v>
      </c>
      <c r="AC402" t="s">
        <v>11769</v>
      </c>
      <c r="AD402" t="s">
        <v>11770</v>
      </c>
      <c r="AE402">
        <v>5825.32</v>
      </c>
      <c r="AF402" t="s">
        <v>87</v>
      </c>
      <c r="AG402" t="s">
        <v>169</v>
      </c>
    </row>
    <row r="403" spans="1:33" hidden="1" x14ac:dyDescent="0.25">
      <c r="A403">
        <v>42729</v>
      </c>
      <c r="B403" t="s">
        <v>32</v>
      </c>
      <c r="C403">
        <v>2</v>
      </c>
      <c r="D403" t="s">
        <v>881</v>
      </c>
      <c r="E403" t="s">
        <v>70</v>
      </c>
      <c r="F403" t="s">
        <v>33</v>
      </c>
      <c r="G403" t="s">
        <v>71</v>
      </c>
      <c r="H403" t="s">
        <v>72</v>
      </c>
      <c r="I403" t="s">
        <v>874</v>
      </c>
      <c r="J403" t="s">
        <v>882</v>
      </c>
      <c r="K403" t="s">
        <v>36</v>
      </c>
      <c r="L403" t="s">
        <v>33</v>
      </c>
      <c r="M403">
        <v>20610622098</v>
      </c>
      <c r="N403" t="s">
        <v>883</v>
      </c>
      <c r="O403" t="s">
        <v>76</v>
      </c>
      <c r="P403" t="s">
        <v>38</v>
      </c>
      <c r="Q403" t="s">
        <v>884</v>
      </c>
      <c r="R403" t="s">
        <v>885</v>
      </c>
      <c r="S403">
        <v>3707</v>
      </c>
      <c r="T403" t="s">
        <v>40</v>
      </c>
      <c r="U403">
        <f>+IF(Tabla1[[#This Row],[MONEDA]]="PEN",Tabla1[[#This Row],[MONTO]],Tabla1[[#This Row],[MONTO]]*3.56)</f>
        <v>3707</v>
      </c>
      <c r="X403" t="s">
        <v>81</v>
      </c>
      <c r="Y403" t="s">
        <v>42</v>
      </c>
      <c r="Z403" t="s">
        <v>82</v>
      </c>
      <c r="AA403" t="s">
        <v>886</v>
      </c>
      <c r="AB403" t="s">
        <v>887</v>
      </c>
      <c r="AC403" t="s">
        <v>888</v>
      </c>
      <c r="AD403" t="s">
        <v>889</v>
      </c>
      <c r="AE403">
        <v>3595.79</v>
      </c>
      <c r="AF403" t="s">
        <v>87</v>
      </c>
      <c r="AG403" t="s">
        <v>169</v>
      </c>
    </row>
    <row r="404" spans="1:33" hidden="1" x14ac:dyDescent="0.25">
      <c r="A404">
        <v>42166</v>
      </c>
      <c r="B404" t="s">
        <v>32</v>
      </c>
      <c r="C404">
        <v>1</v>
      </c>
      <c r="D404" t="s">
        <v>1097</v>
      </c>
      <c r="E404" t="s">
        <v>70</v>
      </c>
      <c r="F404" t="s">
        <v>33</v>
      </c>
      <c r="G404" t="s">
        <v>71</v>
      </c>
      <c r="H404" t="s">
        <v>72</v>
      </c>
      <c r="I404" t="s">
        <v>1098</v>
      </c>
      <c r="J404" t="s">
        <v>1099</v>
      </c>
      <c r="K404" t="s">
        <v>36</v>
      </c>
      <c r="L404" t="s">
        <v>33</v>
      </c>
      <c r="M404">
        <v>20610622098</v>
      </c>
      <c r="N404" t="s">
        <v>883</v>
      </c>
      <c r="O404" t="s">
        <v>76</v>
      </c>
      <c r="P404" t="s">
        <v>38</v>
      </c>
      <c r="Q404" t="s">
        <v>884</v>
      </c>
      <c r="R404" t="s">
        <v>1100</v>
      </c>
      <c r="S404">
        <v>2136.6</v>
      </c>
      <c r="T404" t="s">
        <v>40</v>
      </c>
      <c r="U404">
        <f>+IF(Tabla1[[#This Row],[MONEDA]]="PEN",Tabla1[[#This Row],[MONTO]],Tabla1[[#This Row],[MONTO]]*3.56)</f>
        <v>2136.6</v>
      </c>
      <c r="X404" t="s">
        <v>81</v>
      </c>
      <c r="Y404" t="s">
        <v>42</v>
      </c>
      <c r="Z404" t="s">
        <v>82</v>
      </c>
      <c r="AA404" t="s">
        <v>1101</v>
      </c>
      <c r="AB404" t="s">
        <v>1102</v>
      </c>
      <c r="AC404" t="s">
        <v>1103</v>
      </c>
      <c r="AD404" t="s">
        <v>1104</v>
      </c>
      <c r="AE404">
        <v>2072.5</v>
      </c>
      <c r="AF404" t="s">
        <v>87</v>
      </c>
      <c r="AG404" t="s">
        <v>169</v>
      </c>
    </row>
    <row r="405" spans="1:33" hidden="1" x14ac:dyDescent="0.25">
      <c r="A405">
        <v>40810</v>
      </c>
      <c r="B405" t="s">
        <v>32</v>
      </c>
      <c r="C405">
        <v>1</v>
      </c>
      <c r="D405" t="s">
        <v>1868</v>
      </c>
      <c r="E405" t="s">
        <v>70</v>
      </c>
      <c r="F405" t="s">
        <v>33</v>
      </c>
      <c r="G405" t="s">
        <v>71</v>
      </c>
      <c r="H405" t="s">
        <v>35</v>
      </c>
      <c r="I405" t="s">
        <v>1862</v>
      </c>
      <c r="J405" t="s">
        <v>1869</v>
      </c>
      <c r="K405" t="s">
        <v>36</v>
      </c>
      <c r="L405" t="s">
        <v>33</v>
      </c>
      <c r="M405">
        <v>20610622098</v>
      </c>
      <c r="N405" t="s">
        <v>883</v>
      </c>
      <c r="O405" t="s">
        <v>76</v>
      </c>
      <c r="P405" t="s">
        <v>38</v>
      </c>
      <c r="Q405" t="s">
        <v>884</v>
      </c>
      <c r="R405" t="s">
        <v>1870</v>
      </c>
      <c r="S405">
        <v>9147.7000000000007</v>
      </c>
      <c r="T405" t="s">
        <v>40</v>
      </c>
      <c r="U405">
        <f>+IF(Tabla1[[#This Row],[MONEDA]]="PEN",Tabla1[[#This Row],[MONTO]],Tabla1[[#This Row],[MONTO]]*3.56)</f>
        <v>9147.7000000000007</v>
      </c>
      <c r="X405" t="s">
        <v>81</v>
      </c>
      <c r="Y405" t="s">
        <v>42</v>
      </c>
      <c r="Z405" t="s">
        <v>82</v>
      </c>
      <c r="AA405" t="s">
        <v>1871</v>
      </c>
      <c r="AB405" t="s">
        <v>1872</v>
      </c>
      <c r="AC405" t="s">
        <v>1873</v>
      </c>
      <c r="AD405" t="s">
        <v>1874</v>
      </c>
      <c r="AE405">
        <v>8873.27</v>
      </c>
      <c r="AF405" t="s">
        <v>87</v>
      </c>
      <c r="AG405" t="s">
        <v>169</v>
      </c>
    </row>
    <row r="406" spans="1:33" hidden="1" x14ac:dyDescent="0.25">
      <c r="A406">
        <v>39235</v>
      </c>
      <c r="B406" t="s">
        <v>32</v>
      </c>
      <c r="C406">
        <v>1</v>
      </c>
      <c r="D406" t="s">
        <v>2457</v>
      </c>
      <c r="E406" t="s">
        <v>70</v>
      </c>
      <c r="F406" t="s">
        <v>33</v>
      </c>
      <c r="G406" t="s">
        <v>71</v>
      </c>
      <c r="H406" t="s">
        <v>35</v>
      </c>
      <c r="I406" t="s">
        <v>2458</v>
      </c>
      <c r="J406" t="s">
        <v>2459</v>
      </c>
      <c r="K406" t="s">
        <v>36</v>
      </c>
      <c r="L406" t="s">
        <v>33</v>
      </c>
      <c r="M406">
        <v>20610622098</v>
      </c>
      <c r="N406" t="s">
        <v>883</v>
      </c>
      <c r="O406" t="s">
        <v>76</v>
      </c>
      <c r="P406" t="s">
        <v>38</v>
      </c>
      <c r="Q406" t="s">
        <v>884</v>
      </c>
      <c r="R406" t="s">
        <v>2460</v>
      </c>
      <c r="S406">
        <v>9449</v>
      </c>
      <c r="T406" t="s">
        <v>40</v>
      </c>
      <c r="U406">
        <f>+IF(Tabla1[[#This Row],[MONEDA]]="PEN",Tabla1[[#This Row],[MONTO]],Tabla1[[#This Row],[MONTO]]*3.56)</f>
        <v>9449</v>
      </c>
      <c r="X406" t="s">
        <v>81</v>
      </c>
      <c r="Y406" t="s">
        <v>42</v>
      </c>
      <c r="Z406" t="s">
        <v>82</v>
      </c>
      <c r="AA406" t="s">
        <v>2461</v>
      </c>
      <c r="AB406" t="s">
        <v>2462</v>
      </c>
      <c r="AC406" t="s">
        <v>2463</v>
      </c>
      <c r="AD406" t="s">
        <v>2464</v>
      </c>
      <c r="AE406">
        <v>9165.5300000000007</v>
      </c>
      <c r="AF406" t="s">
        <v>87</v>
      </c>
      <c r="AG406" t="s">
        <v>169</v>
      </c>
    </row>
    <row r="407" spans="1:33" hidden="1" x14ac:dyDescent="0.25">
      <c r="A407">
        <v>37818</v>
      </c>
      <c r="B407" t="s">
        <v>32</v>
      </c>
      <c r="C407">
        <v>1</v>
      </c>
      <c r="D407" t="s">
        <v>3094</v>
      </c>
      <c r="E407" t="s">
        <v>70</v>
      </c>
      <c r="F407" t="s">
        <v>33</v>
      </c>
      <c r="G407" t="s">
        <v>71</v>
      </c>
      <c r="H407" t="s">
        <v>35</v>
      </c>
      <c r="I407" t="s">
        <v>3058</v>
      </c>
      <c r="J407" t="s">
        <v>3095</v>
      </c>
      <c r="K407" t="s">
        <v>36</v>
      </c>
      <c r="L407" t="s">
        <v>33</v>
      </c>
      <c r="M407">
        <v>20610622098</v>
      </c>
      <c r="N407" t="s">
        <v>883</v>
      </c>
      <c r="O407" t="s">
        <v>76</v>
      </c>
      <c r="P407" t="s">
        <v>38</v>
      </c>
      <c r="Q407" t="s">
        <v>884</v>
      </c>
      <c r="R407" t="s">
        <v>3096</v>
      </c>
      <c r="S407">
        <v>4856.5</v>
      </c>
      <c r="T407" t="s">
        <v>40</v>
      </c>
      <c r="U407">
        <f>+IF(Tabla1[[#This Row],[MONEDA]]="PEN",Tabla1[[#This Row],[MONTO]],Tabla1[[#This Row],[MONTO]]*3.56)</f>
        <v>4856.5</v>
      </c>
      <c r="X407" t="s">
        <v>81</v>
      </c>
      <c r="Y407" t="s">
        <v>42</v>
      </c>
      <c r="Z407" t="s">
        <v>82</v>
      </c>
      <c r="AA407" t="s">
        <v>3097</v>
      </c>
      <c r="AB407" t="s">
        <v>3098</v>
      </c>
      <c r="AC407" t="s">
        <v>3099</v>
      </c>
      <c r="AD407" t="s">
        <v>3100</v>
      </c>
      <c r="AE407">
        <v>4710.8100000000004</v>
      </c>
      <c r="AF407" t="s">
        <v>87</v>
      </c>
      <c r="AG407" t="s">
        <v>169</v>
      </c>
    </row>
    <row r="408" spans="1:33" hidden="1" x14ac:dyDescent="0.25">
      <c r="A408">
        <v>36367</v>
      </c>
      <c r="B408" t="s">
        <v>32</v>
      </c>
      <c r="C408">
        <v>5</v>
      </c>
      <c r="D408" t="s">
        <v>3679</v>
      </c>
      <c r="E408" t="s">
        <v>70</v>
      </c>
      <c r="F408" t="s">
        <v>33</v>
      </c>
      <c r="G408" t="s">
        <v>71</v>
      </c>
      <c r="H408" t="s">
        <v>72</v>
      </c>
      <c r="I408" t="s">
        <v>3660</v>
      </c>
      <c r="J408" t="s">
        <v>3680</v>
      </c>
      <c r="K408" t="s">
        <v>36</v>
      </c>
      <c r="L408" t="s">
        <v>33</v>
      </c>
      <c r="M408">
        <v>20610622098</v>
      </c>
      <c r="N408" t="s">
        <v>883</v>
      </c>
      <c r="O408" t="s">
        <v>76</v>
      </c>
      <c r="P408" t="s">
        <v>38</v>
      </c>
      <c r="Q408" t="s">
        <v>884</v>
      </c>
      <c r="R408" t="s">
        <v>3681</v>
      </c>
      <c r="S408">
        <v>8008.6</v>
      </c>
      <c r="T408" t="s">
        <v>40</v>
      </c>
      <c r="U408">
        <f>+IF(Tabla1[[#This Row],[MONEDA]]="PEN",Tabla1[[#This Row],[MONTO]],Tabla1[[#This Row],[MONTO]]*3.56)</f>
        <v>8008.6</v>
      </c>
      <c r="X408" t="s">
        <v>81</v>
      </c>
      <c r="Y408" t="s">
        <v>42</v>
      </c>
      <c r="Z408" t="s">
        <v>82</v>
      </c>
      <c r="AA408" t="s">
        <v>3682</v>
      </c>
      <c r="AB408" t="s">
        <v>3683</v>
      </c>
      <c r="AC408" t="s">
        <v>3684</v>
      </c>
      <c r="AD408" t="s">
        <v>3685</v>
      </c>
      <c r="AE408">
        <v>7768.34</v>
      </c>
      <c r="AF408" t="s">
        <v>87</v>
      </c>
      <c r="AG408" t="s">
        <v>169</v>
      </c>
    </row>
    <row r="409" spans="1:33" hidden="1" x14ac:dyDescent="0.25">
      <c r="A409">
        <v>35247</v>
      </c>
      <c r="B409" t="s">
        <v>32</v>
      </c>
      <c r="C409">
        <v>2</v>
      </c>
      <c r="D409" t="s">
        <v>4235</v>
      </c>
      <c r="E409" t="s">
        <v>70</v>
      </c>
      <c r="F409" t="s">
        <v>33</v>
      </c>
      <c r="G409" t="s">
        <v>71</v>
      </c>
      <c r="H409" t="s">
        <v>72</v>
      </c>
      <c r="I409" t="s">
        <v>4222</v>
      </c>
      <c r="J409" t="s">
        <v>4236</v>
      </c>
      <c r="K409" t="s">
        <v>36</v>
      </c>
      <c r="L409" t="s">
        <v>33</v>
      </c>
      <c r="M409">
        <v>20610622098</v>
      </c>
      <c r="N409" t="s">
        <v>883</v>
      </c>
      <c r="O409" t="s">
        <v>76</v>
      </c>
      <c r="P409" t="s">
        <v>38</v>
      </c>
      <c r="Q409" t="s">
        <v>884</v>
      </c>
      <c r="R409" t="s">
        <v>4237</v>
      </c>
      <c r="S409">
        <v>6261.2</v>
      </c>
      <c r="T409" t="s">
        <v>40</v>
      </c>
      <c r="U409">
        <f>+IF(Tabla1[[#This Row],[MONEDA]]="PEN",Tabla1[[#This Row],[MONTO]],Tabla1[[#This Row],[MONTO]]*3.56)</f>
        <v>6261.2</v>
      </c>
      <c r="X409" t="s">
        <v>139</v>
      </c>
      <c r="Y409" t="s">
        <v>42</v>
      </c>
      <c r="Z409" t="s">
        <v>82</v>
      </c>
      <c r="AA409" t="s">
        <v>4225</v>
      </c>
      <c r="AB409" t="s">
        <v>4238</v>
      </c>
      <c r="AC409" t="s">
        <v>4239</v>
      </c>
      <c r="AD409" t="s">
        <v>4240</v>
      </c>
      <c r="AE409">
        <v>6073.36</v>
      </c>
      <c r="AF409" t="s">
        <v>87</v>
      </c>
      <c r="AG409" t="s">
        <v>169</v>
      </c>
    </row>
    <row r="410" spans="1:33" hidden="1" x14ac:dyDescent="0.25">
      <c r="A410">
        <v>34652</v>
      </c>
      <c r="B410" t="s">
        <v>32</v>
      </c>
      <c r="C410">
        <v>3</v>
      </c>
      <c r="D410" t="s">
        <v>4534</v>
      </c>
      <c r="E410" t="s">
        <v>70</v>
      </c>
      <c r="F410" t="s">
        <v>33</v>
      </c>
      <c r="G410" t="s">
        <v>71</v>
      </c>
      <c r="H410" t="s">
        <v>72</v>
      </c>
      <c r="I410" t="s">
        <v>4533</v>
      </c>
      <c r="J410" t="s">
        <v>4535</v>
      </c>
      <c r="K410" t="s">
        <v>36</v>
      </c>
      <c r="L410" t="s">
        <v>33</v>
      </c>
      <c r="M410">
        <v>20610622098</v>
      </c>
      <c r="N410" t="s">
        <v>883</v>
      </c>
      <c r="O410" t="s">
        <v>76</v>
      </c>
      <c r="P410" t="s">
        <v>38</v>
      </c>
      <c r="Q410" t="s">
        <v>884</v>
      </c>
      <c r="R410" t="s">
        <v>4536</v>
      </c>
      <c r="S410">
        <v>3850</v>
      </c>
      <c r="T410" t="s">
        <v>40</v>
      </c>
      <c r="U410">
        <f>+IF(Tabla1[[#This Row],[MONEDA]]="PEN",Tabla1[[#This Row],[MONTO]],Tabla1[[#This Row],[MONTO]]*3.56)</f>
        <v>3850</v>
      </c>
      <c r="X410" t="s">
        <v>81</v>
      </c>
      <c r="Y410" t="s">
        <v>42</v>
      </c>
      <c r="Z410" t="s">
        <v>43</v>
      </c>
      <c r="AA410" t="s">
        <v>4225</v>
      </c>
      <c r="AB410" t="s">
        <v>4537</v>
      </c>
      <c r="AC410" t="s">
        <v>4538</v>
      </c>
      <c r="AD410" t="s">
        <v>4539</v>
      </c>
      <c r="AE410">
        <v>3734.5</v>
      </c>
      <c r="AF410" t="s">
        <v>87</v>
      </c>
      <c r="AG410" t="s">
        <v>169</v>
      </c>
    </row>
    <row r="411" spans="1:33" hidden="1" x14ac:dyDescent="0.25">
      <c r="A411">
        <v>28580</v>
      </c>
      <c r="B411" t="s">
        <v>32</v>
      </c>
      <c r="C411">
        <v>1</v>
      </c>
      <c r="D411" t="s">
        <v>7491</v>
      </c>
      <c r="E411" t="s">
        <v>70</v>
      </c>
      <c r="F411" t="s">
        <v>33</v>
      </c>
      <c r="G411" t="s">
        <v>71</v>
      </c>
      <c r="H411" t="s">
        <v>72</v>
      </c>
      <c r="I411" t="s">
        <v>7484</v>
      </c>
      <c r="J411" t="s">
        <v>7492</v>
      </c>
      <c r="K411" t="s">
        <v>36</v>
      </c>
      <c r="L411" t="s">
        <v>33</v>
      </c>
      <c r="M411">
        <v>20610622098</v>
      </c>
      <c r="N411" t="s">
        <v>883</v>
      </c>
      <c r="O411" t="s">
        <v>76</v>
      </c>
      <c r="P411" t="s">
        <v>38</v>
      </c>
      <c r="Q411" t="s">
        <v>884</v>
      </c>
      <c r="R411" t="s">
        <v>7493</v>
      </c>
      <c r="S411">
        <v>16744</v>
      </c>
      <c r="T411" t="s">
        <v>40</v>
      </c>
      <c r="U411">
        <f>+IF(Tabla1[[#This Row],[MONEDA]]="PEN",Tabla1[[#This Row],[MONTO]],Tabla1[[#This Row],[MONTO]]*3.56)</f>
        <v>16744</v>
      </c>
      <c r="X411" t="s">
        <v>81</v>
      </c>
      <c r="Y411" t="s">
        <v>42</v>
      </c>
      <c r="Z411" t="s">
        <v>43</v>
      </c>
      <c r="AA411" t="s">
        <v>7494</v>
      </c>
      <c r="AB411" t="s">
        <v>7495</v>
      </c>
      <c r="AC411" t="s">
        <v>7496</v>
      </c>
      <c r="AD411" t="s">
        <v>7497</v>
      </c>
      <c r="AE411">
        <v>16241.68</v>
      </c>
      <c r="AF411" t="s">
        <v>87</v>
      </c>
      <c r="AG411" t="s">
        <v>169</v>
      </c>
    </row>
    <row r="412" spans="1:33" hidden="1" x14ac:dyDescent="0.25">
      <c r="A412">
        <v>28375</v>
      </c>
      <c r="B412" t="s">
        <v>32</v>
      </c>
      <c r="C412">
        <v>1</v>
      </c>
      <c r="D412" t="s">
        <v>7715</v>
      </c>
      <c r="E412" t="s">
        <v>70</v>
      </c>
      <c r="F412" t="s">
        <v>33</v>
      </c>
      <c r="G412" t="s">
        <v>71</v>
      </c>
      <c r="H412" t="s">
        <v>72</v>
      </c>
      <c r="I412" t="s">
        <v>7701</v>
      </c>
      <c r="J412" t="s">
        <v>7716</v>
      </c>
      <c r="K412" t="s">
        <v>36</v>
      </c>
      <c r="L412" t="s">
        <v>33</v>
      </c>
      <c r="M412">
        <v>20610622098</v>
      </c>
      <c r="N412" t="s">
        <v>883</v>
      </c>
      <c r="O412" t="s">
        <v>76</v>
      </c>
      <c r="P412" t="s">
        <v>38</v>
      </c>
      <c r="Q412" t="s">
        <v>884</v>
      </c>
      <c r="R412" t="s">
        <v>7717</v>
      </c>
      <c r="S412">
        <v>915</v>
      </c>
      <c r="T412" t="s">
        <v>40</v>
      </c>
      <c r="U412">
        <f>+IF(Tabla1[[#This Row],[MONEDA]]="PEN",Tabla1[[#This Row],[MONTO]],Tabla1[[#This Row],[MONTO]]*3.56)</f>
        <v>915</v>
      </c>
      <c r="X412" t="s">
        <v>81</v>
      </c>
      <c r="Y412" t="s">
        <v>42</v>
      </c>
      <c r="Z412" t="s">
        <v>43</v>
      </c>
      <c r="AA412" t="s">
        <v>7718</v>
      </c>
      <c r="AB412" t="s">
        <v>7719</v>
      </c>
      <c r="AC412" t="s">
        <v>7720</v>
      </c>
      <c r="AD412" t="s">
        <v>7721</v>
      </c>
      <c r="AE412">
        <v>887.55</v>
      </c>
      <c r="AF412" t="s">
        <v>87</v>
      </c>
      <c r="AG412" t="s">
        <v>169</v>
      </c>
    </row>
    <row r="413" spans="1:33" hidden="1" x14ac:dyDescent="0.25">
      <c r="A413">
        <v>28123</v>
      </c>
      <c r="B413" t="s">
        <v>32</v>
      </c>
      <c r="C413">
        <v>1</v>
      </c>
      <c r="D413" t="s">
        <v>7939</v>
      </c>
      <c r="E413" t="s">
        <v>70</v>
      </c>
      <c r="F413" t="s">
        <v>33</v>
      </c>
      <c r="G413" t="s">
        <v>71</v>
      </c>
      <c r="H413" t="s">
        <v>72</v>
      </c>
      <c r="I413" t="s">
        <v>7918</v>
      </c>
      <c r="J413" t="s">
        <v>7940</v>
      </c>
      <c r="K413" t="s">
        <v>36</v>
      </c>
      <c r="L413" t="s">
        <v>33</v>
      </c>
      <c r="M413">
        <v>20610622098</v>
      </c>
      <c r="N413" t="s">
        <v>883</v>
      </c>
      <c r="O413" t="s">
        <v>76</v>
      </c>
      <c r="P413" t="s">
        <v>38</v>
      </c>
      <c r="Q413" t="s">
        <v>884</v>
      </c>
      <c r="R413" t="s">
        <v>7941</v>
      </c>
      <c r="S413">
        <v>17639.8</v>
      </c>
      <c r="T413" t="s">
        <v>40</v>
      </c>
      <c r="U413">
        <f>+IF(Tabla1[[#This Row],[MONEDA]]="PEN",Tabla1[[#This Row],[MONTO]],Tabla1[[#This Row],[MONTO]]*3.56)</f>
        <v>17639.8</v>
      </c>
      <c r="X413" t="s">
        <v>81</v>
      </c>
      <c r="Y413" t="s">
        <v>42</v>
      </c>
      <c r="Z413" t="s">
        <v>43</v>
      </c>
      <c r="AA413" t="s">
        <v>7942</v>
      </c>
      <c r="AB413" t="s">
        <v>7943</v>
      </c>
      <c r="AC413" t="s">
        <v>7944</v>
      </c>
      <c r="AD413" t="s">
        <v>7945</v>
      </c>
      <c r="AE413">
        <v>17110.61</v>
      </c>
      <c r="AF413" t="s">
        <v>87</v>
      </c>
      <c r="AG413" t="s">
        <v>169</v>
      </c>
    </row>
    <row r="414" spans="1:33" hidden="1" x14ac:dyDescent="0.25">
      <c r="A414">
        <v>44905</v>
      </c>
      <c r="B414" t="s">
        <v>32</v>
      </c>
      <c r="C414">
        <v>2</v>
      </c>
      <c r="D414" t="s">
        <v>419</v>
      </c>
      <c r="E414" t="s">
        <v>70</v>
      </c>
      <c r="F414" t="s">
        <v>33</v>
      </c>
      <c r="G414" t="s">
        <v>71</v>
      </c>
      <c r="H414" t="s">
        <v>35</v>
      </c>
      <c r="I414" t="s">
        <v>368</v>
      </c>
      <c r="J414" t="s">
        <v>420</v>
      </c>
      <c r="K414" t="s">
        <v>36</v>
      </c>
      <c r="L414" t="s">
        <v>33</v>
      </c>
      <c r="M414">
        <v>20602341225</v>
      </c>
      <c r="N414" t="s">
        <v>421</v>
      </c>
      <c r="O414" t="s">
        <v>76</v>
      </c>
      <c r="P414" t="s">
        <v>38</v>
      </c>
      <c r="Q414" t="s">
        <v>422</v>
      </c>
      <c r="R414" t="s">
        <v>423</v>
      </c>
      <c r="S414">
        <v>682</v>
      </c>
      <c r="T414" t="s">
        <v>40</v>
      </c>
      <c r="U414">
        <f>+IF(Tabla1[[#This Row],[MONEDA]]="PEN",Tabla1[[#This Row],[MONTO]],Tabla1[[#This Row],[MONTO]]*3.56)</f>
        <v>682</v>
      </c>
      <c r="X414" t="s">
        <v>81</v>
      </c>
      <c r="Y414" t="s">
        <v>42</v>
      </c>
      <c r="Z414" t="s">
        <v>82</v>
      </c>
      <c r="AA414" t="s">
        <v>424</v>
      </c>
      <c r="AB414" t="s">
        <v>425</v>
      </c>
      <c r="AC414" t="s">
        <v>426</v>
      </c>
      <c r="AD414" t="s">
        <v>427</v>
      </c>
      <c r="AE414">
        <v>682</v>
      </c>
      <c r="AF414" t="s">
        <v>87</v>
      </c>
      <c r="AG414" t="s">
        <v>169</v>
      </c>
    </row>
    <row r="415" spans="1:33" hidden="1" x14ac:dyDescent="0.25">
      <c r="A415">
        <v>43449</v>
      </c>
      <c r="B415" t="s">
        <v>32</v>
      </c>
      <c r="C415">
        <v>1</v>
      </c>
      <c r="D415" t="s">
        <v>832</v>
      </c>
      <c r="E415" t="s">
        <v>70</v>
      </c>
      <c r="F415" t="s">
        <v>33</v>
      </c>
      <c r="G415" t="s">
        <v>71</v>
      </c>
      <c r="H415" t="s">
        <v>35</v>
      </c>
      <c r="I415" t="s">
        <v>832</v>
      </c>
      <c r="J415" t="s">
        <v>833</v>
      </c>
      <c r="K415" t="s">
        <v>36</v>
      </c>
      <c r="L415" t="s">
        <v>33</v>
      </c>
      <c r="M415">
        <v>20602341225</v>
      </c>
      <c r="N415" t="s">
        <v>421</v>
      </c>
      <c r="O415" t="s">
        <v>76</v>
      </c>
      <c r="R415" t="s">
        <v>834</v>
      </c>
      <c r="S415">
        <v>73.5</v>
      </c>
      <c r="T415" t="s">
        <v>40</v>
      </c>
      <c r="U415">
        <f>+IF(Tabla1[[#This Row],[MONEDA]]="PEN",Tabla1[[#This Row],[MONTO]],Tabla1[[#This Row],[MONTO]]*3.56)</f>
        <v>73.5</v>
      </c>
      <c r="V415" t="s">
        <v>190</v>
      </c>
      <c r="W415">
        <v>41217</v>
      </c>
      <c r="X415" t="s">
        <v>81</v>
      </c>
      <c r="Y415" t="s">
        <v>42</v>
      </c>
      <c r="Z415" t="s">
        <v>43</v>
      </c>
      <c r="AA415" t="s">
        <v>835</v>
      </c>
      <c r="AC415" t="s">
        <v>836</v>
      </c>
      <c r="AD415" t="s">
        <v>837</v>
      </c>
    </row>
    <row r="416" spans="1:33" hidden="1" x14ac:dyDescent="0.25">
      <c r="A416">
        <v>40951</v>
      </c>
      <c r="B416" t="s">
        <v>32</v>
      </c>
      <c r="C416">
        <v>1</v>
      </c>
      <c r="D416" t="s">
        <v>1759</v>
      </c>
      <c r="E416" t="s">
        <v>70</v>
      </c>
      <c r="F416" t="s">
        <v>33</v>
      </c>
      <c r="G416" t="s">
        <v>71</v>
      </c>
      <c r="H416" t="s">
        <v>35</v>
      </c>
      <c r="I416" t="s">
        <v>1738</v>
      </c>
      <c r="J416" t="s">
        <v>1760</v>
      </c>
      <c r="K416" t="s">
        <v>36</v>
      </c>
      <c r="L416" t="s">
        <v>33</v>
      </c>
      <c r="M416">
        <v>20602341225</v>
      </c>
      <c r="N416" t="s">
        <v>421</v>
      </c>
      <c r="O416" t="s">
        <v>76</v>
      </c>
      <c r="P416" t="s">
        <v>38</v>
      </c>
      <c r="Q416" t="s">
        <v>422</v>
      </c>
      <c r="R416" t="s">
        <v>1761</v>
      </c>
      <c r="S416">
        <v>895</v>
      </c>
      <c r="T416" t="s">
        <v>40</v>
      </c>
      <c r="U416">
        <f>+IF(Tabla1[[#This Row],[MONEDA]]="PEN",Tabla1[[#This Row],[MONTO]],Tabla1[[#This Row],[MONTO]]*3.56)</f>
        <v>895</v>
      </c>
      <c r="X416" t="s">
        <v>81</v>
      </c>
      <c r="Y416" t="s">
        <v>42</v>
      </c>
      <c r="Z416" t="s">
        <v>82</v>
      </c>
      <c r="AA416" t="s">
        <v>1762</v>
      </c>
      <c r="AB416" t="s">
        <v>1763</v>
      </c>
      <c r="AC416" t="s">
        <v>1764</v>
      </c>
      <c r="AD416" t="s">
        <v>1765</v>
      </c>
      <c r="AE416">
        <v>895</v>
      </c>
      <c r="AF416" t="s">
        <v>87</v>
      </c>
      <c r="AG416" t="s">
        <v>169</v>
      </c>
    </row>
    <row r="417" spans="1:33" hidden="1" x14ac:dyDescent="0.25">
      <c r="A417">
        <v>39245</v>
      </c>
      <c r="B417" t="s">
        <v>32</v>
      </c>
      <c r="C417">
        <v>1</v>
      </c>
      <c r="D417" t="s">
        <v>2465</v>
      </c>
      <c r="E417" t="s">
        <v>70</v>
      </c>
      <c r="F417" t="s">
        <v>33</v>
      </c>
      <c r="G417" t="s">
        <v>71</v>
      </c>
      <c r="H417" t="s">
        <v>35</v>
      </c>
      <c r="I417" t="s">
        <v>2458</v>
      </c>
      <c r="J417" t="s">
        <v>2466</v>
      </c>
      <c r="K417" t="s">
        <v>36</v>
      </c>
      <c r="L417" t="s">
        <v>33</v>
      </c>
      <c r="M417">
        <v>20602341225</v>
      </c>
      <c r="N417" t="s">
        <v>421</v>
      </c>
      <c r="O417" t="s">
        <v>76</v>
      </c>
      <c r="P417" t="s">
        <v>38</v>
      </c>
      <c r="Q417" t="s">
        <v>422</v>
      </c>
      <c r="R417" t="s">
        <v>2467</v>
      </c>
      <c r="S417">
        <v>175</v>
      </c>
      <c r="T417" t="s">
        <v>40</v>
      </c>
      <c r="U417">
        <f>+IF(Tabla1[[#This Row],[MONEDA]]="PEN",Tabla1[[#This Row],[MONTO]],Tabla1[[#This Row],[MONTO]]*3.56)</f>
        <v>175</v>
      </c>
      <c r="X417" t="s">
        <v>81</v>
      </c>
      <c r="Y417" t="s">
        <v>42</v>
      </c>
      <c r="Z417" t="s">
        <v>82</v>
      </c>
      <c r="AA417" t="s">
        <v>2468</v>
      </c>
      <c r="AB417" t="s">
        <v>2469</v>
      </c>
      <c r="AC417" t="s">
        <v>2470</v>
      </c>
      <c r="AD417" t="s">
        <v>2471</v>
      </c>
      <c r="AE417">
        <v>175</v>
      </c>
      <c r="AF417" t="s">
        <v>87</v>
      </c>
      <c r="AG417" t="s">
        <v>169</v>
      </c>
    </row>
    <row r="418" spans="1:33" hidden="1" x14ac:dyDescent="0.25">
      <c r="A418">
        <v>38407</v>
      </c>
      <c r="B418" t="s">
        <v>32</v>
      </c>
      <c r="C418">
        <v>1</v>
      </c>
      <c r="D418" t="s">
        <v>2884</v>
      </c>
      <c r="E418" t="s">
        <v>70</v>
      </c>
      <c r="F418" t="s">
        <v>33</v>
      </c>
      <c r="G418" t="s">
        <v>71</v>
      </c>
      <c r="H418" t="s">
        <v>35</v>
      </c>
      <c r="I418" t="s">
        <v>2884</v>
      </c>
      <c r="J418" t="s">
        <v>2885</v>
      </c>
      <c r="K418" t="s">
        <v>36</v>
      </c>
      <c r="L418" t="s">
        <v>33</v>
      </c>
      <c r="M418">
        <v>20602341225</v>
      </c>
      <c r="N418" t="s">
        <v>421</v>
      </c>
      <c r="O418" t="s">
        <v>76</v>
      </c>
      <c r="R418" t="s">
        <v>2886</v>
      </c>
      <c r="S418">
        <v>50</v>
      </c>
      <c r="T418" t="s">
        <v>40</v>
      </c>
      <c r="U418">
        <f>+IF(Tabla1[[#This Row],[MONEDA]]="PEN",Tabla1[[#This Row],[MONTO]],Tabla1[[#This Row],[MONTO]]*3.56)</f>
        <v>50</v>
      </c>
      <c r="V418" t="s">
        <v>190</v>
      </c>
      <c r="W418">
        <v>34656</v>
      </c>
      <c r="X418" t="s">
        <v>81</v>
      </c>
      <c r="Y418" t="s">
        <v>42</v>
      </c>
      <c r="Z418" t="s">
        <v>43</v>
      </c>
      <c r="AA418" t="s">
        <v>2887</v>
      </c>
      <c r="AC418" t="s">
        <v>2888</v>
      </c>
      <c r="AD418" t="s">
        <v>2889</v>
      </c>
    </row>
    <row r="419" spans="1:33" hidden="1" x14ac:dyDescent="0.25">
      <c r="A419">
        <v>38351</v>
      </c>
      <c r="B419" t="s">
        <v>32</v>
      </c>
      <c r="C419">
        <v>1</v>
      </c>
      <c r="D419" t="s">
        <v>2960</v>
      </c>
      <c r="E419" t="s">
        <v>70</v>
      </c>
      <c r="F419" t="s">
        <v>33</v>
      </c>
      <c r="G419" t="s">
        <v>71</v>
      </c>
      <c r="H419" t="s">
        <v>35</v>
      </c>
      <c r="I419" t="s">
        <v>2953</v>
      </c>
      <c r="J419" t="s">
        <v>2961</v>
      </c>
      <c r="K419" t="s">
        <v>36</v>
      </c>
      <c r="L419" t="s">
        <v>33</v>
      </c>
      <c r="M419">
        <v>20602341225</v>
      </c>
      <c r="N419" t="s">
        <v>421</v>
      </c>
      <c r="O419" t="s">
        <v>76</v>
      </c>
      <c r="P419" t="s">
        <v>38</v>
      </c>
      <c r="Q419" t="s">
        <v>422</v>
      </c>
      <c r="R419" t="s">
        <v>2962</v>
      </c>
      <c r="S419">
        <v>1000</v>
      </c>
      <c r="T419" t="s">
        <v>40</v>
      </c>
      <c r="U419">
        <f>+IF(Tabla1[[#This Row],[MONEDA]]="PEN",Tabla1[[#This Row],[MONTO]],Tabla1[[#This Row],[MONTO]]*3.56)</f>
        <v>1000</v>
      </c>
      <c r="X419" t="s">
        <v>81</v>
      </c>
      <c r="Y419" t="s">
        <v>42</v>
      </c>
      <c r="Z419" t="s">
        <v>82</v>
      </c>
      <c r="AA419" t="s">
        <v>2963</v>
      </c>
      <c r="AB419" t="s">
        <v>2964</v>
      </c>
      <c r="AC419" t="s">
        <v>2965</v>
      </c>
      <c r="AD419" t="s">
        <v>2966</v>
      </c>
      <c r="AE419">
        <v>1000</v>
      </c>
      <c r="AF419" t="s">
        <v>87</v>
      </c>
      <c r="AG419" t="s">
        <v>169</v>
      </c>
    </row>
    <row r="420" spans="1:33" hidden="1" x14ac:dyDescent="0.25">
      <c r="A420">
        <v>35618</v>
      </c>
      <c r="B420" t="s">
        <v>32</v>
      </c>
      <c r="C420">
        <v>1</v>
      </c>
      <c r="D420" t="s">
        <v>4184</v>
      </c>
      <c r="E420" t="s">
        <v>70</v>
      </c>
      <c r="F420" t="s">
        <v>33</v>
      </c>
      <c r="G420" t="s">
        <v>71</v>
      </c>
      <c r="H420" t="s">
        <v>72</v>
      </c>
      <c r="I420" t="s">
        <v>4177</v>
      </c>
      <c r="J420" t="s">
        <v>4185</v>
      </c>
      <c r="K420" t="s">
        <v>36</v>
      </c>
      <c r="L420" t="s">
        <v>33</v>
      </c>
      <c r="M420">
        <v>20602341225</v>
      </c>
      <c r="N420" t="s">
        <v>421</v>
      </c>
      <c r="O420" t="s">
        <v>76</v>
      </c>
      <c r="P420" t="s">
        <v>38</v>
      </c>
      <c r="Q420" t="s">
        <v>422</v>
      </c>
      <c r="R420" t="s">
        <v>4186</v>
      </c>
      <c r="S420">
        <v>4838</v>
      </c>
      <c r="T420" t="s">
        <v>40</v>
      </c>
      <c r="U420">
        <f>+IF(Tabla1[[#This Row],[MONEDA]]="PEN",Tabla1[[#This Row],[MONTO]],Tabla1[[#This Row],[MONTO]]*3.56)</f>
        <v>4838</v>
      </c>
      <c r="X420" t="s">
        <v>81</v>
      </c>
      <c r="Y420" t="s">
        <v>42</v>
      </c>
      <c r="Z420" t="s">
        <v>43</v>
      </c>
      <c r="AA420" t="s">
        <v>4187</v>
      </c>
      <c r="AB420" t="s">
        <v>4188</v>
      </c>
      <c r="AC420" t="s">
        <v>4189</v>
      </c>
      <c r="AD420" t="s">
        <v>4190</v>
      </c>
      <c r="AE420">
        <v>4838</v>
      </c>
      <c r="AF420" t="s">
        <v>87</v>
      </c>
      <c r="AG420" t="s">
        <v>169</v>
      </c>
    </row>
    <row r="421" spans="1:33" hidden="1" x14ac:dyDescent="0.25">
      <c r="A421">
        <v>31802</v>
      </c>
      <c r="B421" t="s">
        <v>32</v>
      </c>
      <c r="C421">
        <v>1</v>
      </c>
      <c r="D421" t="s">
        <v>5631</v>
      </c>
      <c r="E421" t="s">
        <v>70</v>
      </c>
      <c r="F421" t="s">
        <v>33</v>
      </c>
      <c r="G421" t="s">
        <v>71</v>
      </c>
      <c r="H421" t="s">
        <v>35</v>
      </c>
      <c r="I421" t="s">
        <v>5632</v>
      </c>
      <c r="J421" t="s">
        <v>5633</v>
      </c>
      <c r="K421" t="s">
        <v>36</v>
      </c>
      <c r="L421" t="s">
        <v>33</v>
      </c>
      <c r="M421">
        <v>20602341225</v>
      </c>
      <c r="N421" t="s">
        <v>421</v>
      </c>
      <c r="O421" t="s">
        <v>76</v>
      </c>
      <c r="P421" t="s">
        <v>38</v>
      </c>
      <c r="Q421" t="s">
        <v>422</v>
      </c>
      <c r="R421" t="s">
        <v>5634</v>
      </c>
      <c r="S421">
        <v>1214.5</v>
      </c>
      <c r="T421" t="s">
        <v>40</v>
      </c>
      <c r="U421">
        <f>+IF(Tabla1[[#This Row],[MONEDA]]="PEN",Tabla1[[#This Row],[MONTO]],Tabla1[[#This Row],[MONTO]]*3.56)</f>
        <v>1214.5</v>
      </c>
      <c r="X421" t="s">
        <v>81</v>
      </c>
      <c r="Y421" t="s">
        <v>42</v>
      </c>
      <c r="Z421" t="s">
        <v>43</v>
      </c>
      <c r="AA421" t="s">
        <v>5635</v>
      </c>
      <c r="AB421" t="s">
        <v>5636</v>
      </c>
      <c r="AC421" t="s">
        <v>5637</v>
      </c>
      <c r="AD421" t="s">
        <v>5638</v>
      </c>
      <c r="AE421">
        <v>1214.5</v>
      </c>
      <c r="AF421" t="s">
        <v>87</v>
      </c>
      <c r="AG421" t="s">
        <v>169</v>
      </c>
    </row>
    <row r="422" spans="1:33" hidden="1" x14ac:dyDescent="0.25">
      <c r="A422">
        <v>31315</v>
      </c>
      <c r="B422" t="s">
        <v>32</v>
      </c>
      <c r="C422">
        <v>1</v>
      </c>
      <c r="D422" t="s">
        <v>5871</v>
      </c>
      <c r="E422" t="s">
        <v>70</v>
      </c>
      <c r="F422" t="s">
        <v>33</v>
      </c>
      <c r="G422" t="s">
        <v>71</v>
      </c>
      <c r="H422" t="s">
        <v>35</v>
      </c>
      <c r="I422" t="s">
        <v>5872</v>
      </c>
      <c r="J422" t="s">
        <v>5873</v>
      </c>
      <c r="K422" t="s">
        <v>36</v>
      </c>
      <c r="L422" t="s">
        <v>33</v>
      </c>
      <c r="M422">
        <v>20602341225</v>
      </c>
      <c r="N422" t="s">
        <v>421</v>
      </c>
      <c r="O422" t="s">
        <v>76</v>
      </c>
      <c r="P422" t="s">
        <v>38</v>
      </c>
      <c r="Q422" t="s">
        <v>422</v>
      </c>
      <c r="R422" t="s">
        <v>5874</v>
      </c>
      <c r="S422">
        <v>1000</v>
      </c>
      <c r="T422" t="s">
        <v>40</v>
      </c>
      <c r="U422">
        <f>+IF(Tabla1[[#This Row],[MONEDA]]="PEN",Tabla1[[#This Row],[MONTO]],Tabla1[[#This Row],[MONTO]]*3.56)</f>
        <v>1000</v>
      </c>
      <c r="X422" t="s">
        <v>81</v>
      </c>
      <c r="Y422" t="s">
        <v>42</v>
      </c>
      <c r="Z422" t="s">
        <v>43</v>
      </c>
      <c r="AA422" t="s">
        <v>5875</v>
      </c>
      <c r="AB422" t="s">
        <v>5876</v>
      </c>
      <c r="AC422" t="s">
        <v>5877</v>
      </c>
      <c r="AD422" t="s">
        <v>5878</v>
      </c>
      <c r="AE422">
        <v>1000</v>
      </c>
      <c r="AF422" t="s">
        <v>87</v>
      </c>
      <c r="AG422" t="s">
        <v>169</v>
      </c>
    </row>
    <row r="423" spans="1:33" hidden="1" x14ac:dyDescent="0.25">
      <c r="A423">
        <v>31025</v>
      </c>
      <c r="B423" t="s">
        <v>32</v>
      </c>
      <c r="C423">
        <v>1</v>
      </c>
      <c r="D423" t="s">
        <v>6152</v>
      </c>
      <c r="E423" t="s">
        <v>70</v>
      </c>
      <c r="F423" t="s">
        <v>33</v>
      </c>
      <c r="G423" t="s">
        <v>71</v>
      </c>
      <c r="H423" t="s">
        <v>72</v>
      </c>
      <c r="I423" t="s">
        <v>6145</v>
      </c>
      <c r="J423" t="s">
        <v>6153</v>
      </c>
      <c r="K423" t="s">
        <v>36</v>
      </c>
      <c r="L423" t="s">
        <v>33</v>
      </c>
      <c r="M423">
        <v>20602341225</v>
      </c>
      <c r="N423" t="s">
        <v>421</v>
      </c>
      <c r="O423" t="s">
        <v>76</v>
      </c>
      <c r="P423" t="s">
        <v>38</v>
      </c>
      <c r="Q423" t="s">
        <v>422</v>
      </c>
      <c r="R423" t="s">
        <v>6154</v>
      </c>
      <c r="S423">
        <v>2320</v>
      </c>
      <c r="T423" t="s">
        <v>40</v>
      </c>
      <c r="U423">
        <f>+IF(Tabla1[[#This Row],[MONEDA]]="PEN",Tabla1[[#This Row],[MONTO]],Tabla1[[#This Row],[MONTO]]*3.56)</f>
        <v>2320</v>
      </c>
      <c r="X423" t="s">
        <v>81</v>
      </c>
      <c r="Y423" t="s">
        <v>42</v>
      </c>
      <c r="Z423" t="s">
        <v>43</v>
      </c>
      <c r="AA423" t="s">
        <v>6155</v>
      </c>
      <c r="AB423" t="s">
        <v>6156</v>
      </c>
      <c r="AC423" t="s">
        <v>6157</v>
      </c>
      <c r="AD423" t="s">
        <v>6158</v>
      </c>
      <c r="AE423">
        <v>2320</v>
      </c>
      <c r="AF423" t="s">
        <v>87</v>
      </c>
      <c r="AG423" t="s">
        <v>169</v>
      </c>
    </row>
    <row r="424" spans="1:33" hidden="1" x14ac:dyDescent="0.25">
      <c r="A424">
        <v>29829</v>
      </c>
      <c r="B424" t="s">
        <v>32</v>
      </c>
      <c r="C424">
        <v>1</v>
      </c>
      <c r="D424" t="s">
        <v>6683</v>
      </c>
      <c r="E424" t="s">
        <v>70</v>
      </c>
      <c r="F424" t="s">
        <v>33</v>
      </c>
      <c r="G424" t="s">
        <v>71</v>
      </c>
      <c r="H424" t="s">
        <v>72</v>
      </c>
      <c r="I424" t="s">
        <v>6684</v>
      </c>
      <c r="J424" t="s">
        <v>6685</v>
      </c>
      <c r="K424" t="s">
        <v>36</v>
      </c>
      <c r="L424" t="s">
        <v>33</v>
      </c>
      <c r="M424">
        <v>20602341225</v>
      </c>
      <c r="N424" t="s">
        <v>421</v>
      </c>
      <c r="O424" t="s">
        <v>76</v>
      </c>
      <c r="R424" t="s">
        <v>6686</v>
      </c>
      <c r="S424">
        <v>45</v>
      </c>
      <c r="T424" t="s">
        <v>40</v>
      </c>
      <c r="U424">
        <f>+IF(Tabla1[[#This Row],[MONEDA]]="PEN",Tabla1[[#This Row],[MONTO]],Tabla1[[#This Row],[MONTO]]*3.56)</f>
        <v>45</v>
      </c>
      <c r="V424" t="s">
        <v>190</v>
      </c>
      <c r="W424">
        <v>28316</v>
      </c>
      <c r="X424" t="s">
        <v>81</v>
      </c>
      <c r="Y424" t="s">
        <v>42</v>
      </c>
      <c r="Z424" t="s">
        <v>43</v>
      </c>
      <c r="AA424" t="s">
        <v>6687</v>
      </c>
      <c r="AC424" t="s">
        <v>6688</v>
      </c>
      <c r="AD424" t="s">
        <v>6689</v>
      </c>
    </row>
    <row r="425" spans="1:33" x14ac:dyDescent="0.25">
      <c r="A425">
        <v>29209</v>
      </c>
      <c r="B425" t="s">
        <v>32</v>
      </c>
      <c r="C425">
        <v>1</v>
      </c>
      <c r="D425" t="s">
        <v>7026</v>
      </c>
      <c r="E425" t="s">
        <v>70</v>
      </c>
      <c r="F425" t="s">
        <v>5328</v>
      </c>
      <c r="G425" t="s">
        <v>5329</v>
      </c>
      <c r="H425" t="s">
        <v>72</v>
      </c>
      <c r="I425" t="s">
        <v>7012</v>
      </c>
      <c r="J425" t="s">
        <v>7027</v>
      </c>
      <c r="K425" t="s">
        <v>36</v>
      </c>
      <c r="L425" t="s">
        <v>33</v>
      </c>
      <c r="M425">
        <v>20602341225</v>
      </c>
      <c r="N425" t="s">
        <v>421</v>
      </c>
      <c r="O425" t="s">
        <v>6159</v>
      </c>
      <c r="P425" t="s">
        <v>38</v>
      </c>
      <c r="Q425" t="s">
        <v>422</v>
      </c>
      <c r="R425" t="s">
        <v>7028</v>
      </c>
      <c r="S425">
        <v>1287</v>
      </c>
      <c r="T425" t="s">
        <v>40</v>
      </c>
      <c r="U425">
        <f>+IF(Tabla1[[#This Row],[MONEDA]]="PEN",Tabla1[[#This Row],[MONTO]],Tabla1[[#This Row],[MONTO]]*3.56)</f>
        <v>1287</v>
      </c>
      <c r="X425" t="s">
        <v>81</v>
      </c>
      <c r="Y425" t="s">
        <v>42</v>
      </c>
      <c r="Z425" t="s">
        <v>43</v>
      </c>
      <c r="AA425" t="s">
        <v>7029</v>
      </c>
      <c r="AB425" t="s">
        <v>7030</v>
      </c>
      <c r="AC425" t="s">
        <v>7031</v>
      </c>
      <c r="AD425" t="s">
        <v>7032</v>
      </c>
      <c r="AE425">
        <v>1287</v>
      </c>
      <c r="AF425" t="s">
        <v>87</v>
      </c>
      <c r="AG425" t="s">
        <v>169</v>
      </c>
    </row>
    <row r="426" spans="1:33" x14ac:dyDescent="0.25">
      <c r="A426">
        <v>29022</v>
      </c>
      <c r="B426" t="s">
        <v>32</v>
      </c>
      <c r="C426">
        <v>1</v>
      </c>
      <c r="D426" t="s">
        <v>7217</v>
      </c>
      <c r="E426" t="s">
        <v>70</v>
      </c>
      <c r="F426" t="s">
        <v>5328</v>
      </c>
      <c r="G426" t="s">
        <v>5329</v>
      </c>
      <c r="H426" t="s">
        <v>72</v>
      </c>
      <c r="I426" t="s">
        <v>7200</v>
      </c>
      <c r="J426" t="s">
        <v>7218</v>
      </c>
      <c r="K426" t="s">
        <v>36</v>
      </c>
      <c r="L426" t="s">
        <v>33</v>
      </c>
      <c r="M426">
        <v>20602341225</v>
      </c>
      <c r="N426" t="s">
        <v>421</v>
      </c>
      <c r="O426" t="s">
        <v>6159</v>
      </c>
      <c r="P426" t="s">
        <v>38</v>
      </c>
      <c r="Q426" t="s">
        <v>422</v>
      </c>
      <c r="R426" t="s">
        <v>7219</v>
      </c>
      <c r="S426">
        <v>7680</v>
      </c>
      <c r="T426" t="s">
        <v>40</v>
      </c>
      <c r="U426">
        <f>+IF(Tabla1[[#This Row],[MONEDA]]="PEN",Tabla1[[#This Row],[MONTO]],Tabla1[[#This Row],[MONTO]]*3.56)</f>
        <v>7680</v>
      </c>
      <c r="X426" t="s">
        <v>81</v>
      </c>
      <c r="Y426" t="s">
        <v>42</v>
      </c>
      <c r="Z426" t="s">
        <v>43</v>
      </c>
      <c r="AA426" t="s">
        <v>7220</v>
      </c>
      <c r="AB426" t="s">
        <v>7221</v>
      </c>
      <c r="AC426" t="s">
        <v>7222</v>
      </c>
      <c r="AD426" t="s">
        <v>7223</v>
      </c>
      <c r="AE426">
        <v>7680</v>
      </c>
      <c r="AF426" t="s">
        <v>87</v>
      </c>
      <c r="AG426" t="s">
        <v>169</v>
      </c>
    </row>
    <row r="427" spans="1:33" hidden="1" x14ac:dyDescent="0.25">
      <c r="A427">
        <v>27664</v>
      </c>
      <c r="B427" t="s">
        <v>32</v>
      </c>
      <c r="C427">
        <v>1</v>
      </c>
      <c r="D427" t="s">
        <v>8144</v>
      </c>
      <c r="E427" t="s">
        <v>70</v>
      </c>
      <c r="F427" t="s">
        <v>33</v>
      </c>
      <c r="G427" t="s">
        <v>71</v>
      </c>
      <c r="H427" t="s">
        <v>72</v>
      </c>
      <c r="I427" t="s">
        <v>8145</v>
      </c>
      <c r="J427" t="s">
        <v>8146</v>
      </c>
      <c r="K427" t="s">
        <v>36</v>
      </c>
      <c r="L427" t="s">
        <v>33</v>
      </c>
      <c r="M427">
        <v>20602341225</v>
      </c>
      <c r="N427" t="s">
        <v>421</v>
      </c>
      <c r="O427" t="s">
        <v>76</v>
      </c>
      <c r="P427" t="s">
        <v>38</v>
      </c>
      <c r="Q427" t="s">
        <v>422</v>
      </c>
      <c r="R427" t="s">
        <v>8147</v>
      </c>
      <c r="S427">
        <v>8750</v>
      </c>
      <c r="T427" t="s">
        <v>40</v>
      </c>
      <c r="U427">
        <f>+IF(Tabla1[[#This Row],[MONEDA]]="PEN",Tabla1[[#This Row],[MONTO]],Tabla1[[#This Row],[MONTO]]*3.56)</f>
        <v>8750</v>
      </c>
      <c r="X427" t="s">
        <v>81</v>
      </c>
      <c r="Y427" t="s">
        <v>42</v>
      </c>
      <c r="Z427" t="s">
        <v>43</v>
      </c>
      <c r="AA427" t="s">
        <v>8148</v>
      </c>
      <c r="AB427" t="s">
        <v>8149</v>
      </c>
      <c r="AC427" t="s">
        <v>8150</v>
      </c>
      <c r="AD427" t="s">
        <v>8151</v>
      </c>
      <c r="AE427">
        <v>8750</v>
      </c>
      <c r="AF427" t="s">
        <v>87</v>
      </c>
      <c r="AG427" t="s">
        <v>169</v>
      </c>
    </row>
    <row r="428" spans="1:33" hidden="1" x14ac:dyDescent="0.25">
      <c r="A428">
        <v>27327</v>
      </c>
      <c r="B428" t="s">
        <v>32</v>
      </c>
      <c r="C428">
        <v>1</v>
      </c>
      <c r="D428" t="s">
        <v>8514</v>
      </c>
      <c r="E428" t="s">
        <v>70</v>
      </c>
      <c r="F428" t="s">
        <v>33</v>
      </c>
      <c r="G428" t="s">
        <v>71</v>
      </c>
      <c r="H428" t="s">
        <v>72</v>
      </c>
      <c r="I428" t="s">
        <v>8515</v>
      </c>
      <c r="J428" t="s">
        <v>8516</v>
      </c>
      <c r="K428" t="s">
        <v>36</v>
      </c>
      <c r="L428" t="s">
        <v>33</v>
      </c>
      <c r="M428">
        <v>20602341225</v>
      </c>
      <c r="N428" t="s">
        <v>421</v>
      </c>
      <c r="O428" t="s">
        <v>76</v>
      </c>
      <c r="P428" t="s">
        <v>38</v>
      </c>
      <c r="Q428" t="s">
        <v>422</v>
      </c>
      <c r="R428" t="s">
        <v>7746</v>
      </c>
      <c r="S428">
        <v>2130</v>
      </c>
      <c r="T428" t="s">
        <v>40</v>
      </c>
      <c r="U428">
        <f>+IF(Tabla1[[#This Row],[MONEDA]]="PEN",Tabla1[[#This Row],[MONTO]],Tabla1[[#This Row],[MONTO]]*3.56)</f>
        <v>2130</v>
      </c>
      <c r="X428" t="s">
        <v>81</v>
      </c>
      <c r="Y428" t="s">
        <v>42</v>
      </c>
      <c r="Z428" t="s">
        <v>43</v>
      </c>
      <c r="AA428" t="s">
        <v>8517</v>
      </c>
      <c r="AB428" t="s">
        <v>8518</v>
      </c>
      <c r="AC428" t="s">
        <v>8519</v>
      </c>
      <c r="AD428" t="s">
        <v>8520</v>
      </c>
      <c r="AE428">
        <v>2130</v>
      </c>
      <c r="AF428" t="s">
        <v>87</v>
      </c>
      <c r="AG428" t="s">
        <v>169</v>
      </c>
    </row>
    <row r="429" spans="1:33" hidden="1" x14ac:dyDescent="0.25">
      <c r="A429">
        <v>26942</v>
      </c>
      <c r="B429" t="s">
        <v>32</v>
      </c>
      <c r="C429">
        <v>1</v>
      </c>
      <c r="D429" t="s">
        <v>8765</v>
      </c>
      <c r="E429" t="s">
        <v>70</v>
      </c>
      <c r="F429" t="s">
        <v>33</v>
      </c>
      <c r="G429" t="s">
        <v>71</v>
      </c>
      <c r="H429" t="s">
        <v>72</v>
      </c>
      <c r="I429" t="s">
        <v>8766</v>
      </c>
      <c r="J429" t="s">
        <v>8767</v>
      </c>
      <c r="K429" t="s">
        <v>36</v>
      </c>
      <c r="L429" t="s">
        <v>33</v>
      </c>
      <c r="M429">
        <v>20602341225</v>
      </c>
      <c r="N429" t="s">
        <v>421</v>
      </c>
      <c r="O429" t="s">
        <v>76</v>
      </c>
      <c r="P429" t="s">
        <v>38</v>
      </c>
      <c r="Q429" t="s">
        <v>422</v>
      </c>
      <c r="R429" t="s">
        <v>8768</v>
      </c>
      <c r="S429">
        <v>897</v>
      </c>
      <c r="T429" t="s">
        <v>40</v>
      </c>
      <c r="U429">
        <f>+IF(Tabla1[[#This Row],[MONEDA]]="PEN",Tabla1[[#This Row],[MONTO]],Tabla1[[#This Row],[MONTO]]*3.56)</f>
        <v>897</v>
      </c>
      <c r="X429" t="s">
        <v>81</v>
      </c>
      <c r="Y429" t="s">
        <v>42</v>
      </c>
      <c r="Z429" t="s">
        <v>43</v>
      </c>
      <c r="AA429" t="s">
        <v>8769</v>
      </c>
      <c r="AB429" t="s">
        <v>8770</v>
      </c>
      <c r="AC429" t="s">
        <v>8771</v>
      </c>
      <c r="AD429" t="s">
        <v>8772</v>
      </c>
      <c r="AE429">
        <v>897</v>
      </c>
      <c r="AF429" t="s">
        <v>87</v>
      </c>
      <c r="AG429" t="s">
        <v>169</v>
      </c>
    </row>
    <row r="430" spans="1:33" hidden="1" x14ac:dyDescent="0.25">
      <c r="A430">
        <v>25420</v>
      </c>
      <c r="B430" t="s">
        <v>32</v>
      </c>
      <c r="C430">
        <v>6</v>
      </c>
      <c r="D430" t="s">
        <v>9751</v>
      </c>
      <c r="E430" t="s">
        <v>70</v>
      </c>
      <c r="F430" t="s">
        <v>33</v>
      </c>
      <c r="G430" t="s">
        <v>9422</v>
      </c>
      <c r="H430" t="s">
        <v>72</v>
      </c>
      <c r="I430" t="s">
        <v>9752</v>
      </c>
      <c r="J430" t="s">
        <v>9753</v>
      </c>
      <c r="K430" t="s">
        <v>36</v>
      </c>
      <c r="L430" t="s">
        <v>33</v>
      </c>
      <c r="M430">
        <v>20602341225</v>
      </c>
      <c r="N430" t="s">
        <v>421</v>
      </c>
      <c r="O430" t="s">
        <v>9423</v>
      </c>
      <c r="P430" t="s">
        <v>38</v>
      </c>
      <c r="Q430" t="s">
        <v>422</v>
      </c>
      <c r="R430" t="s">
        <v>9754</v>
      </c>
      <c r="S430">
        <v>3604</v>
      </c>
      <c r="T430" t="s">
        <v>40</v>
      </c>
      <c r="U430">
        <f>+IF(Tabla1[[#This Row],[MONEDA]]="PEN",Tabla1[[#This Row],[MONTO]],Tabla1[[#This Row],[MONTO]]*3.56)</f>
        <v>3604</v>
      </c>
      <c r="X430" t="s">
        <v>41</v>
      </c>
      <c r="Y430" t="s">
        <v>51</v>
      </c>
      <c r="Z430" t="s">
        <v>43</v>
      </c>
      <c r="AA430" t="s">
        <v>9755</v>
      </c>
      <c r="AB430" t="s">
        <v>9756</v>
      </c>
      <c r="AC430" t="s">
        <v>9757</v>
      </c>
      <c r="AD430" t="s">
        <v>9758</v>
      </c>
      <c r="AE430">
        <v>3604</v>
      </c>
      <c r="AF430" t="s">
        <v>87</v>
      </c>
      <c r="AG430" t="s">
        <v>169</v>
      </c>
    </row>
    <row r="431" spans="1:33" hidden="1" x14ac:dyDescent="0.25">
      <c r="A431">
        <v>24108</v>
      </c>
      <c r="B431" t="s">
        <v>32</v>
      </c>
      <c r="C431">
        <v>1</v>
      </c>
      <c r="D431" t="s">
        <v>10759</v>
      </c>
      <c r="E431" t="s">
        <v>70</v>
      </c>
      <c r="F431" t="s">
        <v>33</v>
      </c>
      <c r="G431" t="s">
        <v>71</v>
      </c>
      <c r="H431" t="s">
        <v>72</v>
      </c>
      <c r="I431" t="s">
        <v>10738</v>
      </c>
      <c r="J431" t="s">
        <v>10760</v>
      </c>
      <c r="K431" t="s">
        <v>36</v>
      </c>
      <c r="L431" t="s">
        <v>33</v>
      </c>
      <c r="M431">
        <v>20602341225</v>
      </c>
      <c r="N431" t="s">
        <v>421</v>
      </c>
      <c r="O431" t="s">
        <v>76</v>
      </c>
      <c r="P431" t="s">
        <v>38</v>
      </c>
      <c r="Q431" t="s">
        <v>422</v>
      </c>
      <c r="R431" t="s">
        <v>10761</v>
      </c>
      <c r="S431">
        <v>648.5</v>
      </c>
      <c r="T431" t="s">
        <v>40</v>
      </c>
      <c r="U431">
        <f>+IF(Tabla1[[#This Row],[MONEDA]]="PEN",Tabla1[[#This Row],[MONTO]],Tabla1[[#This Row],[MONTO]]*3.56)</f>
        <v>648.5</v>
      </c>
      <c r="X431" t="s">
        <v>81</v>
      </c>
      <c r="Y431" t="s">
        <v>42</v>
      </c>
      <c r="Z431" t="s">
        <v>43</v>
      </c>
      <c r="AA431" t="s">
        <v>10762</v>
      </c>
      <c r="AB431" t="s">
        <v>10763</v>
      </c>
      <c r="AC431" t="s">
        <v>10764</v>
      </c>
      <c r="AD431" t="s">
        <v>10765</v>
      </c>
      <c r="AE431">
        <v>648.5</v>
      </c>
      <c r="AF431" t="s">
        <v>87</v>
      </c>
      <c r="AG431" t="s">
        <v>169</v>
      </c>
    </row>
    <row r="432" spans="1:33" hidden="1" x14ac:dyDescent="0.25">
      <c r="A432">
        <v>23908</v>
      </c>
      <c r="B432" t="s">
        <v>32</v>
      </c>
      <c r="C432">
        <v>1</v>
      </c>
      <c r="D432" t="s">
        <v>10887</v>
      </c>
      <c r="E432" t="s">
        <v>70</v>
      </c>
      <c r="F432" t="s">
        <v>33</v>
      </c>
      <c r="G432" t="s">
        <v>9422</v>
      </c>
      <c r="H432" t="s">
        <v>72</v>
      </c>
      <c r="I432" t="s">
        <v>10888</v>
      </c>
      <c r="J432" t="s">
        <v>10889</v>
      </c>
      <c r="K432" t="s">
        <v>36</v>
      </c>
      <c r="L432" t="s">
        <v>33</v>
      </c>
      <c r="M432">
        <v>20602341225</v>
      </c>
      <c r="N432" t="s">
        <v>421</v>
      </c>
      <c r="O432" t="s">
        <v>9423</v>
      </c>
      <c r="P432" t="s">
        <v>38</v>
      </c>
      <c r="Q432" t="s">
        <v>422</v>
      </c>
      <c r="R432" t="s">
        <v>10890</v>
      </c>
      <c r="S432">
        <v>110</v>
      </c>
      <c r="T432" t="s">
        <v>40</v>
      </c>
      <c r="U432">
        <f>+IF(Tabla1[[#This Row],[MONEDA]]="PEN",Tabla1[[#This Row],[MONTO]],Tabla1[[#This Row],[MONTO]]*3.56)</f>
        <v>110</v>
      </c>
      <c r="X432" t="s">
        <v>41</v>
      </c>
      <c r="Y432" t="s">
        <v>42</v>
      </c>
      <c r="Z432" t="s">
        <v>43</v>
      </c>
      <c r="AA432" t="s">
        <v>10891</v>
      </c>
      <c r="AB432" t="s">
        <v>10892</v>
      </c>
      <c r="AC432" t="s">
        <v>10893</v>
      </c>
      <c r="AD432" t="s">
        <v>10894</v>
      </c>
      <c r="AE432">
        <v>110</v>
      </c>
      <c r="AF432" t="s">
        <v>87</v>
      </c>
      <c r="AG432" t="s">
        <v>169</v>
      </c>
    </row>
    <row r="433" spans="1:33" hidden="1" x14ac:dyDescent="0.25">
      <c r="A433">
        <v>23617</v>
      </c>
      <c r="B433" t="s">
        <v>32</v>
      </c>
      <c r="C433">
        <v>2</v>
      </c>
      <c r="D433" t="s">
        <v>11132</v>
      </c>
      <c r="E433" t="s">
        <v>70</v>
      </c>
      <c r="F433" t="s">
        <v>33</v>
      </c>
      <c r="G433" t="s">
        <v>71</v>
      </c>
      <c r="H433" t="s">
        <v>72</v>
      </c>
      <c r="I433" t="s">
        <v>11133</v>
      </c>
      <c r="J433" t="s">
        <v>11134</v>
      </c>
      <c r="K433" t="s">
        <v>36</v>
      </c>
      <c r="L433" t="s">
        <v>33</v>
      </c>
      <c r="M433">
        <v>20602341225</v>
      </c>
      <c r="N433" t="s">
        <v>421</v>
      </c>
      <c r="O433" t="s">
        <v>76</v>
      </c>
      <c r="R433" t="s">
        <v>11135</v>
      </c>
      <c r="S433">
        <v>542</v>
      </c>
      <c r="T433" t="s">
        <v>40</v>
      </c>
      <c r="U433">
        <f>+IF(Tabla1[[#This Row],[MONEDA]]="PEN",Tabla1[[#This Row],[MONTO]],Tabla1[[#This Row],[MONTO]]*3.56)</f>
        <v>542</v>
      </c>
      <c r="V433" t="s">
        <v>190</v>
      </c>
      <c r="W433">
        <v>21454</v>
      </c>
      <c r="X433" t="s">
        <v>81</v>
      </c>
      <c r="Y433" t="s">
        <v>42</v>
      </c>
      <c r="Z433" t="s">
        <v>82</v>
      </c>
      <c r="AA433" t="s">
        <v>11136</v>
      </c>
      <c r="AC433" t="s">
        <v>11137</v>
      </c>
      <c r="AD433" t="s">
        <v>11138</v>
      </c>
    </row>
    <row r="434" spans="1:33" hidden="1" x14ac:dyDescent="0.25">
      <c r="A434">
        <v>23047</v>
      </c>
      <c r="B434" t="s">
        <v>32</v>
      </c>
      <c r="C434">
        <v>1</v>
      </c>
      <c r="D434" t="s">
        <v>11586</v>
      </c>
      <c r="E434" t="s">
        <v>70</v>
      </c>
      <c r="F434" t="s">
        <v>33</v>
      </c>
      <c r="G434" t="s">
        <v>9422</v>
      </c>
      <c r="H434" t="s">
        <v>72</v>
      </c>
      <c r="I434" t="s">
        <v>11573</v>
      </c>
      <c r="J434" t="s">
        <v>11587</v>
      </c>
      <c r="K434" t="s">
        <v>36</v>
      </c>
      <c r="L434" t="s">
        <v>33</v>
      </c>
      <c r="M434">
        <v>20602341225</v>
      </c>
      <c r="N434" t="s">
        <v>421</v>
      </c>
      <c r="O434" t="s">
        <v>9423</v>
      </c>
      <c r="P434" t="s">
        <v>38</v>
      </c>
      <c r="Q434" t="s">
        <v>422</v>
      </c>
      <c r="R434" t="s">
        <v>11588</v>
      </c>
      <c r="S434">
        <v>1218.5</v>
      </c>
      <c r="T434" t="s">
        <v>40</v>
      </c>
      <c r="U434">
        <f>+IF(Tabla1[[#This Row],[MONEDA]]="PEN",Tabla1[[#This Row],[MONTO]],Tabla1[[#This Row],[MONTO]]*3.56)</f>
        <v>1218.5</v>
      </c>
      <c r="X434" t="s">
        <v>41</v>
      </c>
      <c r="Y434" t="s">
        <v>42</v>
      </c>
      <c r="Z434" t="s">
        <v>43</v>
      </c>
      <c r="AA434" t="s">
        <v>11589</v>
      </c>
      <c r="AB434" t="s">
        <v>11590</v>
      </c>
      <c r="AC434" t="s">
        <v>11591</v>
      </c>
      <c r="AD434" t="s">
        <v>11592</v>
      </c>
      <c r="AE434">
        <v>1218.5</v>
      </c>
      <c r="AF434" t="s">
        <v>87</v>
      </c>
      <c r="AG434" t="s">
        <v>169</v>
      </c>
    </row>
    <row r="435" spans="1:33" hidden="1" x14ac:dyDescent="0.25">
      <c r="A435">
        <v>22947</v>
      </c>
      <c r="B435" t="s">
        <v>32</v>
      </c>
      <c r="C435">
        <v>1</v>
      </c>
      <c r="D435" t="s">
        <v>11663</v>
      </c>
      <c r="E435" t="s">
        <v>70</v>
      </c>
      <c r="F435" t="s">
        <v>33</v>
      </c>
      <c r="G435" t="s">
        <v>9422</v>
      </c>
      <c r="H435" t="s">
        <v>72</v>
      </c>
      <c r="I435" t="s">
        <v>11654</v>
      </c>
      <c r="J435" t="s">
        <v>11664</v>
      </c>
      <c r="K435" t="s">
        <v>36</v>
      </c>
      <c r="L435" t="s">
        <v>33</v>
      </c>
      <c r="M435">
        <v>20602341225</v>
      </c>
      <c r="N435" t="s">
        <v>421</v>
      </c>
      <c r="O435" t="s">
        <v>9423</v>
      </c>
      <c r="P435" t="s">
        <v>38</v>
      </c>
      <c r="Q435" t="s">
        <v>422</v>
      </c>
      <c r="R435" t="s">
        <v>11665</v>
      </c>
      <c r="S435">
        <v>5897</v>
      </c>
      <c r="T435" t="s">
        <v>40</v>
      </c>
      <c r="U435">
        <f>+IF(Tabla1[[#This Row],[MONEDA]]="PEN",Tabla1[[#This Row],[MONTO]],Tabla1[[#This Row],[MONTO]]*3.56)</f>
        <v>5897</v>
      </c>
      <c r="X435" t="s">
        <v>41</v>
      </c>
      <c r="Y435" t="s">
        <v>42</v>
      </c>
      <c r="Z435" t="s">
        <v>43</v>
      </c>
      <c r="AA435" t="s">
        <v>11666</v>
      </c>
      <c r="AB435" t="s">
        <v>11667</v>
      </c>
      <c r="AC435" t="s">
        <v>11668</v>
      </c>
      <c r="AD435" t="s">
        <v>11669</v>
      </c>
      <c r="AE435">
        <v>5897</v>
      </c>
      <c r="AF435" t="s">
        <v>87</v>
      </c>
      <c r="AG435" t="s">
        <v>169</v>
      </c>
    </row>
    <row r="436" spans="1:33" hidden="1" x14ac:dyDescent="0.25">
      <c r="A436">
        <v>22454</v>
      </c>
      <c r="B436" t="s">
        <v>32</v>
      </c>
      <c r="C436">
        <v>1</v>
      </c>
      <c r="D436" t="s">
        <v>11845</v>
      </c>
      <c r="E436" t="s">
        <v>70</v>
      </c>
      <c r="F436" t="s">
        <v>33</v>
      </c>
      <c r="G436" t="s">
        <v>9422</v>
      </c>
      <c r="H436" t="s">
        <v>72</v>
      </c>
      <c r="I436" t="s">
        <v>11846</v>
      </c>
      <c r="J436" t="s">
        <v>11847</v>
      </c>
      <c r="K436" t="s">
        <v>36</v>
      </c>
      <c r="L436" t="s">
        <v>33</v>
      </c>
      <c r="M436">
        <v>20602341225</v>
      </c>
      <c r="N436" t="s">
        <v>421</v>
      </c>
      <c r="O436" t="s">
        <v>9423</v>
      </c>
      <c r="P436" t="s">
        <v>38</v>
      </c>
      <c r="Q436" t="s">
        <v>422</v>
      </c>
      <c r="R436" t="s">
        <v>11848</v>
      </c>
      <c r="S436">
        <v>2518.8000000000002</v>
      </c>
      <c r="T436" t="s">
        <v>40</v>
      </c>
      <c r="U436">
        <f>+IF(Tabla1[[#This Row],[MONEDA]]="PEN",Tabla1[[#This Row],[MONTO]],Tabla1[[#This Row],[MONTO]]*3.56)</f>
        <v>2518.8000000000002</v>
      </c>
      <c r="X436" t="s">
        <v>81</v>
      </c>
      <c r="Y436" t="s">
        <v>42</v>
      </c>
      <c r="Z436" t="s">
        <v>43</v>
      </c>
      <c r="AA436" t="s">
        <v>11849</v>
      </c>
      <c r="AB436" t="s">
        <v>11850</v>
      </c>
      <c r="AC436" t="s">
        <v>11851</v>
      </c>
      <c r="AD436" t="s">
        <v>11852</v>
      </c>
      <c r="AE436">
        <v>2518.8000000000002</v>
      </c>
      <c r="AF436" t="s">
        <v>87</v>
      </c>
      <c r="AG436" t="s">
        <v>169</v>
      </c>
    </row>
    <row r="437" spans="1:33" hidden="1" x14ac:dyDescent="0.25">
      <c r="A437">
        <v>22351</v>
      </c>
      <c r="B437" t="s">
        <v>32</v>
      </c>
      <c r="C437">
        <v>1</v>
      </c>
      <c r="D437" t="s">
        <v>11935</v>
      </c>
      <c r="E437" t="s">
        <v>70</v>
      </c>
      <c r="F437" t="s">
        <v>33</v>
      </c>
      <c r="G437" t="s">
        <v>71</v>
      </c>
      <c r="H437" t="s">
        <v>72</v>
      </c>
      <c r="I437" t="s">
        <v>11914</v>
      </c>
      <c r="J437" t="s">
        <v>11936</v>
      </c>
      <c r="K437" t="s">
        <v>36</v>
      </c>
      <c r="L437" t="s">
        <v>33</v>
      </c>
      <c r="M437">
        <v>20602341225</v>
      </c>
      <c r="N437" t="s">
        <v>421</v>
      </c>
      <c r="O437" t="s">
        <v>76</v>
      </c>
      <c r="P437" t="s">
        <v>38</v>
      </c>
      <c r="Q437" t="s">
        <v>422</v>
      </c>
      <c r="R437" t="s">
        <v>11937</v>
      </c>
      <c r="S437">
        <v>2751.5</v>
      </c>
      <c r="T437" t="s">
        <v>40</v>
      </c>
      <c r="U437">
        <f>+IF(Tabla1[[#This Row],[MONEDA]]="PEN",Tabla1[[#This Row],[MONTO]],Tabla1[[#This Row],[MONTO]]*3.56)</f>
        <v>2751.5</v>
      </c>
      <c r="X437" t="s">
        <v>81</v>
      </c>
      <c r="Y437" t="s">
        <v>42</v>
      </c>
      <c r="Z437" t="s">
        <v>43</v>
      </c>
      <c r="AA437" t="s">
        <v>11938</v>
      </c>
      <c r="AB437" t="s">
        <v>11939</v>
      </c>
      <c r="AC437" t="s">
        <v>11940</v>
      </c>
      <c r="AD437" t="s">
        <v>11941</v>
      </c>
      <c r="AE437">
        <v>2751.5</v>
      </c>
      <c r="AF437" t="s">
        <v>87</v>
      </c>
      <c r="AG437" t="s">
        <v>169</v>
      </c>
    </row>
    <row r="438" spans="1:33" hidden="1" x14ac:dyDescent="0.25">
      <c r="A438">
        <v>22027</v>
      </c>
      <c r="B438" t="s">
        <v>32</v>
      </c>
      <c r="C438">
        <v>1</v>
      </c>
      <c r="D438" t="s">
        <v>12053</v>
      </c>
      <c r="E438" t="s">
        <v>70</v>
      </c>
      <c r="F438" t="s">
        <v>33</v>
      </c>
      <c r="G438" t="s">
        <v>9422</v>
      </c>
      <c r="H438" t="s">
        <v>72</v>
      </c>
      <c r="I438" t="s">
        <v>12039</v>
      </c>
      <c r="J438" t="s">
        <v>12054</v>
      </c>
      <c r="K438" t="s">
        <v>36</v>
      </c>
      <c r="L438" t="s">
        <v>33</v>
      </c>
      <c r="M438">
        <v>20602341225</v>
      </c>
      <c r="N438" t="s">
        <v>421</v>
      </c>
      <c r="O438" t="s">
        <v>9423</v>
      </c>
      <c r="P438" t="s">
        <v>38</v>
      </c>
      <c r="Q438" t="s">
        <v>422</v>
      </c>
      <c r="R438" t="s">
        <v>12055</v>
      </c>
      <c r="S438">
        <v>13409</v>
      </c>
      <c r="T438" t="s">
        <v>40</v>
      </c>
      <c r="U438">
        <f>+IF(Tabla1[[#This Row],[MONEDA]]="PEN",Tabla1[[#This Row],[MONTO]],Tabla1[[#This Row],[MONTO]]*3.56)</f>
        <v>13409</v>
      </c>
      <c r="X438" t="s">
        <v>81</v>
      </c>
      <c r="Y438" t="s">
        <v>42</v>
      </c>
      <c r="Z438" t="s">
        <v>43</v>
      </c>
      <c r="AA438" t="s">
        <v>12056</v>
      </c>
      <c r="AB438" t="s">
        <v>12057</v>
      </c>
      <c r="AC438" t="s">
        <v>12058</v>
      </c>
      <c r="AD438" t="s">
        <v>12059</v>
      </c>
      <c r="AE438">
        <v>13409</v>
      </c>
      <c r="AF438" t="s">
        <v>87</v>
      </c>
      <c r="AG438" t="s">
        <v>169</v>
      </c>
    </row>
    <row r="439" spans="1:33" hidden="1" x14ac:dyDescent="0.25">
      <c r="A439">
        <v>21497</v>
      </c>
      <c r="B439" t="s">
        <v>32</v>
      </c>
      <c r="C439">
        <v>1</v>
      </c>
      <c r="D439" t="s">
        <v>12398</v>
      </c>
      <c r="E439" t="s">
        <v>70</v>
      </c>
      <c r="F439" t="s">
        <v>33</v>
      </c>
      <c r="G439" t="s">
        <v>71</v>
      </c>
      <c r="H439" t="s">
        <v>72</v>
      </c>
      <c r="I439" t="s">
        <v>12399</v>
      </c>
      <c r="J439" t="s">
        <v>12400</v>
      </c>
      <c r="K439" t="s">
        <v>36</v>
      </c>
      <c r="L439" t="s">
        <v>33</v>
      </c>
      <c r="M439">
        <v>20602341225</v>
      </c>
      <c r="N439" t="s">
        <v>421</v>
      </c>
      <c r="O439" t="s">
        <v>76</v>
      </c>
      <c r="P439" t="s">
        <v>38</v>
      </c>
      <c r="Q439" t="s">
        <v>422</v>
      </c>
      <c r="R439" t="s">
        <v>12401</v>
      </c>
      <c r="S439">
        <v>1028</v>
      </c>
      <c r="T439" t="s">
        <v>40</v>
      </c>
      <c r="U439">
        <f>+IF(Tabla1[[#This Row],[MONEDA]]="PEN",Tabla1[[#This Row],[MONTO]],Tabla1[[#This Row],[MONTO]]*3.56)</f>
        <v>1028</v>
      </c>
      <c r="X439" t="s">
        <v>81</v>
      </c>
      <c r="Y439" t="s">
        <v>42</v>
      </c>
      <c r="Z439" t="s">
        <v>82</v>
      </c>
      <c r="AA439" t="s">
        <v>12402</v>
      </c>
      <c r="AB439" t="s">
        <v>12403</v>
      </c>
      <c r="AC439" t="s">
        <v>12404</v>
      </c>
      <c r="AD439" t="s">
        <v>12405</v>
      </c>
      <c r="AE439">
        <v>1028</v>
      </c>
      <c r="AF439" t="s">
        <v>87</v>
      </c>
      <c r="AG439" t="s">
        <v>169</v>
      </c>
    </row>
    <row r="440" spans="1:33" hidden="1" x14ac:dyDescent="0.25">
      <c r="A440">
        <v>44300</v>
      </c>
      <c r="B440" t="s">
        <v>32</v>
      </c>
      <c r="C440">
        <v>1</v>
      </c>
      <c r="D440" t="s">
        <v>542</v>
      </c>
      <c r="E440" t="s">
        <v>70</v>
      </c>
      <c r="F440" t="s">
        <v>33</v>
      </c>
      <c r="G440" t="s">
        <v>71</v>
      </c>
      <c r="H440" t="s">
        <v>35</v>
      </c>
      <c r="I440" t="s">
        <v>542</v>
      </c>
      <c r="J440" t="s">
        <v>543</v>
      </c>
      <c r="K440" t="s">
        <v>36</v>
      </c>
      <c r="L440" t="s">
        <v>33</v>
      </c>
      <c r="M440">
        <v>20119407738</v>
      </c>
      <c r="N440" t="s">
        <v>544</v>
      </c>
      <c r="O440" t="s">
        <v>76</v>
      </c>
      <c r="R440" t="s">
        <v>545</v>
      </c>
      <c r="S440">
        <v>280</v>
      </c>
      <c r="T440" t="s">
        <v>40</v>
      </c>
      <c r="U440">
        <f>+IF(Tabla1[[#This Row],[MONEDA]]="PEN",Tabla1[[#This Row],[MONTO]],Tabla1[[#This Row],[MONTO]]*3.56)</f>
        <v>280</v>
      </c>
      <c r="V440" t="s">
        <v>190</v>
      </c>
      <c r="W440">
        <v>41217</v>
      </c>
      <c r="X440" t="s">
        <v>81</v>
      </c>
      <c r="Y440" t="s">
        <v>42</v>
      </c>
      <c r="Z440" t="s">
        <v>43</v>
      </c>
      <c r="AA440" t="s">
        <v>546</v>
      </c>
      <c r="AC440" t="s">
        <v>547</v>
      </c>
      <c r="AD440" t="s">
        <v>548</v>
      </c>
    </row>
    <row r="441" spans="1:33" hidden="1" x14ac:dyDescent="0.25">
      <c r="A441">
        <v>43450</v>
      </c>
      <c r="B441" t="s">
        <v>32</v>
      </c>
      <c r="C441">
        <v>1</v>
      </c>
      <c r="D441" t="s">
        <v>825</v>
      </c>
      <c r="E441" t="s">
        <v>70</v>
      </c>
      <c r="F441" t="s">
        <v>33</v>
      </c>
      <c r="G441" t="s">
        <v>71</v>
      </c>
      <c r="H441" t="s">
        <v>35</v>
      </c>
      <c r="I441" t="s">
        <v>825</v>
      </c>
      <c r="J441" t="s">
        <v>826</v>
      </c>
      <c r="K441" t="s">
        <v>36</v>
      </c>
      <c r="L441" t="s">
        <v>33</v>
      </c>
      <c r="M441">
        <v>20119407738</v>
      </c>
      <c r="N441" t="s">
        <v>544</v>
      </c>
      <c r="O441" t="s">
        <v>76</v>
      </c>
      <c r="R441" t="s">
        <v>827</v>
      </c>
      <c r="S441">
        <v>33</v>
      </c>
      <c r="T441" t="s">
        <v>40</v>
      </c>
      <c r="U441">
        <f>+IF(Tabla1[[#This Row],[MONEDA]]="PEN",Tabla1[[#This Row],[MONTO]],Tabla1[[#This Row],[MONTO]]*3.56)</f>
        <v>33</v>
      </c>
      <c r="V441" t="s">
        <v>190</v>
      </c>
      <c r="W441">
        <v>41217</v>
      </c>
      <c r="X441" t="s">
        <v>828</v>
      </c>
      <c r="Y441" t="s">
        <v>42</v>
      </c>
      <c r="Z441" t="s">
        <v>43</v>
      </c>
      <c r="AA441" t="s">
        <v>829</v>
      </c>
      <c r="AC441" t="s">
        <v>830</v>
      </c>
      <c r="AD441" t="s">
        <v>831</v>
      </c>
    </row>
    <row r="442" spans="1:33" hidden="1" x14ac:dyDescent="0.25">
      <c r="A442">
        <v>43448</v>
      </c>
      <c r="B442" t="s">
        <v>32</v>
      </c>
      <c r="C442">
        <v>1</v>
      </c>
      <c r="D442" t="s">
        <v>838</v>
      </c>
      <c r="E442" t="s">
        <v>70</v>
      </c>
      <c r="F442" t="s">
        <v>33</v>
      </c>
      <c r="G442" t="s">
        <v>71</v>
      </c>
      <c r="H442" t="s">
        <v>35</v>
      </c>
      <c r="I442" t="s">
        <v>838</v>
      </c>
      <c r="J442" t="s">
        <v>839</v>
      </c>
      <c r="K442" t="s">
        <v>36</v>
      </c>
      <c r="L442" t="s">
        <v>33</v>
      </c>
      <c r="M442">
        <v>20119407738</v>
      </c>
      <c r="N442" t="s">
        <v>544</v>
      </c>
      <c r="O442" t="s">
        <v>76</v>
      </c>
      <c r="R442" t="s">
        <v>840</v>
      </c>
      <c r="S442">
        <v>20</v>
      </c>
      <c r="T442" t="s">
        <v>40</v>
      </c>
      <c r="U442">
        <f>+IF(Tabla1[[#This Row],[MONEDA]]="PEN",Tabla1[[#This Row],[MONTO]],Tabla1[[#This Row],[MONTO]]*3.56)</f>
        <v>20</v>
      </c>
      <c r="V442" t="s">
        <v>190</v>
      </c>
      <c r="W442">
        <v>41217</v>
      </c>
      <c r="X442" t="s">
        <v>81</v>
      </c>
      <c r="Y442" t="s">
        <v>42</v>
      </c>
      <c r="Z442" t="s">
        <v>43</v>
      </c>
      <c r="AA442" t="s">
        <v>841</v>
      </c>
      <c r="AC442" t="s">
        <v>842</v>
      </c>
      <c r="AD442" t="s">
        <v>843</v>
      </c>
    </row>
    <row r="443" spans="1:33" hidden="1" x14ac:dyDescent="0.25">
      <c r="A443">
        <v>38533</v>
      </c>
      <c r="B443" t="s">
        <v>32</v>
      </c>
      <c r="C443">
        <v>1</v>
      </c>
      <c r="D443" t="s">
        <v>2835</v>
      </c>
      <c r="E443" t="s">
        <v>70</v>
      </c>
      <c r="F443" t="s">
        <v>33</v>
      </c>
      <c r="G443" t="s">
        <v>71</v>
      </c>
      <c r="H443" t="s">
        <v>35</v>
      </c>
      <c r="I443" t="s">
        <v>2835</v>
      </c>
      <c r="J443" t="s">
        <v>2836</v>
      </c>
      <c r="K443" t="s">
        <v>36</v>
      </c>
      <c r="L443" t="s">
        <v>33</v>
      </c>
      <c r="M443">
        <v>20119407738</v>
      </c>
      <c r="N443" t="s">
        <v>544</v>
      </c>
      <c r="O443" t="s">
        <v>76</v>
      </c>
      <c r="R443" t="s">
        <v>2837</v>
      </c>
      <c r="S443">
        <v>164</v>
      </c>
      <c r="T443" t="s">
        <v>40</v>
      </c>
      <c r="U443">
        <f>+IF(Tabla1[[#This Row],[MONEDA]]="PEN",Tabla1[[#This Row],[MONTO]],Tabla1[[#This Row],[MONTO]]*3.56)</f>
        <v>164</v>
      </c>
      <c r="V443" t="s">
        <v>190</v>
      </c>
      <c r="W443">
        <v>34656</v>
      </c>
      <c r="X443" t="s">
        <v>41</v>
      </c>
      <c r="Y443" t="s">
        <v>42</v>
      </c>
      <c r="Z443" t="s">
        <v>43</v>
      </c>
      <c r="AA443" t="s">
        <v>2838</v>
      </c>
      <c r="AC443" t="s">
        <v>2839</v>
      </c>
      <c r="AD443" t="s">
        <v>2840</v>
      </c>
    </row>
    <row r="444" spans="1:33" hidden="1" x14ac:dyDescent="0.25">
      <c r="A444">
        <v>36659</v>
      </c>
      <c r="B444" t="s">
        <v>32</v>
      </c>
      <c r="C444">
        <v>1</v>
      </c>
      <c r="D444" t="s">
        <v>3801</v>
      </c>
      <c r="E444" t="s">
        <v>70</v>
      </c>
      <c r="F444" t="s">
        <v>33</v>
      </c>
      <c r="G444" t="s">
        <v>71</v>
      </c>
      <c r="H444" t="s">
        <v>35</v>
      </c>
      <c r="I444" t="s">
        <v>3801</v>
      </c>
      <c r="J444" t="s">
        <v>3802</v>
      </c>
      <c r="K444" t="s">
        <v>36</v>
      </c>
      <c r="L444" t="s">
        <v>33</v>
      </c>
      <c r="M444">
        <v>20119407738</v>
      </c>
      <c r="N444" t="s">
        <v>544</v>
      </c>
      <c r="O444" t="s">
        <v>76</v>
      </c>
      <c r="R444" t="s">
        <v>3807</v>
      </c>
      <c r="S444">
        <v>250</v>
      </c>
      <c r="T444" t="s">
        <v>40</v>
      </c>
      <c r="U444">
        <f>+IF(Tabla1[[#This Row],[MONEDA]]="PEN",Tabla1[[#This Row],[MONTO]],Tabla1[[#This Row],[MONTO]]*3.56)</f>
        <v>250</v>
      </c>
      <c r="V444" t="s">
        <v>190</v>
      </c>
      <c r="W444">
        <v>33331</v>
      </c>
      <c r="X444" t="s">
        <v>41</v>
      </c>
      <c r="Y444" t="s">
        <v>42</v>
      </c>
      <c r="Z444" t="s">
        <v>43</v>
      </c>
      <c r="AA444" t="s">
        <v>3808</v>
      </c>
      <c r="AC444" t="s">
        <v>3809</v>
      </c>
      <c r="AD444" t="s">
        <v>3810</v>
      </c>
    </row>
    <row r="445" spans="1:33" hidden="1" x14ac:dyDescent="0.25">
      <c r="A445">
        <v>36657</v>
      </c>
      <c r="B445" t="s">
        <v>32</v>
      </c>
      <c r="C445">
        <v>1</v>
      </c>
      <c r="D445" t="s">
        <v>3811</v>
      </c>
      <c r="E445" t="s">
        <v>70</v>
      </c>
      <c r="F445" t="s">
        <v>33</v>
      </c>
      <c r="G445" t="s">
        <v>71</v>
      </c>
      <c r="H445" t="s">
        <v>35</v>
      </c>
      <c r="I445" t="s">
        <v>3811</v>
      </c>
      <c r="J445" t="s">
        <v>3817</v>
      </c>
      <c r="K445" t="s">
        <v>36</v>
      </c>
      <c r="L445" t="s">
        <v>33</v>
      </c>
      <c r="M445">
        <v>20119407738</v>
      </c>
      <c r="N445" t="s">
        <v>544</v>
      </c>
      <c r="O445" t="s">
        <v>76</v>
      </c>
      <c r="R445" t="s">
        <v>2356</v>
      </c>
      <c r="S445">
        <v>13</v>
      </c>
      <c r="T445" t="s">
        <v>40</v>
      </c>
      <c r="U445">
        <f>+IF(Tabla1[[#This Row],[MONEDA]]="PEN",Tabla1[[#This Row],[MONTO]],Tabla1[[#This Row],[MONTO]]*3.56)</f>
        <v>13</v>
      </c>
      <c r="V445" t="s">
        <v>190</v>
      </c>
      <c r="W445">
        <v>33331</v>
      </c>
      <c r="X445" t="s">
        <v>41</v>
      </c>
      <c r="Y445" t="s">
        <v>42</v>
      </c>
      <c r="Z445" t="s">
        <v>43</v>
      </c>
      <c r="AA445" t="s">
        <v>3818</v>
      </c>
      <c r="AC445" t="s">
        <v>3819</v>
      </c>
      <c r="AD445" t="s">
        <v>3820</v>
      </c>
    </row>
    <row r="446" spans="1:33" hidden="1" x14ac:dyDescent="0.25">
      <c r="A446">
        <v>36655</v>
      </c>
      <c r="B446" t="s">
        <v>32</v>
      </c>
      <c r="C446">
        <v>1</v>
      </c>
      <c r="D446" t="s">
        <v>3821</v>
      </c>
      <c r="E446" t="s">
        <v>70</v>
      </c>
      <c r="F446" t="s">
        <v>33</v>
      </c>
      <c r="G446" t="s">
        <v>71</v>
      </c>
      <c r="H446" t="s">
        <v>35</v>
      </c>
      <c r="I446" t="s">
        <v>3821</v>
      </c>
      <c r="J446" t="s">
        <v>3822</v>
      </c>
      <c r="K446" t="s">
        <v>36</v>
      </c>
      <c r="L446" t="s">
        <v>33</v>
      </c>
      <c r="M446">
        <v>20119407738</v>
      </c>
      <c r="N446" t="s">
        <v>544</v>
      </c>
      <c r="O446" t="s">
        <v>76</v>
      </c>
      <c r="R446" t="s">
        <v>2356</v>
      </c>
      <c r="S446">
        <v>12</v>
      </c>
      <c r="T446" t="s">
        <v>40</v>
      </c>
      <c r="U446">
        <f>+IF(Tabla1[[#This Row],[MONEDA]]="PEN",Tabla1[[#This Row],[MONTO]],Tabla1[[#This Row],[MONTO]]*3.56)</f>
        <v>12</v>
      </c>
      <c r="V446" t="s">
        <v>190</v>
      </c>
      <c r="W446">
        <v>33331</v>
      </c>
      <c r="X446" t="s">
        <v>41</v>
      </c>
      <c r="Y446" t="s">
        <v>42</v>
      </c>
      <c r="Z446" t="s">
        <v>43</v>
      </c>
      <c r="AA446" t="s">
        <v>3823</v>
      </c>
      <c r="AC446" t="s">
        <v>3824</v>
      </c>
      <c r="AD446" t="s">
        <v>3825</v>
      </c>
    </row>
    <row r="447" spans="1:33" hidden="1" x14ac:dyDescent="0.25">
      <c r="A447">
        <v>36652</v>
      </c>
      <c r="B447" t="s">
        <v>32</v>
      </c>
      <c r="C447">
        <v>1</v>
      </c>
      <c r="D447" t="s">
        <v>3838</v>
      </c>
      <c r="E447" t="s">
        <v>70</v>
      </c>
      <c r="F447" t="s">
        <v>33</v>
      </c>
      <c r="G447" t="s">
        <v>71</v>
      </c>
      <c r="H447" t="s">
        <v>35</v>
      </c>
      <c r="I447" t="s">
        <v>3838</v>
      </c>
      <c r="J447" t="s">
        <v>3839</v>
      </c>
      <c r="K447" t="s">
        <v>36</v>
      </c>
      <c r="L447" t="s">
        <v>33</v>
      </c>
      <c r="M447">
        <v>20119407738</v>
      </c>
      <c r="N447" t="s">
        <v>544</v>
      </c>
      <c r="O447" t="s">
        <v>76</v>
      </c>
      <c r="R447" t="s">
        <v>2356</v>
      </c>
      <c r="S447">
        <v>35</v>
      </c>
      <c r="T447" t="s">
        <v>40</v>
      </c>
      <c r="U447">
        <f>+IF(Tabla1[[#This Row],[MONEDA]]="PEN",Tabla1[[#This Row],[MONTO]],Tabla1[[#This Row],[MONTO]]*3.56)</f>
        <v>35</v>
      </c>
      <c r="V447" t="s">
        <v>190</v>
      </c>
      <c r="W447">
        <v>33331</v>
      </c>
      <c r="X447" t="s">
        <v>81</v>
      </c>
      <c r="Y447" t="s">
        <v>42</v>
      </c>
      <c r="Z447" t="s">
        <v>43</v>
      </c>
      <c r="AA447" t="s">
        <v>3840</v>
      </c>
      <c r="AC447" t="s">
        <v>3841</v>
      </c>
      <c r="AD447" t="s">
        <v>3842</v>
      </c>
    </row>
    <row r="448" spans="1:33" hidden="1" x14ac:dyDescent="0.25">
      <c r="A448">
        <v>36650</v>
      </c>
      <c r="B448" t="s">
        <v>32</v>
      </c>
      <c r="C448">
        <v>1</v>
      </c>
      <c r="D448" t="s">
        <v>3849</v>
      </c>
      <c r="E448" t="s">
        <v>70</v>
      </c>
      <c r="F448" t="s">
        <v>33</v>
      </c>
      <c r="G448" t="s">
        <v>71</v>
      </c>
      <c r="H448" t="s">
        <v>35</v>
      </c>
      <c r="I448" t="s">
        <v>3849</v>
      </c>
      <c r="J448" t="s">
        <v>3850</v>
      </c>
      <c r="K448" t="s">
        <v>36</v>
      </c>
      <c r="L448" t="s">
        <v>33</v>
      </c>
      <c r="M448">
        <v>20119407738</v>
      </c>
      <c r="N448" t="s">
        <v>544</v>
      </c>
      <c r="O448" t="s">
        <v>76</v>
      </c>
      <c r="R448" t="s">
        <v>3851</v>
      </c>
      <c r="S448">
        <v>15</v>
      </c>
      <c r="T448" t="s">
        <v>40</v>
      </c>
      <c r="U448">
        <f>+IF(Tabla1[[#This Row],[MONEDA]]="PEN",Tabla1[[#This Row],[MONTO]],Tabla1[[#This Row],[MONTO]]*3.56)</f>
        <v>15</v>
      </c>
      <c r="V448" t="s">
        <v>190</v>
      </c>
      <c r="W448">
        <v>33331</v>
      </c>
      <c r="X448" t="s">
        <v>81</v>
      </c>
      <c r="Y448" t="s">
        <v>42</v>
      </c>
      <c r="Z448" t="s">
        <v>43</v>
      </c>
      <c r="AA448" t="s">
        <v>3852</v>
      </c>
      <c r="AC448" t="s">
        <v>3853</v>
      </c>
      <c r="AD448" t="s">
        <v>3854</v>
      </c>
    </row>
    <row r="449" spans="1:30" hidden="1" x14ac:dyDescent="0.25">
      <c r="A449">
        <v>32745</v>
      </c>
      <c r="B449" t="s">
        <v>32</v>
      </c>
      <c r="C449">
        <v>1</v>
      </c>
      <c r="D449" t="s">
        <v>5295</v>
      </c>
      <c r="E449" t="s">
        <v>70</v>
      </c>
      <c r="F449" t="s">
        <v>33</v>
      </c>
      <c r="G449" t="s">
        <v>71</v>
      </c>
      <c r="H449" t="s">
        <v>35</v>
      </c>
      <c r="I449" t="s">
        <v>5295</v>
      </c>
      <c r="J449" t="s">
        <v>5296</v>
      </c>
      <c r="K449" t="s">
        <v>36</v>
      </c>
      <c r="L449" t="s">
        <v>33</v>
      </c>
      <c r="M449">
        <v>20119407738</v>
      </c>
      <c r="N449" t="s">
        <v>544</v>
      </c>
      <c r="O449" t="s">
        <v>76</v>
      </c>
      <c r="R449" t="s">
        <v>5297</v>
      </c>
      <c r="S449">
        <v>195</v>
      </c>
      <c r="T449" t="s">
        <v>40</v>
      </c>
      <c r="U449">
        <f>+IF(Tabla1[[#This Row],[MONEDA]]="PEN",Tabla1[[#This Row],[MONTO]],Tabla1[[#This Row],[MONTO]]*3.56)</f>
        <v>195</v>
      </c>
      <c r="V449" t="s">
        <v>190</v>
      </c>
      <c r="W449">
        <v>32138</v>
      </c>
      <c r="X449" t="s">
        <v>81</v>
      </c>
      <c r="Y449" t="s">
        <v>42</v>
      </c>
      <c r="Z449" t="s">
        <v>43</v>
      </c>
      <c r="AA449" t="s">
        <v>5298</v>
      </c>
      <c r="AC449" t="s">
        <v>5299</v>
      </c>
      <c r="AD449" t="s">
        <v>5300</v>
      </c>
    </row>
    <row r="450" spans="1:30" hidden="1" x14ac:dyDescent="0.25">
      <c r="A450">
        <v>32048</v>
      </c>
      <c r="B450" t="s">
        <v>32</v>
      </c>
      <c r="C450">
        <v>1</v>
      </c>
      <c r="D450" t="s">
        <v>5536</v>
      </c>
      <c r="E450" t="s">
        <v>70</v>
      </c>
      <c r="F450" t="s">
        <v>33</v>
      </c>
      <c r="G450" t="s">
        <v>71</v>
      </c>
      <c r="H450" t="s">
        <v>72</v>
      </c>
      <c r="I450" t="s">
        <v>5536</v>
      </c>
      <c r="J450" t="s">
        <v>5537</v>
      </c>
      <c r="K450" t="s">
        <v>36</v>
      </c>
      <c r="L450" t="s">
        <v>33</v>
      </c>
      <c r="M450">
        <v>20119407738</v>
      </c>
      <c r="N450" t="s">
        <v>544</v>
      </c>
      <c r="O450" t="s">
        <v>76</v>
      </c>
      <c r="R450" t="s">
        <v>5538</v>
      </c>
      <c r="S450">
        <v>35</v>
      </c>
      <c r="T450" t="s">
        <v>40</v>
      </c>
      <c r="U450">
        <f>+IF(Tabla1[[#This Row],[MONEDA]]="PEN",Tabla1[[#This Row],[MONTO]],Tabla1[[#This Row],[MONTO]]*3.56)</f>
        <v>35</v>
      </c>
      <c r="V450" t="s">
        <v>190</v>
      </c>
      <c r="W450">
        <v>29730</v>
      </c>
      <c r="X450" t="s">
        <v>81</v>
      </c>
      <c r="Y450" t="s">
        <v>42</v>
      </c>
      <c r="Z450" t="s">
        <v>43</v>
      </c>
      <c r="AA450" t="s">
        <v>5539</v>
      </c>
      <c r="AC450" t="s">
        <v>5540</v>
      </c>
      <c r="AD450" t="s">
        <v>5541</v>
      </c>
    </row>
    <row r="451" spans="1:30" hidden="1" x14ac:dyDescent="0.25">
      <c r="A451">
        <v>31326</v>
      </c>
      <c r="B451" t="s">
        <v>32</v>
      </c>
      <c r="C451">
        <v>1</v>
      </c>
      <c r="D451" t="s">
        <v>5887</v>
      </c>
      <c r="E451" t="s">
        <v>70</v>
      </c>
      <c r="F451" t="s">
        <v>33</v>
      </c>
      <c r="G451" t="s">
        <v>71</v>
      </c>
      <c r="H451" t="s">
        <v>72</v>
      </c>
      <c r="I451" t="s">
        <v>5888</v>
      </c>
      <c r="J451" t="s">
        <v>5889</v>
      </c>
      <c r="K451" t="s">
        <v>36</v>
      </c>
      <c r="L451" t="s">
        <v>33</v>
      </c>
      <c r="M451">
        <v>20119407738</v>
      </c>
      <c r="N451" t="s">
        <v>544</v>
      </c>
      <c r="O451" t="s">
        <v>76</v>
      </c>
      <c r="R451" t="s">
        <v>5890</v>
      </c>
      <c r="S451">
        <v>110</v>
      </c>
      <c r="T451" t="s">
        <v>40</v>
      </c>
      <c r="U451">
        <f>+IF(Tabla1[[#This Row],[MONEDA]]="PEN",Tabla1[[#This Row],[MONTO]],Tabla1[[#This Row],[MONTO]]*3.56)</f>
        <v>110</v>
      </c>
      <c r="V451" t="s">
        <v>190</v>
      </c>
      <c r="W451">
        <v>29024</v>
      </c>
      <c r="X451" t="s">
        <v>81</v>
      </c>
      <c r="Y451" t="s">
        <v>42</v>
      </c>
      <c r="Z451" t="s">
        <v>43</v>
      </c>
      <c r="AA451" t="s">
        <v>5891</v>
      </c>
      <c r="AC451" t="s">
        <v>5892</v>
      </c>
      <c r="AD451" t="s">
        <v>5893</v>
      </c>
    </row>
    <row r="452" spans="1:30" hidden="1" x14ac:dyDescent="0.25">
      <c r="A452">
        <v>31187</v>
      </c>
      <c r="B452" t="s">
        <v>32</v>
      </c>
      <c r="C452">
        <v>1</v>
      </c>
      <c r="D452" t="s">
        <v>6073</v>
      </c>
      <c r="E452" t="s">
        <v>70</v>
      </c>
      <c r="F452" t="s">
        <v>33</v>
      </c>
      <c r="G452" t="s">
        <v>71</v>
      </c>
      <c r="H452" t="s">
        <v>72</v>
      </c>
      <c r="I452" t="s">
        <v>6074</v>
      </c>
      <c r="J452" t="s">
        <v>6084</v>
      </c>
      <c r="K452" t="s">
        <v>36</v>
      </c>
      <c r="L452" t="s">
        <v>33</v>
      </c>
      <c r="M452">
        <v>20119407738</v>
      </c>
      <c r="N452" t="s">
        <v>544</v>
      </c>
      <c r="O452" t="s">
        <v>76</v>
      </c>
      <c r="R452" t="s">
        <v>6085</v>
      </c>
      <c r="S452">
        <v>150</v>
      </c>
      <c r="T452" t="s">
        <v>40</v>
      </c>
      <c r="U452">
        <f>+IF(Tabla1[[#This Row],[MONEDA]]="PEN",Tabla1[[#This Row],[MONTO]],Tabla1[[#This Row],[MONTO]]*3.56)</f>
        <v>150</v>
      </c>
      <c r="V452" t="s">
        <v>190</v>
      </c>
      <c r="W452">
        <v>29024</v>
      </c>
      <c r="X452" t="s">
        <v>81</v>
      </c>
      <c r="Y452" t="s">
        <v>42</v>
      </c>
      <c r="Z452" t="s">
        <v>43</v>
      </c>
      <c r="AA452" t="s">
        <v>6086</v>
      </c>
      <c r="AC452" t="s">
        <v>6087</v>
      </c>
      <c r="AD452" t="s">
        <v>6088</v>
      </c>
    </row>
    <row r="453" spans="1:30" hidden="1" x14ac:dyDescent="0.25">
      <c r="A453">
        <v>30098</v>
      </c>
      <c r="B453" t="s">
        <v>32</v>
      </c>
      <c r="C453">
        <v>1</v>
      </c>
      <c r="D453" t="s">
        <v>6417</v>
      </c>
      <c r="E453" t="s">
        <v>70</v>
      </c>
      <c r="F453" t="s">
        <v>33</v>
      </c>
      <c r="G453" t="s">
        <v>71</v>
      </c>
      <c r="H453" t="s">
        <v>72</v>
      </c>
      <c r="I453" t="s">
        <v>6418</v>
      </c>
      <c r="J453" t="s">
        <v>6419</v>
      </c>
      <c r="K453" t="s">
        <v>36</v>
      </c>
      <c r="L453" t="s">
        <v>33</v>
      </c>
      <c r="M453">
        <v>20119407738</v>
      </c>
      <c r="N453" t="s">
        <v>544</v>
      </c>
      <c r="O453" t="s">
        <v>76</v>
      </c>
      <c r="R453" t="s">
        <v>6420</v>
      </c>
      <c r="S453">
        <v>40</v>
      </c>
      <c r="T453" t="s">
        <v>40</v>
      </c>
      <c r="U453">
        <f>+IF(Tabla1[[#This Row],[MONEDA]]="PEN",Tabla1[[#This Row],[MONTO]],Tabla1[[#This Row],[MONTO]]*3.56)</f>
        <v>40</v>
      </c>
      <c r="V453" t="s">
        <v>190</v>
      </c>
      <c r="W453">
        <v>28316</v>
      </c>
      <c r="X453" t="s">
        <v>81</v>
      </c>
      <c r="Y453" t="s">
        <v>42</v>
      </c>
      <c r="Z453" t="s">
        <v>43</v>
      </c>
      <c r="AA453" t="s">
        <v>6421</v>
      </c>
      <c r="AC453" t="s">
        <v>6422</v>
      </c>
      <c r="AD453" t="s">
        <v>6423</v>
      </c>
    </row>
    <row r="454" spans="1:30" hidden="1" x14ac:dyDescent="0.25">
      <c r="A454">
        <v>29918</v>
      </c>
      <c r="B454" t="s">
        <v>32</v>
      </c>
      <c r="C454">
        <v>1</v>
      </c>
      <c r="D454" t="s">
        <v>6536</v>
      </c>
      <c r="E454" t="s">
        <v>70</v>
      </c>
      <c r="F454" t="s">
        <v>33</v>
      </c>
      <c r="G454" t="s">
        <v>71</v>
      </c>
      <c r="H454" t="s">
        <v>72</v>
      </c>
      <c r="I454" t="s">
        <v>6537</v>
      </c>
      <c r="J454" t="s">
        <v>6538</v>
      </c>
      <c r="K454" t="s">
        <v>36</v>
      </c>
      <c r="L454" t="s">
        <v>33</v>
      </c>
      <c r="M454">
        <v>20119407738</v>
      </c>
      <c r="N454" t="s">
        <v>544</v>
      </c>
      <c r="O454" t="s">
        <v>76</v>
      </c>
      <c r="R454" t="s">
        <v>6539</v>
      </c>
      <c r="S454">
        <v>450</v>
      </c>
      <c r="T454" t="s">
        <v>40</v>
      </c>
      <c r="U454">
        <f>+IF(Tabla1[[#This Row],[MONEDA]]="PEN",Tabla1[[#This Row],[MONTO]],Tabla1[[#This Row],[MONTO]]*3.56)</f>
        <v>450</v>
      </c>
      <c r="V454" t="s">
        <v>190</v>
      </c>
      <c r="W454">
        <v>28316</v>
      </c>
      <c r="X454" t="s">
        <v>81</v>
      </c>
      <c r="Y454" t="s">
        <v>42</v>
      </c>
      <c r="Z454" t="s">
        <v>82</v>
      </c>
      <c r="AA454" t="s">
        <v>6462</v>
      </c>
      <c r="AC454" t="s">
        <v>6540</v>
      </c>
      <c r="AD454" t="s">
        <v>6541</v>
      </c>
    </row>
    <row r="455" spans="1:30" hidden="1" x14ac:dyDescent="0.25">
      <c r="A455">
        <v>28371</v>
      </c>
      <c r="B455" t="s">
        <v>32</v>
      </c>
      <c r="C455">
        <v>1</v>
      </c>
      <c r="D455" t="s">
        <v>7736</v>
      </c>
      <c r="E455" t="s">
        <v>70</v>
      </c>
      <c r="F455" t="s">
        <v>33</v>
      </c>
      <c r="G455" t="s">
        <v>71</v>
      </c>
      <c r="H455" t="s">
        <v>72</v>
      </c>
      <c r="I455" t="s">
        <v>7737</v>
      </c>
      <c r="J455" t="s">
        <v>7738</v>
      </c>
      <c r="K455" t="s">
        <v>36</v>
      </c>
      <c r="L455" t="s">
        <v>33</v>
      </c>
      <c r="M455">
        <v>20119407738</v>
      </c>
      <c r="N455" t="s">
        <v>544</v>
      </c>
      <c r="O455" t="s">
        <v>76</v>
      </c>
      <c r="R455" t="s">
        <v>7739</v>
      </c>
      <c r="S455">
        <v>1007</v>
      </c>
      <c r="T455" t="s">
        <v>40</v>
      </c>
      <c r="U455">
        <f>+IF(Tabla1[[#This Row],[MONEDA]]="PEN",Tabla1[[#This Row],[MONTO]],Tabla1[[#This Row],[MONTO]]*3.56)</f>
        <v>1007</v>
      </c>
      <c r="V455" t="s">
        <v>190</v>
      </c>
      <c r="W455">
        <v>28040</v>
      </c>
      <c r="X455" t="s">
        <v>81</v>
      </c>
      <c r="Y455" t="s">
        <v>42</v>
      </c>
      <c r="Z455" t="s">
        <v>43</v>
      </c>
      <c r="AA455" t="s">
        <v>7740</v>
      </c>
      <c r="AC455" t="s">
        <v>7741</v>
      </c>
      <c r="AD455" t="s">
        <v>7742</v>
      </c>
    </row>
    <row r="456" spans="1:30" hidden="1" x14ac:dyDescent="0.25">
      <c r="A456">
        <v>26857</v>
      </c>
      <c r="B456" t="s">
        <v>32</v>
      </c>
      <c r="C456">
        <v>2</v>
      </c>
      <c r="D456" t="s">
        <v>8846</v>
      </c>
      <c r="E456" t="s">
        <v>70</v>
      </c>
      <c r="F456" t="s">
        <v>33</v>
      </c>
      <c r="G456" t="s">
        <v>71</v>
      </c>
      <c r="H456" t="s">
        <v>72</v>
      </c>
      <c r="I456" t="s">
        <v>8847</v>
      </c>
      <c r="J456" t="s">
        <v>8848</v>
      </c>
      <c r="K456" t="s">
        <v>36</v>
      </c>
      <c r="L456" t="s">
        <v>33</v>
      </c>
      <c r="M456">
        <v>20119407738</v>
      </c>
      <c r="N456" t="s">
        <v>544</v>
      </c>
      <c r="O456" t="s">
        <v>76</v>
      </c>
      <c r="R456" t="s">
        <v>8849</v>
      </c>
      <c r="S456">
        <v>17</v>
      </c>
      <c r="T456" t="s">
        <v>40</v>
      </c>
      <c r="U456">
        <f>+IF(Tabla1[[#This Row],[MONEDA]]="PEN",Tabla1[[#This Row],[MONTO]],Tabla1[[#This Row],[MONTO]]*3.56)</f>
        <v>17</v>
      </c>
      <c r="V456" t="s">
        <v>190</v>
      </c>
      <c r="W456">
        <v>26301</v>
      </c>
      <c r="X456" t="s">
        <v>81</v>
      </c>
      <c r="Y456" t="s">
        <v>42</v>
      </c>
      <c r="Z456" t="s">
        <v>43</v>
      </c>
      <c r="AA456" t="s">
        <v>8850</v>
      </c>
      <c r="AC456" t="s">
        <v>8851</v>
      </c>
      <c r="AD456" t="s">
        <v>8852</v>
      </c>
    </row>
    <row r="457" spans="1:30" hidden="1" x14ac:dyDescent="0.25">
      <c r="A457">
        <v>26839</v>
      </c>
      <c r="B457" t="s">
        <v>32</v>
      </c>
      <c r="C457">
        <v>2</v>
      </c>
      <c r="D457" t="s">
        <v>8899</v>
      </c>
      <c r="E457" t="s">
        <v>70</v>
      </c>
      <c r="F457" t="s">
        <v>33</v>
      </c>
      <c r="G457" t="s">
        <v>71</v>
      </c>
      <c r="H457" t="s">
        <v>72</v>
      </c>
      <c r="I457" t="s">
        <v>8900</v>
      </c>
      <c r="J457" t="s">
        <v>8901</v>
      </c>
      <c r="K457" t="s">
        <v>36</v>
      </c>
      <c r="L457" t="s">
        <v>33</v>
      </c>
      <c r="M457">
        <v>20119407738</v>
      </c>
      <c r="N457" t="s">
        <v>544</v>
      </c>
      <c r="O457" t="s">
        <v>76</v>
      </c>
      <c r="R457" t="s">
        <v>8902</v>
      </c>
      <c r="S457">
        <v>54</v>
      </c>
      <c r="T457" t="s">
        <v>40</v>
      </c>
      <c r="U457">
        <f>+IF(Tabla1[[#This Row],[MONEDA]]="PEN",Tabla1[[#This Row],[MONTO]],Tabla1[[#This Row],[MONTO]]*3.56)</f>
        <v>54</v>
      </c>
      <c r="V457" t="s">
        <v>190</v>
      </c>
      <c r="W457">
        <v>26301</v>
      </c>
      <c r="X457" t="s">
        <v>81</v>
      </c>
      <c r="Y457" t="s">
        <v>42</v>
      </c>
      <c r="Z457" t="s">
        <v>43</v>
      </c>
      <c r="AA457" t="s">
        <v>8903</v>
      </c>
      <c r="AC457" t="s">
        <v>8904</v>
      </c>
      <c r="AD457" t="s">
        <v>8905</v>
      </c>
    </row>
    <row r="458" spans="1:30" hidden="1" x14ac:dyDescent="0.25">
      <c r="A458">
        <v>33316</v>
      </c>
      <c r="B458" t="s">
        <v>32</v>
      </c>
      <c r="C458">
        <v>1</v>
      </c>
      <c r="D458" t="s">
        <v>4987</v>
      </c>
      <c r="E458" t="s">
        <v>70</v>
      </c>
      <c r="F458" t="s">
        <v>33</v>
      </c>
      <c r="G458" t="s">
        <v>71</v>
      </c>
      <c r="H458" t="s">
        <v>35</v>
      </c>
      <c r="I458" t="s">
        <v>4987</v>
      </c>
      <c r="J458" t="s">
        <v>4988</v>
      </c>
      <c r="K458" t="s">
        <v>36</v>
      </c>
      <c r="L458" t="s">
        <v>33</v>
      </c>
      <c r="M458">
        <v>20449355203</v>
      </c>
      <c r="N458" t="s">
        <v>4989</v>
      </c>
      <c r="O458" t="s">
        <v>76</v>
      </c>
      <c r="R458" t="s">
        <v>4990</v>
      </c>
      <c r="S458">
        <v>15</v>
      </c>
      <c r="T458" t="s">
        <v>40</v>
      </c>
      <c r="U458">
        <f>+IF(Tabla1[[#This Row],[MONEDA]]="PEN",Tabla1[[#This Row],[MONTO]],Tabla1[[#This Row],[MONTO]]*3.56)</f>
        <v>15</v>
      </c>
      <c r="V458" t="s">
        <v>190</v>
      </c>
      <c r="W458">
        <v>32138</v>
      </c>
      <c r="X458" t="s">
        <v>81</v>
      </c>
      <c r="Y458" t="s">
        <v>42</v>
      </c>
      <c r="Z458" t="s">
        <v>43</v>
      </c>
      <c r="AA458" t="s">
        <v>4991</v>
      </c>
      <c r="AC458" t="s">
        <v>4992</v>
      </c>
      <c r="AD458" t="s">
        <v>4993</v>
      </c>
    </row>
    <row r="459" spans="1:30" hidden="1" x14ac:dyDescent="0.25">
      <c r="A459">
        <v>25387</v>
      </c>
      <c r="B459" t="s">
        <v>32</v>
      </c>
      <c r="C459">
        <v>1</v>
      </c>
      <c r="D459" t="s">
        <v>9820</v>
      </c>
      <c r="E459" t="s">
        <v>70</v>
      </c>
      <c r="F459" t="s">
        <v>33</v>
      </c>
      <c r="G459" t="s">
        <v>71</v>
      </c>
      <c r="H459" t="s">
        <v>72</v>
      </c>
      <c r="I459" t="s">
        <v>9821</v>
      </c>
      <c r="J459" t="s">
        <v>9822</v>
      </c>
      <c r="K459" t="s">
        <v>36</v>
      </c>
      <c r="L459" t="s">
        <v>33</v>
      </c>
      <c r="M459">
        <v>20600379560</v>
      </c>
      <c r="N459" t="s">
        <v>9823</v>
      </c>
      <c r="O459" t="s">
        <v>76</v>
      </c>
      <c r="R459" t="s">
        <v>9824</v>
      </c>
      <c r="S459">
        <v>40</v>
      </c>
      <c r="T459" t="s">
        <v>40</v>
      </c>
      <c r="U459">
        <f>+IF(Tabla1[[#This Row],[MONEDA]]="PEN",Tabla1[[#This Row],[MONTO]],Tabla1[[#This Row],[MONTO]]*3.56)</f>
        <v>40</v>
      </c>
      <c r="V459" t="s">
        <v>190</v>
      </c>
      <c r="W459">
        <v>25256</v>
      </c>
      <c r="X459" t="s">
        <v>81</v>
      </c>
      <c r="Y459" t="s">
        <v>42</v>
      </c>
      <c r="Z459" t="s">
        <v>82</v>
      </c>
      <c r="AA459" t="s">
        <v>9825</v>
      </c>
      <c r="AD459" t="s">
        <v>9826</v>
      </c>
    </row>
    <row r="460" spans="1:30" hidden="1" x14ac:dyDescent="0.25">
      <c r="A460">
        <v>25386</v>
      </c>
      <c r="B460" t="s">
        <v>32</v>
      </c>
      <c r="C460">
        <v>1</v>
      </c>
      <c r="D460" t="s">
        <v>9827</v>
      </c>
      <c r="E460" t="s">
        <v>70</v>
      </c>
      <c r="F460" t="s">
        <v>33</v>
      </c>
      <c r="G460" t="s">
        <v>71</v>
      </c>
      <c r="H460" t="s">
        <v>72</v>
      </c>
      <c r="I460" t="s">
        <v>9828</v>
      </c>
      <c r="J460" t="s">
        <v>9829</v>
      </c>
      <c r="K460" t="s">
        <v>36</v>
      </c>
      <c r="L460" t="s">
        <v>33</v>
      </c>
      <c r="M460">
        <v>20600379560</v>
      </c>
      <c r="N460" t="s">
        <v>9823</v>
      </c>
      <c r="O460" t="s">
        <v>76</v>
      </c>
      <c r="R460" t="s">
        <v>9830</v>
      </c>
      <c r="S460">
        <v>40</v>
      </c>
      <c r="T460" t="s">
        <v>40</v>
      </c>
      <c r="U460">
        <f>+IF(Tabla1[[#This Row],[MONEDA]]="PEN",Tabla1[[#This Row],[MONTO]],Tabla1[[#This Row],[MONTO]]*3.56)</f>
        <v>40</v>
      </c>
      <c r="V460" t="s">
        <v>190</v>
      </c>
      <c r="W460">
        <v>25256</v>
      </c>
      <c r="X460" t="s">
        <v>81</v>
      </c>
      <c r="Y460" t="s">
        <v>42</v>
      </c>
      <c r="Z460" t="s">
        <v>82</v>
      </c>
      <c r="AA460" t="s">
        <v>9831</v>
      </c>
      <c r="AD460" t="s">
        <v>9832</v>
      </c>
    </row>
    <row r="461" spans="1:30" hidden="1" x14ac:dyDescent="0.25">
      <c r="A461">
        <v>33306</v>
      </c>
      <c r="B461" t="s">
        <v>32</v>
      </c>
      <c r="C461">
        <v>1</v>
      </c>
      <c r="D461" t="s">
        <v>5034</v>
      </c>
      <c r="E461" t="s">
        <v>70</v>
      </c>
      <c r="F461" t="s">
        <v>33</v>
      </c>
      <c r="G461" t="s">
        <v>71</v>
      </c>
      <c r="H461" t="s">
        <v>35</v>
      </c>
      <c r="I461" t="s">
        <v>5034</v>
      </c>
      <c r="J461" t="s">
        <v>5035</v>
      </c>
      <c r="K461" t="s">
        <v>36</v>
      </c>
      <c r="L461" t="s">
        <v>33</v>
      </c>
      <c r="M461">
        <v>20534857153</v>
      </c>
      <c r="N461" t="s">
        <v>5036</v>
      </c>
      <c r="O461" t="s">
        <v>76</v>
      </c>
      <c r="R461" t="s">
        <v>5037</v>
      </c>
      <c r="S461">
        <v>60</v>
      </c>
      <c r="T461" t="s">
        <v>40</v>
      </c>
      <c r="U461">
        <f>+IF(Tabla1[[#This Row],[MONEDA]]="PEN",Tabla1[[#This Row],[MONTO]],Tabla1[[#This Row],[MONTO]]*3.56)</f>
        <v>60</v>
      </c>
      <c r="V461" t="s">
        <v>190</v>
      </c>
      <c r="W461">
        <v>32138</v>
      </c>
      <c r="X461" t="s">
        <v>81</v>
      </c>
      <c r="Y461" t="s">
        <v>42</v>
      </c>
      <c r="Z461" t="s">
        <v>43</v>
      </c>
      <c r="AA461" t="s">
        <v>5038</v>
      </c>
      <c r="AC461" t="s">
        <v>5039</v>
      </c>
      <c r="AD461" t="s">
        <v>5040</v>
      </c>
    </row>
    <row r="462" spans="1:30" hidden="1" x14ac:dyDescent="0.25">
      <c r="A462">
        <v>31194</v>
      </c>
      <c r="B462" t="s">
        <v>32</v>
      </c>
      <c r="C462">
        <v>1</v>
      </c>
      <c r="D462" t="s">
        <v>6035</v>
      </c>
      <c r="E462" t="s">
        <v>70</v>
      </c>
      <c r="F462" t="s">
        <v>33</v>
      </c>
      <c r="G462" t="s">
        <v>71</v>
      </c>
      <c r="H462" t="s">
        <v>72</v>
      </c>
      <c r="I462" t="s">
        <v>6036</v>
      </c>
      <c r="J462" t="s">
        <v>6042</v>
      </c>
      <c r="K462" t="s">
        <v>36</v>
      </c>
      <c r="L462" t="s">
        <v>33</v>
      </c>
      <c r="M462">
        <v>20534857153</v>
      </c>
      <c r="N462" t="s">
        <v>5036</v>
      </c>
      <c r="O462" t="s">
        <v>76</v>
      </c>
      <c r="R462" t="s">
        <v>6043</v>
      </c>
      <c r="S462">
        <v>25</v>
      </c>
      <c r="T462" t="s">
        <v>40</v>
      </c>
      <c r="U462">
        <f>+IF(Tabla1[[#This Row],[MONEDA]]="PEN",Tabla1[[#This Row],[MONTO]],Tabla1[[#This Row],[MONTO]]*3.56)</f>
        <v>25</v>
      </c>
      <c r="V462" t="s">
        <v>190</v>
      </c>
      <c r="W462">
        <v>29024</v>
      </c>
      <c r="X462" t="s">
        <v>81</v>
      </c>
      <c r="Y462" t="s">
        <v>42</v>
      </c>
      <c r="Z462" t="s">
        <v>43</v>
      </c>
      <c r="AA462" t="s">
        <v>6044</v>
      </c>
      <c r="AC462" t="s">
        <v>6045</v>
      </c>
      <c r="AD462" t="s">
        <v>6046</v>
      </c>
    </row>
    <row r="463" spans="1:30" hidden="1" x14ac:dyDescent="0.25">
      <c r="A463">
        <v>32046</v>
      </c>
      <c r="B463" t="s">
        <v>32</v>
      </c>
      <c r="C463">
        <v>1</v>
      </c>
      <c r="D463" t="s">
        <v>5559</v>
      </c>
      <c r="E463" t="s">
        <v>70</v>
      </c>
      <c r="F463" t="s">
        <v>33</v>
      </c>
      <c r="G463" t="s">
        <v>71</v>
      </c>
      <c r="H463" t="s">
        <v>72</v>
      </c>
      <c r="I463" t="s">
        <v>5559</v>
      </c>
      <c r="J463" t="s">
        <v>5565</v>
      </c>
      <c r="K463" t="s">
        <v>36</v>
      </c>
      <c r="L463" t="s">
        <v>33</v>
      </c>
      <c r="M463">
        <v>20609523957</v>
      </c>
      <c r="N463" t="s">
        <v>5566</v>
      </c>
      <c r="O463" t="s">
        <v>76</v>
      </c>
      <c r="R463" t="s">
        <v>5567</v>
      </c>
      <c r="S463">
        <v>100</v>
      </c>
      <c r="T463" t="s">
        <v>40</v>
      </c>
      <c r="U463">
        <f>+IF(Tabla1[[#This Row],[MONEDA]]="PEN",Tabla1[[#This Row],[MONTO]],Tabla1[[#This Row],[MONTO]]*3.56)</f>
        <v>100</v>
      </c>
      <c r="V463" t="s">
        <v>190</v>
      </c>
      <c r="W463">
        <v>29730</v>
      </c>
      <c r="X463" t="s">
        <v>81</v>
      </c>
      <c r="Y463" t="s">
        <v>42</v>
      </c>
      <c r="Z463" t="s">
        <v>43</v>
      </c>
      <c r="AA463" t="s">
        <v>5568</v>
      </c>
      <c r="AC463" t="s">
        <v>5569</v>
      </c>
      <c r="AD463" t="s">
        <v>5570</v>
      </c>
    </row>
    <row r="464" spans="1:30" hidden="1" x14ac:dyDescent="0.25">
      <c r="A464">
        <v>29846</v>
      </c>
      <c r="B464" t="s">
        <v>32</v>
      </c>
      <c r="C464">
        <v>1</v>
      </c>
      <c r="D464" t="s">
        <v>6578</v>
      </c>
      <c r="E464" t="s">
        <v>70</v>
      </c>
      <c r="F464" t="s">
        <v>33</v>
      </c>
      <c r="G464" t="s">
        <v>71</v>
      </c>
      <c r="H464" t="s">
        <v>72</v>
      </c>
      <c r="I464" t="s">
        <v>6579</v>
      </c>
      <c r="J464" t="s">
        <v>6580</v>
      </c>
      <c r="K464" t="s">
        <v>36</v>
      </c>
      <c r="L464" t="s">
        <v>33</v>
      </c>
      <c r="M464">
        <v>20609523957</v>
      </c>
      <c r="N464" t="s">
        <v>5566</v>
      </c>
      <c r="O464" t="s">
        <v>76</v>
      </c>
      <c r="R464" t="s">
        <v>6581</v>
      </c>
      <c r="S464">
        <v>10</v>
      </c>
      <c r="T464" t="s">
        <v>40</v>
      </c>
      <c r="U464">
        <f>+IF(Tabla1[[#This Row],[MONEDA]]="PEN",Tabla1[[#This Row],[MONTO]],Tabla1[[#This Row],[MONTO]]*3.56)</f>
        <v>10</v>
      </c>
      <c r="V464" t="s">
        <v>190</v>
      </c>
      <c r="W464">
        <v>28316</v>
      </c>
      <c r="X464" t="s">
        <v>81</v>
      </c>
      <c r="Y464" t="s">
        <v>42</v>
      </c>
      <c r="Z464" t="s">
        <v>43</v>
      </c>
      <c r="AA464" t="s">
        <v>6567</v>
      </c>
      <c r="AC464" t="s">
        <v>6582</v>
      </c>
      <c r="AD464" t="s">
        <v>6583</v>
      </c>
    </row>
    <row r="465" spans="1:33" x14ac:dyDescent="0.25">
      <c r="A465">
        <v>31832</v>
      </c>
      <c r="B465" t="s">
        <v>32</v>
      </c>
      <c r="C465">
        <v>1</v>
      </c>
      <c r="D465" t="s">
        <v>5646</v>
      </c>
      <c r="E465" t="s">
        <v>70</v>
      </c>
      <c r="F465" t="s">
        <v>90</v>
      </c>
      <c r="G465" t="s">
        <v>91</v>
      </c>
      <c r="H465" t="s">
        <v>72</v>
      </c>
      <c r="I465" t="s">
        <v>5647</v>
      </c>
      <c r="J465" t="s">
        <v>5648</v>
      </c>
      <c r="K465" t="s">
        <v>36</v>
      </c>
      <c r="L465" t="s">
        <v>33</v>
      </c>
      <c r="M465" t="s">
        <v>754</v>
      </c>
      <c r="N465" t="s">
        <v>755</v>
      </c>
      <c r="P465" t="s">
        <v>756</v>
      </c>
      <c r="Q465">
        <v>898085180380</v>
      </c>
      <c r="R465" t="s">
        <v>5649</v>
      </c>
      <c r="S465">
        <v>13773.21</v>
      </c>
      <c r="T465" t="s">
        <v>80</v>
      </c>
      <c r="U465">
        <f>+IF(Tabla1[[#This Row],[MONEDA]]="PEN",Tabla1[[#This Row],[MONTO]],Tabla1[[#This Row],[MONTO]]*3.56)</f>
        <v>49032.6276</v>
      </c>
      <c r="X465" t="s">
        <v>41</v>
      </c>
      <c r="Y465" t="s">
        <v>42</v>
      </c>
      <c r="Z465" t="s">
        <v>43</v>
      </c>
      <c r="AA465" t="s">
        <v>5650</v>
      </c>
      <c r="AC465" t="s">
        <v>5651</v>
      </c>
      <c r="AD465" t="s">
        <v>5652</v>
      </c>
      <c r="AE465">
        <v>13827.21</v>
      </c>
      <c r="AF465" t="s">
        <v>87</v>
      </c>
      <c r="AG465" t="s">
        <v>88</v>
      </c>
    </row>
    <row r="466" spans="1:33" x14ac:dyDescent="0.25">
      <c r="A466">
        <v>26356</v>
      </c>
      <c r="B466" t="s">
        <v>32</v>
      </c>
      <c r="C466">
        <v>1</v>
      </c>
      <c r="D466" t="s">
        <v>9348</v>
      </c>
      <c r="E466" t="s">
        <v>70</v>
      </c>
      <c r="F466" t="s">
        <v>90</v>
      </c>
      <c r="G466" t="s">
        <v>91</v>
      </c>
      <c r="H466" t="s">
        <v>72</v>
      </c>
      <c r="I466" t="s">
        <v>9337</v>
      </c>
      <c r="J466" t="s">
        <v>9349</v>
      </c>
      <c r="K466" t="s">
        <v>36</v>
      </c>
      <c r="L466" t="s">
        <v>33</v>
      </c>
      <c r="M466" t="s">
        <v>754</v>
      </c>
      <c r="N466" t="s">
        <v>755</v>
      </c>
      <c r="P466" t="s">
        <v>756</v>
      </c>
      <c r="Q466">
        <v>898085180380</v>
      </c>
      <c r="R466" t="s">
        <v>9350</v>
      </c>
      <c r="S466">
        <v>17401.13</v>
      </c>
      <c r="T466" t="s">
        <v>80</v>
      </c>
      <c r="U466">
        <f>+IF(Tabla1[[#This Row],[MONEDA]]="PEN",Tabla1[[#This Row],[MONTO]],Tabla1[[#This Row],[MONTO]]*3.56)</f>
        <v>61948.022800000006</v>
      </c>
      <c r="X466" t="s">
        <v>41</v>
      </c>
      <c r="Y466" t="s">
        <v>42</v>
      </c>
      <c r="Z466" t="s">
        <v>43</v>
      </c>
      <c r="AA466" t="s">
        <v>9351</v>
      </c>
      <c r="AB466" t="s">
        <v>9352</v>
      </c>
      <c r="AC466" t="s">
        <v>9353</v>
      </c>
      <c r="AE466">
        <v>17401.13</v>
      </c>
      <c r="AF466" t="s">
        <v>87</v>
      </c>
      <c r="AG466" t="s">
        <v>88</v>
      </c>
    </row>
    <row r="467" spans="1:33" x14ac:dyDescent="0.25">
      <c r="A467">
        <v>21318</v>
      </c>
      <c r="B467" t="s">
        <v>32</v>
      </c>
      <c r="C467">
        <v>1</v>
      </c>
      <c r="D467" t="s">
        <v>12524</v>
      </c>
      <c r="E467" t="s">
        <v>70</v>
      </c>
      <c r="F467" t="s">
        <v>90</v>
      </c>
      <c r="G467" t="s">
        <v>91</v>
      </c>
      <c r="H467" t="s">
        <v>72</v>
      </c>
      <c r="I467" t="s">
        <v>12519</v>
      </c>
      <c r="J467" t="s">
        <v>12525</v>
      </c>
      <c r="K467" t="s">
        <v>36</v>
      </c>
      <c r="L467" t="s">
        <v>33</v>
      </c>
      <c r="M467" t="s">
        <v>754</v>
      </c>
      <c r="N467" t="s">
        <v>755</v>
      </c>
      <c r="O467" t="s">
        <v>1747</v>
      </c>
      <c r="P467" t="s">
        <v>756</v>
      </c>
      <c r="Q467">
        <v>898085180380</v>
      </c>
      <c r="R467" t="s">
        <v>12526</v>
      </c>
      <c r="S467">
        <v>17401.13</v>
      </c>
      <c r="T467" t="s">
        <v>80</v>
      </c>
      <c r="U467">
        <f>+IF(Tabla1[[#This Row],[MONEDA]]="PEN",Tabla1[[#This Row],[MONTO]],Tabla1[[#This Row],[MONTO]]*3.56)</f>
        <v>61948.022800000006</v>
      </c>
      <c r="X467" t="s">
        <v>41</v>
      </c>
      <c r="Y467" t="s">
        <v>42</v>
      </c>
      <c r="Z467" t="s">
        <v>43</v>
      </c>
      <c r="AA467" t="s">
        <v>12527</v>
      </c>
      <c r="AB467" t="s">
        <v>12528</v>
      </c>
      <c r="AC467" t="s">
        <v>12529</v>
      </c>
      <c r="AE467">
        <v>17496.63</v>
      </c>
      <c r="AF467" t="s">
        <v>87</v>
      </c>
      <c r="AG467" t="s">
        <v>88</v>
      </c>
    </row>
    <row r="468" spans="1:33" x14ac:dyDescent="0.25">
      <c r="A468">
        <v>43622</v>
      </c>
      <c r="B468" t="s">
        <v>32</v>
      </c>
      <c r="C468">
        <v>1</v>
      </c>
      <c r="D468" t="s">
        <v>751</v>
      </c>
      <c r="E468" t="s">
        <v>45</v>
      </c>
      <c r="F468" t="s">
        <v>90</v>
      </c>
      <c r="G468" t="s">
        <v>91</v>
      </c>
      <c r="H468" t="s">
        <v>72</v>
      </c>
      <c r="I468" t="s">
        <v>752</v>
      </c>
      <c r="J468" t="s">
        <v>753</v>
      </c>
      <c r="K468" t="s">
        <v>36</v>
      </c>
      <c r="L468" t="s">
        <v>33</v>
      </c>
      <c r="M468" t="s">
        <v>754</v>
      </c>
      <c r="N468" t="s">
        <v>755</v>
      </c>
      <c r="P468" t="s">
        <v>756</v>
      </c>
      <c r="Q468">
        <v>898085180380</v>
      </c>
      <c r="R468" t="s">
        <v>757</v>
      </c>
      <c r="S468">
        <v>5000</v>
      </c>
      <c r="T468" t="s">
        <v>80</v>
      </c>
      <c r="U468">
        <f>+IF(Tabla1[[#This Row],[MONEDA]]="PEN",Tabla1[[#This Row],[MONTO]],Tabla1[[#This Row],[MONTO]]*3.56)</f>
        <v>17800</v>
      </c>
      <c r="X468" t="s">
        <v>41</v>
      </c>
      <c r="Y468" t="s">
        <v>51</v>
      </c>
      <c r="Z468" t="s">
        <v>43</v>
      </c>
      <c r="AB468" t="s">
        <v>758</v>
      </c>
    </row>
    <row r="469" spans="1:33" hidden="1" x14ac:dyDescent="0.25">
      <c r="A469">
        <v>45095</v>
      </c>
      <c r="B469" t="s">
        <v>32</v>
      </c>
      <c r="C469">
        <v>1</v>
      </c>
      <c r="D469" t="s">
        <v>338</v>
      </c>
      <c r="E469" t="s">
        <v>70</v>
      </c>
      <c r="F469" t="s">
        <v>33</v>
      </c>
      <c r="G469" t="s">
        <v>71</v>
      </c>
      <c r="H469" t="s">
        <v>35</v>
      </c>
      <c r="I469" t="s">
        <v>339</v>
      </c>
      <c r="J469" t="s">
        <v>340</v>
      </c>
      <c r="K469" t="s">
        <v>36</v>
      </c>
      <c r="L469" t="s">
        <v>33</v>
      </c>
      <c r="M469">
        <v>20100760305</v>
      </c>
      <c r="N469" t="s">
        <v>341</v>
      </c>
      <c r="O469" t="s">
        <v>76</v>
      </c>
      <c r="P469" t="s">
        <v>38</v>
      </c>
      <c r="Q469" t="s">
        <v>342</v>
      </c>
      <c r="R469" t="s">
        <v>343</v>
      </c>
      <c r="S469">
        <v>283.2</v>
      </c>
      <c r="T469" t="s">
        <v>80</v>
      </c>
      <c r="U469">
        <f>+IF(Tabla1[[#This Row],[MONEDA]]="PEN",Tabla1[[#This Row],[MONTO]],Tabla1[[#This Row],[MONTO]]*3.56)</f>
        <v>1008.192</v>
      </c>
      <c r="X469" t="s">
        <v>81</v>
      </c>
      <c r="Y469" t="s">
        <v>42</v>
      </c>
      <c r="Z469" t="s">
        <v>82</v>
      </c>
      <c r="AA469" t="s">
        <v>344</v>
      </c>
      <c r="AB469" t="s">
        <v>345</v>
      </c>
      <c r="AC469" t="s">
        <v>346</v>
      </c>
      <c r="AD469" t="s">
        <v>347</v>
      </c>
      <c r="AE469">
        <v>274.7</v>
      </c>
      <c r="AF469" t="s">
        <v>87</v>
      </c>
      <c r="AG469" t="s">
        <v>88</v>
      </c>
    </row>
    <row r="470" spans="1:33" hidden="1" x14ac:dyDescent="0.25">
      <c r="A470">
        <v>28279</v>
      </c>
      <c r="B470" t="s">
        <v>32</v>
      </c>
      <c r="C470">
        <v>2</v>
      </c>
      <c r="D470" t="s">
        <v>7873</v>
      </c>
      <c r="E470" t="s">
        <v>70</v>
      </c>
      <c r="F470" t="s">
        <v>33</v>
      </c>
      <c r="G470" t="s">
        <v>71</v>
      </c>
      <c r="H470" t="s">
        <v>72</v>
      </c>
      <c r="I470" t="s">
        <v>7852</v>
      </c>
      <c r="J470" t="s">
        <v>7874</v>
      </c>
      <c r="K470" t="s">
        <v>36</v>
      </c>
      <c r="L470" t="s">
        <v>33</v>
      </c>
      <c r="M470">
        <v>20519572291</v>
      </c>
      <c r="N470" t="s">
        <v>94</v>
      </c>
      <c r="O470" t="s">
        <v>76</v>
      </c>
      <c r="P470" t="s">
        <v>38</v>
      </c>
      <c r="Q470">
        <v>4301134822081</v>
      </c>
      <c r="R470" t="s">
        <v>7875</v>
      </c>
      <c r="S470">
        <v>20060</v>
      </c>
      <c r="T470" t="s">
        <v>40</v>
      </c>
      <c r="U470">
        <f>+IF(Tabla1[[#This Row],[MONEDA]]="PEN",Tabla1[[#This Row],[MONTO]],Tabla1[[#This Row],[MONTO]]*3.56)</f>
        <v>20060</v>
      </c>
      <c r="X470" t="s">
        <v>828</v>
      </c>
      <c r="Y470" t="s">
        <v>42</v>
      </c>
      <c r="Z470" t="s">
        <v>43</v>
      </c>
      <c r="AA470" t="s">
        <v>7876</v>
      </c>
      <c r="AB470" t="s">
        <v>7877</v>
      </c>
      <c r="AC470" t="s">
        <v>7878</v>
      </c>
      <c r="AD470" t="s">
        <v>7879</v>
      </c>
      <c r="AE470">
        <v>18054</v>
      </c>
      <c r="AF470" t="s">
        <v>87</v>
      </c>
      <c r="AG470" t="s">
        <v>169</v>
      </c>
    </row>
    <row r="471" spans="1:33" x14ac:dyDescent="0.25">
      <c r="A471">
        <v>46001</v>
      </c>
      <c r="B471" t="s">
        <v>32</v>
      </c>
      <c r="C471">
        <v>1</v>
      </c>
      <c r="D471" t="s">
        <v>89</v>
      </c>
      <c r="E471" t="s">
        <v>45</v>
      </c>
      <c r="F471" t="s">
        <v>90</v>
      </c>
      <c r="G471" t="s">
        <v>91</v>
      </c>
      <c r="H471" t="s">
        <v>72</v>
      </c>
      <c r="I471" t="s">
        <v>92</v>
      </c>
      <c r="J471" t="s">
        <v>93</v>
      </c>
      <c r="K471" t="s">
        <v>36</v>
      </c>
      <c r="L471" t="s">
        <v>33</v>
      </c>
      <c r="M471">
        <v>20519572291</v>
      </c>
      <c r="N471" t="s">
        <v>94</v>
      </c>
      <c r="P471" t="s">
        <v>38</v>
      </c>
      <c r="Q471">
        <v>4301134822081</v>
      </c>
      <c r="R471" t="s">
        <v>95</v>
      </c>
      <c r="S471">
        <v>45000</v>
      </c>
      <c r="T471" t="s">
        <v>40</v>
      </c>
      <c r="U471">
        <f>+IF(Tabla1[[#This Row],[MONEDA]]="PEN",Tabla1[[#This Row],[MONTO]],Tabla1[[#This Row],[MONTO]]*3.56)</f>
        <v>45000</v>
      </c>
      <c r="X471" t="s">
        <v>41</v>
      </c>
      <c r="Y471" t="s">
        <v>51</v>
      </c>
      <c r="Z471" t="s">
        <v>43</v>
      </c>
      <c r="AB471" t="s">
        <v>96</v>
      </c>
    </row>
    <row r="472" spans="1:33" hidden="1" x14ac:dyDescent="0.25">
      <c r="A472">
        <v>24370</v>
      </c>
      <c r="B472" t="s">
        <v>32</v>
      </c>
      <c r="C472">
        <v>1</v>
      </c>
      <c r="D472" t="s">
        <v>10433</v>
      </c>
      <c r="E472" t="s">
        <v>70</v>
      </c>
      <c r="F472" t="s">
        <v>33</v>
      </c>
      <c r="G472" t="s">
        <v>71</v>
      </c>
      <c r="H472" t="s">
        <v>72</v>
      </c>
      <c r="I472" t="s">
        <v>10434</v>
      </c>
      <c r="J472" t="s">
        <v>10435</v>
      </c>
      <c r="K472" t="s">
        <v>36</v>
      </c>
      <c r="L472" t="s">
        <v>33</v>
      </c>
      <c r="M472">
        <v>20600536801</v>
      </c>
      <c r="N472" t="s">
        <v>10436</v>
      </c>
      <c r="O472" t="s">
        <v>76</v>
      </c>
      <c r="R472" t="s">
        <v>10429</v>
      </c>
      <c r="S472">
        <v>150</v>
      </c>
      <c r="T472" t="s">
        <v>40</v>
      </c>
      <c r="U472">
        <f>+IF(Tabla1[[#This Row],[MONEDA]]="PEN",Tabla1[[#This Row],[MONTO]],Tabla1[[#This Row],[MONTO]]*3.56)</f>
        <v>150</v>
      </c>
      <c r="V472" t="s">
        <v>190</v>
      </c>
      <c r="W472">
        <v>23138</v>
      </c>
      <c r="X472" t="s">
        <v>81</v>
      </c>
      <c r="Y472" t="s">
        <v>42</v>
      </c>
      <c r="Z472" t="s">
        <v>82</v>
      </c>
      <c r="AA472" t="s">
        <v>10430</v>
      </c>
      <c r="AC472" t="s">
        <v>10437</v>
      </c>
      <c r="AD472" t="s">
        <v>10438</v>
      </c>
    </row>
    <row r="473" spans="1:33" hidden="1" x14ac:dyDescent="0.25">
      <c r="A473">
        <v>22081</v>
      </c>
      <c r="B473" t="s">
        <v>32</v>
      </c>
      <c r="C473">
        <v>3</v>
      </c>
      <c r="D473" t="s">
        <v>11653</v>
      </c>
      <c r="E473" t="s">
        <v>70</v>
      </c>
      <c r="F473" t="s">
        <v>33</v>
      </c>
      <c r="G473" t="s">
        <v>71</v>
      </c>
      <c r="H473" t="s">
        <v>72</v>
      </c>
      <c r="I473" t="s">
        <v>11654</v>
      </c>
      <c r="J473" t="s">
        <v>11655</v>
      </c>
      <c r="K473" t="s">
        <v>36</v>
      </c>
      <c r="L473" t="s">
        <v>33</v>
      </c>
      <c r="M473">
        <v>10415957594</v>
      </c>
      <c r="N473" t="s">
        <v>11656</v>
      </c>
      <c r="O473" t="s">
        <v>76</v>
      </c>
      <c r="P473" t="s">
        <v>38</v>
      </c>
      <c r="Q473" t="s">
        <v>11657</v>
      </c>
      <c r="R473" t="s">
        <v>11658</v>
      </c>
      <c r="S473">
        <v>5512.5</v>
      </c>
      <c r="T473" t="s">
        <v>40</v>
      </c>
      <c r="U473">
        <f>+IF(Tabla1[[#This Row],[MONEDA]]="PEN",Tabla1[[#This Row],[MONTO]],Tabla1[[#This Row],[MONTO]]*3.56)</f>
        <v>5512.5</v>
      </c>
      <c r="X473" t="s">
        <v>41</v>
      </c>
      <c r="Y473" t="s">
        <v>42</v>
      </c>
      <c r="Z473" t="s">
        <v>43</v>
      </c>
      <c r="AA473" t="s">
        <v>11659</v>
      </c>
      <c r="AB473" t="s">
        <v>11660</v>
      </c>
      <c r="AC473" t="s">
        <v>11661</v>
      </c>
      <c r="AD473" t="s">
        <v>11662</v>
      </c>
      <c r="AE473">
        <v>5347.12</v>
      </c>
      <c r="AF473" t="s">
        <v>87</v>
      </c>
      <c r="AG473" t="s">
        <v>169</v>
      </c>
    </row>
    <row r="474" spans="1:33" hidden="1" x14ac:dyDescent="0.25">
      <c r="A474">
        <v>22080</v>
      </c>
      <c r="B474" t="s">
        <v>32</v>
      </c>
      <c r="C474">
        <v>1</v>
      </c>
      <c r="D474" t="s">
        <v>11653</v>
      </c>
      <c r="E474" t="s">
        <v>70</v>
      </c>
      <c r="F474" t="s">
        <v>33</v>
      </c>
      <c r="G474" t="s">
        <v>71</v>
      </c>
      <c r="H474" t="s">
        <v>72</v>
      </c>
      <c r="I474" t="s">
        <v>12017</v>
      </c>
      <c r="J474" t="s">
        <v>12018</v>
      </c>
      <c r="K474" t="s">
        <v>36</v>
      </c>
      <c r="L474" t="s">
        <v>33</v>
      </c>
      <c r="M474">
        <v>10415957594</v>
      </c>
      <c r="N474" t="s">
        <v>11656</v>
      </c>
      <c r="O474" t="s">
        <v>76</v>
      </c>
      <c r="P474" t="s">
        <v>38</v>
      </c>
      <c r="Q474" t="s">
        <v>11657</v>
      </c>
      <c r="R474" t="s">
        <v>12019</v>
      </c>
      <c r="S474">
        <v>2362.5</v>
      </c>
      <c r="T474" t="s">
        <v>40</v>
      </c>
      <c r="U474">
        <f>+IF(Tabla1[[#This Row],[MONEDA]]="PEN",Tabla1[[#This Row],[MONTO]],Tabla1[[#This Row],[MONTO]]*3.56)</f>
        <v>2362.5</v>
      </c>
      <c r="X474" t="s">
        <v>41</v>
      </c>
      <c r="Y474" t="s">
        <v>42</v>
      </c>
      <c r="Z474" t="s">
        <v>43</v>
      </c>
      <c r="AA474" t="s">
        <v>12020</v>
      </c>
      <c r="AB474" t="s">
        <v>11660</v>
      </c>
      <c r="AC474" t="s">
        <v>12021</v>
      </c>
      <c r="AD474" t="s">
        <v>12022</v>
      </c>
      <c r="AE474">
        <v>2291.63</v>
      </c>
      <c r="AF474" t="s">
        <v>87</v>
      </c>
      <c r="AG474" t="s">
        <v>169</v>
      </c>
    </row>
    <row r="475" spans="1:33" hidden="1" x14ac:dyDescent="0.25">
      <c r="A475">
        <v>32047</v>
      </c>
      <c r="B475" t="s">
        <v>32</v>
      </c>
      <c r="C475">
        <v>1</v>
      </c>
      <c r="D475" t="s">
        <v>5559</v>
      </c>
      <c r="E475" t="s">
        <v>70</v>
      </c>
      <c r="F475" t="s">
        <v>33</v>
      </c>
      <c r="G475" t="s">
        <v>71</v>
      </c>
      <c r="H475" t="s">
        <v>72</v>
      </c>
      <c r="I475" t="s">
        <v>5559</v>
      </c>
      <c r="J475" t="s">
        <v>5571</v>
      </c>
      <c r="K475" t="s">
        <v>36</v>
      </c>
      <c r="L475" t="s">
        <v>33</v>
      </c>
      <c r="M475">
        <v>20508074281</v>
      </c>
      <c r="N475" t="s">
        <v>5572</v>
      </c>
      <c r="O475" t="s">
        <v>76</v>
      </c>
      <c r="R475" t="s">
        <v>5573</v>
      </c>
      <c r="S475">
        <v>20</v>
      </c>
      <c r="T475" t="s">
        <v>40</v>
      </c>
      <c r="U475">
        <f>+IF(Tabla1[[#This Row],[MONEDA]]="PEN",Tabla1[[#This Row],[MONTO]],Tabla1[[#This Row],[MONTO]]*3.56)</f>
        <v>20</v>
      </c>
      <c r="V475" t="s">
        <v>190</v>
      </c>
      <c r="W475">
        <v>29730</v>
      </c>
      <c r="X475" t="s">
        <v>81</v>
      </c>
      <c r="Y475" t="s">
        <v>42</v>
      </c>
      <c r="Z475" t="s">
        <v>43</v>
      </c>
      <c r="AA475" t="s">
        <v>5574</v>
      </c>
      <c r="AC475" t="s">
        <v>5575</v>
      </c>
      <c r="AD475" t="s">
        <v>5576</v>
      </c>
    </row>
    <row r="476" spans="1:33" hidden="1" x14ac:dyDescent="0.25">
      <c r="A476">
        <v>33312</v>
      </c>
      <c r="B476" t="s">
        <v>32</v>
      </c>
      <c r="C476">
        <v>1</v>
      </c>
      <c r="D476" t="s">
        <v>4994</v>
      </c>
      <c r="E476" t="s">
        <v>70</v>
      </c>
      <c r="F476" t="s">
        <v>33</v>
      </c>
      <c r="G476" t="s">
        <v>71</v>
      </c>
      <c r="H476" t="s">
        <v>35</v>
      </c>
      <c r="I476" t="s">
        <v>4994</v>
      </c>
      <c r="J476" t="s">
        <v>5000</v>
      </c>
      <c r="K476" t="s">
        <v>36</v>
      </c>
      <c r="L476" t="s">
        <v>33</v>
      </c>
      <c r="M476">
        <v>20610788263</v>
      </c>
      <c r="N476" t="s">
        <v>5001</v>
      </c>
      <c r="O476" t="s">
        <v>76</v>
      </c>
      <c r="R476" t="s">
        <v>4996</v>
      </c>
      <c r="S476">
        <v>30</v>
      </c>
      <c r="T476" t="s">
        <v>40</v>
      </c>
      <c r="U476">
        <f>+IF(Tabla1[[#This Row],[MONEDA]]="PEN",Tabla1[[#This Row],[MONTO]],Tabla1[[#This Row],[MONTO]]*3.56)</f>
        <v>30</v>
      </c>
      <c r="V476" t="s">
        <v>190</v>
      </c>
      <c r="W476">
        <v>32138</v>
      </c>
      <c r="X476" t="s">
        <v>81</v>
      </c>
      <c r="Y476" t="s">
        <v>42</v>
      </c>
      <c r="Z476" t="s">
        <v>43</v>
      </c>
      <c r="AA476" t="s">
        <v>5002</v>
      </c>
      <c r="AC476" t="s">
        <v>5003</v>
      </c>
      <c r="AD476" t="s">
        <v>5004</v>
      </c>
    </row>
    <row r="477" spans="1:33" x14ac:dyDescent="0.25">
      <c r="A477">
        <v>36025</v>
      </c>
      <c r="B477" t="s">
        <v>32</v>
      </c>
      <c r="C477">
        <v>1</v>
      </c>
      <c r="D477" t="s">
        <v>4059</v>
      </c>
      <c r="E477" t="s">
        <v>70</v>
      </c>
      <c r="F477" t="s">
        <v>90</v>
      </c>
      <c r="G477" t="s">
        <v>91</v>
      </c>
      <c r="H477" t="s">
        <v>35</v>
      </c>
      <c r="I477" t="s">
        <v>4013</v>
      </c>
      <c r="J477" t="s">
        <v>4060</v>
      </c>
      <c r="K477" t="s">
        <v>36</v>
      </c>
      <c r="L477" t="s">
        <v>33</v>
      </c>
      <c r="M477">
        <v>20532370702</v>
      </c>
      <c r="N477" t="s">
        <v>1809</v>
      </c>
      <c r="P477" t="s">
        <v>38</v>
      </c>
      <c r="Q477" t="s">
        <v>4061</v>
      </c>
      <c r="R477" t="s">
        <v>4062</v>
      </c>
      <c r="S477">
        <v>30</v>
      </c>
      <c r="T477" t="s">
        <v>40</v>
      </c>
      <c r="U477">
        <f>+IF(Tabla1[[#This Row],[MONEDA]]="PEN",Tabla1[[#This Row],[MONTO]],Tabla1[[#This Row],[MONTO]]*3.56)</f>
        <v>30</v>
      </c>
      <c r="X477" t="s">
        <v>41</v>
      </c>
      <c r="Y477" t="s">
        <v>42</v>
      </c>
      <c r="Z477" t="s">
        <v>43</v>
      </c>
      <c r="AA477" t="s">
        <v>4063</v>
      </c>
      <c r="AB477" t="s">
        <v>4064</v>
      </c>
      <c r="AC477" t="s">
        <v>4065</v>
      </c>
      <c r="AD477" t="s">
        <v>4066</v>
      </c>
      <c r="AE477">
        <v>30</v>
      </c>
      <c r="AF477" t="s">
        <v>87</v>
      </c>
      <c r="AG477" t="s">
        <v>169</v>
      </c>
    </row>
    <row r="478" spans="1:33" x14ac:dyDescent="0.25">
      <c r="A478">
        <v>36027</v>
      </c>
      <c r="B478" t="s">
        <v>32</v>
      </c>
      <c r="C478">
        <v>1</v>
      </c>
      <c r="D478" t="s">
        <v>4067</v>
      </c>
      <c r="E478" t="s">
        <v>70</v>
      </c>
      <c r="F478" t="s">
        <v>90</v>
      </c>
      <c r="G478" t="s">
        <v>91</v>
      </c>
      <c r="H478" t="s">
        <v>35</v>
      </c>
      <c r="I478" t="s">
        <v>4013</v>
      </c>
      <c r="J478" t="s">
        <v>4068</v>
      </c>
      <c r="K478" t="s">
        <v>36</v>
      </c>
      <c r="L478" t="s">
        <v>33</v>
      </c>
      <c r="M478">
        <v>20532370702</v>
      </c>
      <c r="N478" t="s">
        <v>1809</v>
      </c>
      <c r="P478" t="s">
        <v>38</v>
      </c>
      <c r="Q478" t="s">
        <v>4061</v>
      </c>
      <c r="R478" t="s">
        <v>4069</v>
      </c>
      <c r="S478">
        <v>260.77999999999997</v>
      </c>
      <c r="T478" t="s">
        <v>40</v>
      </c>
      <c r="U478">
        <f>+IF(Tabla1[[#This Row],[MONEDA]]="PEN",Tabla1[[#This Row],[MONTO]],Tabla1[[#This Row],[MONTO]]*3.56)</f>
        <v>260.77999999999997</v>
      </c>
      <c r="X478" t="s">
        <v>41</v>
      </c>
      <c r="Y478" t="s">
        <v>42</v>
      </c>
      <c r="Z478" t="s">
        <v>43</v>
      </c>
      <c r="AA478" t="s">
        <v>4070</v>
      </c>
      <c r="AC478" t="s">
        <v>4071</v>
      </c>
      <c r="AD478" t="s">
        <v>4072</v>
      </c>
      <c r="AE478">
        <v>260.77999999999997</v>
      </c>
      <c r="AF478" t="s">
        <v>87</v>
      </c>
      <c r="AG478" t="s">
        <v>169</v>
      </c>
    </row>
    <row r="479" spans="1:33" x14ac:dyDescent="0.25">
      <c r="A479">
        <v>26499</v>
      </c>
      <c r="B479" t="s">
        <v>32</v>
      </c>
      <c r="C479">
        <v>1</v>
      </c>
      <c r="D479" t="s">
        <v>8361</v>
      </c>
      <c r="E479" t="s">
        <v>70</v>
      </c>
      <c r="F479" t="s">
        <v>90</v>
      </c>
      <c r="G479" t="s">
        <v>91</v>
      </c>
      <c r="H479" t="s">
        <v>72</v>
      </c>
      <c r="I479" t="s">
        <v>8362</v>
      </c>
      <c r="J479" t="s">
        <v>8363</v>
      </c>
      <c r="K479" t="s">
        <v>36</v>
      </c>
      <c r="L479" t="s">
        <v>33</v>
      </c>
      <c r="M479">
        <v>20532370702</v>
      </c>
      <c r="N479" t="s">
        <v>1809</v>
      </c>
      <c r="P479" t="s">
        <v>77</v>
      </c>
      <c r="Q479">
        <v>4309909835185</v>
      </c>
      <c r="R479" t="s">
        <v>8364</v>
      </c>
      <c r="S479">
        <v>1703.92</v>
      </c>
      <c r="T479" t="s">
        <v>80</v>
      </c>
      <c r="U479">
        <f>+IF(Tabla1[[#This Row],[MONEDA]]="PEN",Tabla1[[#This Row],[MONTO]],Tabla1[[#This Row],[MONTO]]*3.56)</f>
        <v>6065.9552000000003</v>
      </c>
      <c r="X479" t="s">
        <v>41</v>
      </c>
      <c r="Y479" t="s">
        <v>42</v>
      </c>
      <c r="Z479" t="s">
        <v>43</v>
      </c>
      <c r="AA479" t="s">
        <v>8365</v>
      </c>
      <c r="AB479" t="s">
        <v>8366</v>
      </c>
      <c r="AC479" t="s">
        <v>8367</v>
      </c>
      <c r="AD479" t="s">
        <v>8368</v>
      </c>
      <c r="AE479">
        <v>1533.53</v>
      </c>
      <c r="AF479" t="s">
        <v>87</v>
      </c>
      <c r="AG479" t="s">
        <v>88</v>
      </c>
    </row>
    <row r="480" spans="1:33" hidden="1" x14ac:dyDescent="0.25">
      <c r="A480">
        <v>22391</v>
      </c>
      <c r="B480" t="s">
        <v>32</v>
      </c>
      <c r="C480">
        <v>1</v>
      </c>
      <c r="D480" t="s">
        <v>11882</v>
      </c>
      <c r="E480" t="s">
        <v>70</v>
      </c>
      <c r="F480" t="s">
        <v>33</v>
      </c>
      <c r="G480" t="s">
        <v>9943</v>
      </c>
      <c r="H480" t="s">
        <v>72</v>
      </c>
      <c r="I480" t="s">
        <v>11883</v>
      </c>
      <c r="J480" t="s">
        <v>11884</v>
      </c>
      <c r="K480" t="s">
        <v>36</v>
      </c>
      <c r="L480" t="s">
        <v>33</v>
      </c>
      <c r="M480">
        <v>20532370702</v>
      </c>
      <c r="N480" t="s">
        <v>1809</v>
      </c>
      <c r="O480" t="s">
        <v>9404</v>
      </c>
      <c r="P480" t="s">
        <v>77</v>
      </c>
      <c r="Q480">
        <v>4309909835185</v>
      </c>
      <c r="R480" t="s">
        <v>11885</v>
      </c>
      <c r="S480">
        <v>2954.72</v>
      </c>
      <c r="T480" t="s">
        <v>80</v>
      </c>
      <c r="U480">
        <f>+IF(Tabla1[[#This Row],[MONEDA]]="PEN",Tabla1[[#This Row],[MONTO]],Tabla1[[#This Row],[MONTO]]*3.56)</f>
        <v>10518.8032</v>
      </c>
      <c r="X480" t="s">
        <v>828</v>
      </c>
      <c r="Y480" t="s">
        <v>51</v>
      </c>
      <c r="Z480" t="s">
        <v>43</v>
      </c>
      <c r="AA480" t="s">
        <v>11886</v>
      </c>
      <c r="AB480" t="s">
        <v>11887</v>
      </c>
      <c r="AC480" t="s">
        <v>11888</v>
      </c>
      <c r="AD480" t="s">
        <v>11889</v>
      </c>
      <c r="AE480">
        <v>2659.25</v>
      </c>
      <c r="AF480" t="s">
        <v>87</v>
      </c>
      <c r="AG480" t="s">
        <v>88</v>
      </c>
    </row>
    <row r="481" spans="1:33" hidden="1" x14ac:dyDescent="0.25">
      <c r="A481">
        <v>22395</v>
      </c>
      <c r="B481" t="s">
        <v>32</v>
      </c>
      <c r="C481">
        <v>1</v>
      </c>
      <c r="D481" t="s">
        <v>11890</v>
      </c>
      <c r="E481" t="s">
        <v>70</v>
      </c>
      <c r="F481" t="s">
        <v>33</v>
      </c>
      <c r="G481" t="s">
        <v>9943</v>
      </c>
      <c r="H481" t="s">
        <v>72</v>
      </c>
      <c r="I481" t="s">
        <v>11883</v>
      </c>
      <c r="J481" t="s">
        <v>11891</v>
      </c>
      <c r="K481" t="s">
        <v>36</v>
      </c>
      <c r="L481" t="s">
        <v>33</v>
      </c>
      <c r="M481">
        <v>20532370702</v>
      </c>
      <c r="N481" t="s">
        <v>1809</v>
      </c>
      <c r="O481" t="s">
        <v>9404</v>
      </c>
      <c r="P481" t="s">
        <v>77</v>
      </c>
      <c r="Q481">
        <v>4309909835185</v>
      </c>
      <c r="R481" t="s">
        <v>11892</v>
      </c>
      <c r="S481">
        <v>2655</v>
      </c>
      <c r="T481" t="s">
        <v>80</v>
      </c>
      <c r="U481">
        <f>+IF(Tabla1[[#This Row],[MONEDA]]="PEN",Tabla1[[#This Row],[MONTO]],Tabla1[[#This Row],[MONTO]]*3.56)</f>
        <v>9451.7999999999993</v>
      </c>
      <c r="X481" t="s">
        <v>41</v>
      </c>
      <c r="Y481" t="s">
        <v>51</v>
      </c>
      <c r="Z481" t="s">
        <v>43</v>
      </c>
      <c r="AA481" t="s">
        <v>11893</v>
      </c>
      <c r="AB481" t="s">
        <v>11894</v>
      </c>
      <c r="AC481" t="s">
        <v>11895</v>
      </c>
      <c r="AD481" t="s">
        <v>11896</v>
      </c>
      <c r="AE481">
        <v>2548.8000000000002</v>
      </c>
      <c r="AF481" t="s">
        <v>87</v>
      </c>
      <c r="AG481" t="s">
        <v>88</v>
      </c>
    </row>
    <row r="482" spans="1:33" x14ac:dyDescent="0.25">
      <c r="A482">
        <v>37215</v>
      </c>
      <c r="B482" t="s">
        <v>32</v>
      </c>
      <c r="C482">
        <v>1</v>
      </c>
      <c r="D482" t="s">
        <v>3210</v>
      </c>
      <c r="E482" t="s">
        <v>45</v>
      </c>
      <c r="F482" t="s">
        <v>90</v>
      </c>
      <c r="G482" t="s">
        <v>91</v>
      </c>
      <c r="H482" t="s">
        <v>35</v>
      </c>
      <c r="I482" t="s">
        <v>3204</v>
      </c>
      <c r="J482" t="s">
        <v>3211</v>
      </c>
      <c r="K482" t="s">
        <v>36</v>
      </c>
      <c r="L482" t="s">
        <v>33</v>
      </c>
      <c r="M482">
        <v>20532370702</v>
      </c>
      <c r="N482" t="s">
        <v>1809</v>
      </c>
      <c r="P482" t="s">
        <v>77</v>
      </c>
      <c r="Q482">
        <v>4309909835185</v>
      </c>
      <c r="R482" t="s">
        <v>1810</v>
      </c>
      <c r="S482">
        <v>2655</v>
      </c>
      <c r="T482" t="s">
        <v>80</v>
      </c>
      <c r="U482">
        <f>+IF(Tabla1[[#This Row],[MONEDA]]="PEN",Tabla1[[#This Row],[MONTO]],Tabla1[[#This Row],[MONTO]]*3.56)</f>
        <v>9451.7999999999993</v>
      </c>
      <c r="X482" t="s">
        <v>41</v>
      </c>
      <c r="Y482" t="s">
        <v>51</v>
      </c>
      <c r="Z482" t="s">
        <v>43</v>
      </c>
      <c r="AB482" t="s">
        <v>3212</v>
      </c>
    </row>
    <row r="483" spans="1:33" hidden="1" x14ac:dyDescent="0.25">
      <c r="A483">
        <v>32050</v>
      </c>
      <c r="B483" t="s">
        <v>32</v>
      </c>
      <c r="C483">
        <v>1</v>
      </c>
      <c r="D483" t="s">
        <v>5536</v>
      </c>
      <c r="E483" t="s">
        <v>70</v>
      </c>
      <c r="F483" t="s">
        <v>33</v>
      </c>
      <c r="G483" t="s">
        <v>71</v>
      </c>
      <c r="H483" t="s">
        <v>72</v>
      </c>
      <c r="I483" t="s">
        <v>5536</v>
      </c>
      <c r="J483" t="s">
        <v>5547</v>
      </c>
      <c r="K483" t="s">
        <v>36</v>
      </c>
      <c r="L483" t="s">
        <v>33</v>
      </c>
      <c r="M483">
        <v>20532505217</v>
      </c>
      <c r="N483" t="s">
        <v>5548</v>
      </c>
      <c r="O483" t="s">
        <v>76</v>
      </c>
      <c r="R483" t="s">
        <v>5549</v>
      </c>
      <c r="S483">
        <v>44</v>
      </c>
      <c r="T483" t="s">
        <v>40</v>
      </c>
      <c r="U483">
        <f>+IF(Tabla1[[#This Row],[MONEDA]]="PEN",Tabla1[[#This Row],[MONTO]],Tabla1[[#This Row],[MONTO]]*3.56)</f>
        <v>44</v>
      </c>
      <c r="V483" t="s">
        <v>190</v>
      </c>
      <c r="W483">
        <v>29730</v>
      </c>
      <c r="X483" t="s">
        <v>81</v>
      </c>
      <c r="Y483" t="s">
        <v>42</v>
      </c>
      <c r="Z483" t="s">
        <v>43</v>
      </c>
      <c r="AA483" t="s">
        <v>5550</v>
      </c>
      <c r="AC483" t="s">
        <v>5551</v>
      </c>
      <c r="AD483" t="s">
        <v>5552</v>
      </c>
    </row>
    <row r="484" spans="1:33" hidden="1" x14ac:dyDescent="0.25">
      <c r="A484">
        <v>45225</v>
      </c>
      <c r="B484" t="s">
        <v>32</v>
      </c>
      <c r="C484">
        <v>2</v>
      </c>
      <c r="D484" t="s">
        <v>290</v>
      </c>
      <c r="E484" t="s">
        <v>70</v>
      </c>
      <c r="F484" t="s">
        <v>33</v>
      </c>
      <c r="G484" t="s">
        <v>71</v>
      </c>
      <c r="H484" t="s">
        <v>35</v>
      </c>
      <c r="I484" t="s">
        <v>275</v>
      </c>
      <c r="J484" t="s">
        <v>291</v>
      </c>
      <c r="K484" t="s">
        <v>36</v>
      </c>
      <c r="L484" t="s">
        <v>33</v>
      </c>
      <c r="M484">
        <v>20600737474</v>
      </c>
      <c r="N484" t="s">
        <v>292</v>
      </c>
      <c r="O484" t="s">
        <v>76</v>
      </c>
      <c r="P484" t="s">
        <v>38</v>
      </c>
      <c r="Q484">
        <v>4302263880007</v>
      </c>
      <c r="R484" t="s">
        <v>293</v>
      </c>
      <c r="S484">
        <v>725</v>
      </c>
      <c r="T484" t="s">
        <v>40</v>
      </c>
      <c r="U484">
        <f>+IF(Tabla1[[#This Row],[MONEDA]]="PEN",Tabla1[[#This Row],[MONTO]],Tabla1[[#This Row],[MONTO]]*3.56)</f>
        <v>725</v>
      </c>
      <c r="X484" t="s">
        <v>81</v>
      </c>
      <c r="Y484" t="s">
        <v>51</v>
      </c>
      <c r="Z484" t="s">
        <v>43</v>
      </c>
      <c r="AA484" t="s">
        <v>294</v>
      </c>
      <c r="AB484" t="s">
        <v>295</v>
      </c>
      <c r="AC484" t="s">
        <v>296</v>
      </c>
      <c r="AE484">
        <v>703.25</v>
      </c>
      <c r="AF484" t="s">
        <v>87</v>
      </c>
      <c r="AG484" t="s">
        <v>169</v>
      </c>
    </row>
    <row r="485" spans="1:33" hidden="1" x14ac:dyDescent="0.25">
      <c r="A485">
        <v>44565</v>
      </c>
      <c r="B485" t="s">
        <v>32</v>
      </c>
      <c r="C485">
        <v>1</v>
      </c>
      <c r="D485" t="s">
        <v>477</v>
      </c>
      <c r="E485" t="s">
        <v>70</v>
      </c>
      <c r="F485" t="s">
        <v>33</v>
      </c>
      <c r="G485" t="s">
        <v>71</v>
      </c>
      <c r="H485" t="s">
        <v>35</v>
      </c>
      <c r="I485" t="s">
        <v>464</v>
      </c>
      <c r="J485" t="s">
        <v>478</v>
      </c>
      <c r="K485" t="s">
        <v>36</v>
      </c>
      <c r="L485" t="s">
        <v>33</v>
      </c>
      <c r="M485">
        <v>20600737474</v>
      </c>
      <c r="N485" t="s">
        <v>292</v>
      </c>
      <c r="O485" t="s">
        <v>76</v>
      </c>
      <c r="P485" t="s">
        <v>38</v>
      </c>
      <c r="Q485">
        <v>4302263880007</v>
      </c>
      <c r="R485" t="s">
        <v>479</v>
      </c>
      <c r="S485">
        <v>1951.6</v>
      </c>
      <c r="T485" t="s">
        <v>40</v>
      </c>
      <c r="U485">
        <f>+IF(Tabla1[[#This Row],[MONEDA]]="PEN",Tabla1[[#This Row],[MONTO]],Tabla1[[#This Row],[MONTO]]*3.56)</f>
        <v>1951.6</v>
      </c>
      <c r="X485" t="s">
        <v>81</v>
      </c>
      <c r="Y485" t="s">
        <v>42</v>
      </c>
      <c r="Z485" t="s">
        <v>82</v>
      </c>
      <c r="AA485" t="s">
        <v>480</v>
      </c>
      <c r="AB485" t="s">
        <v>481</v>
      </c>
      <c r="AC485" t="s">
        <v>482</v>
      </c>
      <c r="AD485" t="s">
        <v>483</v>
      </c>
      <c r="AE485">
        <v>1893.05</v>
      </c>
      <c r="AF485" t="s">
        <v>87</v>
      </c>
      <c r="AG485" t="s">
        <v>169</v>
      </c>
    </row>
    <row r="486" spans="1:33" hidden="1" x14ac:dyDescent="0.25">
      <c r="A486">
        <v>42910</v>
      </c>
      <c r="B486" t="s">
        <v>32</v>
      </c>
      <c r="C486">
        <v>1</v>
      </c>
      <c r="D486" t="s">
        <v>914</v>
      </c>
      <c r="E486" t="s">
        <v>70</v>
      </c>
      <c r="F486" t="s">
        <v>33</v>
      </c>
      <c r="G486" t="s">
        <v>71</v>
      </c>
      <c r="H486" t="s">
        <v>35</v>
      </c>
      <c r="I486" t="s">
        <v>915</v>
      </c>
      <c r="J486" t="s">
        <v>916</v>
      </c>
      <c r="K486" t="s">
        <v>36</v>
      </c>
      <c r="L486" t="s">
        <v>33</v>
      </c>
      <c r="M486">
        <v>20600737474</v>
      </c>
      <c r="N486" t="s">
        <v>292</v>
      </c>
      <c r="O486" t="s">
        <v>76</v>
      </c>
      <c r="P486" t="s">
        <v>38</v>
      </c>
      <c r="Q486">
        <v>4302263880007</v>
      </c>
      <c r="R486" t="s">
        <v>917</v>
      </c>
      <c r="S486">
        <v>1252.5</v>
      </c>
      <c r="T486" t="s">
        <v>40</v>
      </c>
      <c r="U486">
        <f>+IF(Tabla1[[#This Row],[MONEDA]]="PEN",Tabla1[[#This Row],[MONTO]],Tabla1[[#This Row],[MONTO]]*3.56)</f>
        <v>1252.5</v>
      </c>
      <c r="X486" t="s">
        <v>81</v>
      </c>
      <c r="Y486" t="s">
        <v>42</v>
      </c>
      <c r="Z486" t="s">
        <v>82</v>
      </c>
      <c r="AA486" t="s">
        <v>918</v>
      </c>
      <c r="AB486" t="s">
        <v>919</v>
      </c>
      <c r="AC486" t="s">
        <v>920</v>
      </c>
      <c r="AD486" t="s">
        <v>921</v>
      </c>
      <c r="AE486">
        <v>1214.93</v>
      </c>
      <c r="AF486" t="s">
        <v>87</v>
      </c>
      <c r="AG486" t="s">
        <v>169</v>
      </c>
    </row>
    <row r="487" spans="1:33" hidden="1" x14ac:dyDescent="0.25">
      <c r="A487">
        <v>42639</v>
      </c>
      <c r="B487" t="s">
        <v>32</v>
      </c>
      <c r="C487">
        <v>1</v>
      </c>
      <c r="D487" t="s">
        <v>985</v>
      </c>
      <c r="E487" t="s">
        <v>70</v>
      </c>
      <c r="F487" t="s">
        <v>33</v>
      </c>
      <c r="G487" t="s">
        <v>71</v>
      </c>
      <c r="H487" t="s">
        <v>35</v>
      </c>
      <c r="I487" t="s">
        <v>986</v>
      </c>
      <c r="J487" t="s">
        <v>987</v>
      </c>
      <c r="K487" t="s">
        <v>36</v>
      </c>
      <c r="L487" t="s">
        <v>33</v>
      </c>
      <c r="M487">
        <v>20600737474</v>
      </c>
      <c r="N487" t="s">
        <v>292</v>
      </c>
      <c r="O487" t="s">
        <v>76</v>
      </c>
      <c r="P487" t="s">
        <v>38</v>
      </c>
      <c r="Q487">
        <v>4302263880007</v>
      </c>
      <c r="R487" t="s">
        <v>988</v>
      </c>
      <c r="S487">
        <v>1396</v>
      </c>
      <c r="T487" t="s">
        <v>40</v>
      </c>
      <c r="U487">
        <f>+IF(Tabla1[[#This Row],[MONEDA]]="PEN",Tabla1[[#This Row],[MONTO]],Tabla1[[#This Row],[MONTO]]*3.56)</f>
        <v>1396</v>
      </c>
      <c r="X487" t="s">
        <v>81</v>
      </c>
      <c r="Y487" t="s">
        <v>42</v>
      </c>
      <c r="Z487" t="s">
        <v>82</v>
      </c>
      <c r="AA487" t="s">
        <v>989</v>
      </c>
      <c r="AB487" t="s">
        <v>990</v>
      </c>
      <c r="AC487" t="s">
        <v>991</v>
      </c>
      <c r="AD487" t="s">
        <v>992</v>
      </c>
      <c r="AE487">
        <v>1354.12</v>
      </c>
      <c r="AF487" t="s">
        <v>87</v>
      </c>
      <c r="AG487" t="s">
        <v>169</v>
      </c>
    </row>
    <row r="488" spans="1:33" hidden="1" x14ac:dyDescent="0.25">
      <c r="A488">
        <v>42245</v>
      </c>
      <c r="B488" t="s">
        <v>32</v>
      </c>
      <c r="C488">
        <v>1</v>
      </c>
      <c r="D488" t="s">
        <v>1041</v>
      </c>
      <c r="E488" t="s">
        <v>70</v>
      </c>
      <c r="F488" t="s">
        <v>33</v>
      </c>
      <c r="G488" t="s">
        <v>71</v>
      </c>
      <c r="H488" t="s">
        <v>72</v>
      </c>
      <c r="I488" t="s">
        <v>1042</v>
      </c>
      <c r="J488" t="s">
        <v>1043</v>
      </c>
      <c r="K488" t="s">
        <v>36</v>
      </c>
      <c r="L488" t="s">
        <v>33</v>
      </c>
      <c r="M488">
        <v>20600737474</v>
      </c>
      <c r="N488" t="s">
        <v>292</v>
      </c>
      <c r="O488" t="s">
        <v>76</v>
      </c>
      <c r="P488" t="s">
        <v>38</v>
      </c>
      <c r="Q488">
        <v>4302263880007</v>
      </c>
      <c r="R488" t="s">
        <v>1044</v>
      </c>
      <c r="S488">
        <v>4248.5</v>
      </c>
      <c r="T488" t="s">
        <v>40</v>
      </c>
      <c r="U488">
        <f>+IF(Tabla1[[#This Row],[MONEDA]]="PEN",Tabla1[[#This Row],[MONTO]],Tabla1[[#This Row],[MONTO]]*3.56)</f>
        <v>4248.5</v>
      </c>
      <c r="X488" t="s">
        <v>81</v>
      </c>
      <c r="Y488" t="s">
        <v>42</v>
      </c>
      <c r="Z488" t="s">
        <v>82</v>
      </c>
      <c r="AA488" t="s">
        <v>1045</v>
      </c>
      <c r="AB488" t="s">
        <v>1046</v>
      </c>
      <c r="AC488" t="s">
        <v>1047</v>
      </c>
      <c r="AD488" t="s">
        <v>1048</v>
      </c>
      <c r="AE488">
        <v>4121.05</v>
      </c>
      <c r="AF488" t="s">
        <v>87</v>
      </c>
      <c r="AG488" t="s">
        <v>169</v>
      </c>
    </row>
    <row r="489" spans="1:33" hidden="1" x14ac:dyDescent="0.25">
      <c r="A489">
        <v>42521</v>
      </c>
      <c r="B489" t="s">
        <v>32</v>
      </c>
      <c r="C489">
        <v>1</v>
      </c>
      <c r="D489" t="s">
        <v>1056</v>
      </c>
      <c r="E489" t="s">
        <v>70</v>
      </c>
      <c r="F489" t="s">
        <v>33</v>
      </c>
      <c r="G489" t="s">
        <v>71</v>
      </c>
      <c r="H489" t="s">
        <v>72</v>
      </c>
      <c r="I489" t="s">
        <v>1042</v>
      </c>
      <c r="J489" t="s">
        <v>1057</v>
      </c>
      <c r="K489" t="s">
        <v>36</v>
      </c>
      <c r="L489" t="s">
        <v>33</v>
      </c>
      <c r="M489">
        <v>20600737474</v>
      </c>
      <c r="N489" t="s">
        <v>292</v>
      </c>
      <c r="O489" t="s">
        <v>76</v>
      </c>
      <c r="P489" t="s">
        <v>38</v>
      </c>
      <c r="Q489">
        <v>4302263880007</v>
      </c>
      <c r="R489" t="s">
        <v>1058</v>
      </c>
      <c r="S489">
        <v>2831.2</v>
      </c>
      <c r="T489" t="s">
        <v>40</v>
      </c>
      <c r="U489">
        <f>+IF(Tabla1[[#This Row],[MONEDA]]="PEN",Tabla1[[#This Row],[MONTO]],Tabla1[[#This Row],[MONTO]]*3.56)</f>
        <v>2831.2</v>
      </c>
      <c r="X489" t="s">
        <v>81</v>
      </c>
      <c r="Y489" t="s">
        <v>42</v>
      </c>
      <c r="Z489" t="s">
        <v>82</v>
      </c>
      <c r="AA489" t="s">
        <v>1059</v>
      </c>
      <c r="AB489" t="s">
        <v>1060</v>
      </c>
      <c r="AC489" t="s">
        <v>1061</v>
      </c>
      <c r="AD489" t="s">
        <v>1062</v>
      </c>
      <c r="AE489">
        <v>2746.26</v>
      </c>
      <c r="AF489" t="s">
        <v>87</v>
      </c>
      <c r="AG489" t="s">
        <v>169</v>
      </c>
    </row>
    <row r="490" spans="1:33" hidden="1" x14ac:dyDescent="0.25">
      <c r="A490">
        <v>41721</v>
      </c>
      <c r="B490" t="s">
        <v>32</v>
      </c>
      <c r="C490">
        <v>1</v>
      </c>
      <c r="D490" t="s">
        <v>1305</v>
      </c>
      <c r="E490" t="s">
        <v>70</v>
      </c>
      <c r="F490" t="s">
        <v>33</v>
      </c>
      <c r="G490" t="s">
        <v>71</v>
      </c>
      <c r="H490" t="s">
        <v>72</v>
      </c>
      <c r="I490" t="s">
        <v>1306</v>
      </c>
      <c r="J490" t="s">
        <v>1307</v>
      </c>
      <c r="K490" t="s">
        <v>36</v>
      </c>
      <c r="L490" t="s">
        <v>33</v>
      </c>
      <c r="M490">
        <v>20600737474</v>
      </c>
      <c r="N490" t="s">
        <v>292</v>
      </c>
      <c r="O490" t="s">
        <v>76</v>
      </c>
      <c r="P490" t="s">
        <v>38</v>
      </c>
      <c r="Q490">
        <v>4302263880007</v>
      </c>
      <c r="R490" t="s">
        <v>1308</v>
      </c>
      <c r="S490">
        <v>2261</v>
      </c>
      <c r="T490" t="s">
        <v>40</v>
      </c>
      <c r="U490">
        <f>+IF(Tabla1[[#This Row],[MONEDA]]="PEN",Tabla1[[#This Row],[MONTO]],Tabla1[[#This Row],[MONTO]]*3.56)</f>
        <v>2261</v>
      </c>
      <c r="X490" t="s">
        <v>81</v>
      </c>
      <c r="Y490" t="s">
        <v>42</v>
      </c>
      <c r="Z490" t="s">
        <v>82</v>
      </c>
      <c r="AA490" t="s">
        <v>1309</v>
      </c>
      <c r="AB490" t="s">
        <v>1310</v>
      </c>
      <c r="AC490" t="s">
        <v>1311</v>
      </c>
      <c r="AD490" t="s">
        <v>1312</v>
      </c>
      <c r="AE490">
        <v>2193.17</v>
      </c>
      <c r="AF490" t="s">
        <v>87</v>
      </c>
      <c r="AG490" t="s">
        <v>169</v>
      </c>
    </row>
    <row r="491" spans="1:33" hidden="1" x14ac:dyDescent="0.25">
      <c r="A491">
        <v>41519</v>
      </c>
      <c r="B491" t="s">
        <v>32</v>
      </c>
      <c r="C491">
        <v>1</v>
      </c>
      <c r="D491" t="s">
        <v>1364</v>
      </c>
      <c r="E491" t="s">
        <v>70</v>
      </c>
      <c r="F491" t="s">
        <v>33</v>
      </c>
      <c r="G491" t="s">
        <v>71</v>
      </c>
      <c r="H491" t="s">
        <v>35</v>
      </c>
      <c r="I491" t="s">
        <v>1365</v>
      </c>
      <c r="J491" t="s">
        <v>1366</v>
      </c>
      <c r="K491" t="s">
        <v>36</v>
      </c>
      <c r="L491" t="s">
        <v>33</v>
      </c>
      <c r="M491">
        <v>20600737474</v>
      </c>
      <c r="N491" t="s">
        <v>292</v>
      </c>
      <c r="O491" t="s">
        <v>76</v>
      </c>
      <c r="P491" t="s">
        <v>38</v>
      </c>
      <c r="Q491">
        <v>4302263880007</v>
      </c>
      <c r="R491" t="s">
        <v>1367</v>
      </c>
      <c r="S491">
        <v>1682.5</v>
      </c>
      <c r="T491" t="s">
        <v>40</v>
      </c>
      <c r="U491">
        <f>+IF(Tabla1[[#This Row],[MONEDA]]="PEN",Tabla1[[#This Row],[MONTO]],Tabla1[[#This Row],[MONTO]]*3.56)</f>
        <v>1682.5</v>
      </c>
      <c r="X491" t="s">
        <v>81</v>
      </c>
      <c r="Y491" t="s">
        <v>42</v>
      </c>
      <c r="Z491" t="s">
        <v>82</v>
      </c>
      <c r="AA491" t="s">
        <v>1368</v>
      </c>
      <c r="AB491" t="s">
        <v>1369</v>
      </c>
      <c r="AC491" t="s">
        <v>1370</v>
      </c>
      <c r="AD491" t="s">
        <v>1371</v>
      </c>
      <c r="AE491">
        <v>1632.03</v>
      </c>
      <c r="AF491" t="s">
        <v>87</v>
      </c>
      <c r="AG491" t="s">
        <v>169</v>
      </c>
    </row>
    <row r="492" spans="1:33" hidden="1" x14ac:dyDescent="0.25">
      <c r="A492">
        <v>40841</v>
      </c>
      <c r="B492" t="s">
        <v>32</v>
      </c>
      <c r="C492">
        <v>1</v>
      </c>
      <c r="D492" t="s">
        <v>1854</v>
      </c>
      <c r="E492" t="s">
        <v>70</v>
      </c>
      <c r="F492" t="s">
        <v>33</v>
      </c>
      <c r="G492" t="s">
        <v>71</v>
      </c>
      <c r="H492" t="s">
        <v>35</v>
      </c>
      <c r="I492" t="s">
        <v>1847</v>
      </c>
      <c r="J492" t="s">
        <v>1855</v>
      </c>
      <c r="K492" t="s">
        <v>36</v>
      </c>
      <c r="L492" t="s">
        <v>33</v>
      </c>
      <c r="M492">
        <v>20600737474</v>
      </c>
      <c r="N492" t="s">
        <v>292</v>
      </c>
      <c r="O492" t="s">
        <v>76</v>
      </c>
      <c r="P492" t="s">
        <v>38</v>
      </c>
      <c r="Q492">
        <v>4302263880007</v>
      </c>
      <c r="R492" t="s">
        <v>1856</v>
      </c>
      <c r="S492">
        <v>2567</v>
      </c>
      <c r="T492" t="s">
        <v>40</v>
      </c>
      <c r="U492">
        <f>+IF(Tabla1[[#This Row],[MONEDA]]="PEN",Tabla1[[#This Row],[MONTO]],Tabla1[[#This Row],[MONTO]]*3.56)</f>
        <v>2567</v>
      </c>
      <c r="X492" t="s">
        <v>41</v>
      </c>
      <c r="Y492" t="s">
        <v>42</v>
      </c>
      <c r="Z492" t="s">
        <v>82</v>
      </c>
      <c r="AA492" t="s">
        <v>1857</v>
      </c>
      <c r="AB492" t="s">
        <v>1858</v>
      </c>
      <c r="AC492" t="s">
        <v>1859</v>
      </c>
      <c r="AD492" t="s">
        <v>1860</v>
      </c>
      <c r="AE492">
        <v>2489.9899999999998</v>
      </c>
      <c r="AF492" t="s">
        <v>87</v>
      </c>
      <c r="AG492" t="s">
        <v>169</v>
      </c>
    </row>
    <row r="493" spans="1:33" hidden="1" x14ac:dyDescent="0.25">
      <c r="A493">
        <v>40445</v>
      </c>
      <c r="B493" t="s">
        <v>32</v>
      </c>
      <c r="C493">
        <v>1</v>
      </c>
      <c r="D493" t="s">
        <v>2093</v>
      </c>
      <c r="E493" t="s">
        <v>70</v>
      </c>
      <c r="F493" t="s">
        <v>33</v>
      </c>
      <c r="G493" t="s">
        <v>71</v>
      </c>
      <c r="H493" t="s">
        <v>35</v>
      </c>
      <c r="I493" t="s">
        <v>2086</v>
      </c>
      <c r="J493" t="s">
        <v>2094</v>
      </c>
      <c r="K493" t="s">
        <v>36</v>
      </c>
      <c r="L493" t="s">
        <v>33</v>
      </c>
      <c r="M493">
        <v>20600737474</v>
      </c>
      <c r="N493" t="s">
        <v>292</v>
      </c>
      <c r="O493" t="s">
        <v>76</v>
      </c>
      <c r="P493" t="s">
        <v>38</v>
      </c>
      <c r="Q493">
        <v>4302263880007</v>
      </c>
      <c r="R493" t="s">
        <v>2095</v>
      </c>
      <c r="S493">
        <v>2984</v>
      </c>
      <c r="T493" t="s">
        <v>40</v>
      </c>
      <c r="U493">
        <f>+IF(Tabla1[[#This Row],[MONEDA]]="PEN",Tabla1[[#This Row],[MONTO]],Tabla1[[#This Row],[MONTO]]*3.56)</f>
        <v>2984</v>
      </c>
      <c r="X493" t="s">
        <v>81</v>
      </c>
      <c r="Y493" t="s">
        <v>42</v>
      </c>
      <c r="Z493" t="s">
        <v>82</v>
      </c>
      <c r="AA493" t="s">
        <v>2096</v>
      </c>
      <c r="AB493" t="s">
        <v>2097</v>
      </c>
      <c r="AC493" t="s">
        <v>2098</v>
      </c>
      <c r="AD493" t="s">
        <v>2099</v>
      </c>
      <c r="AE493">
        <v>2894.48</v>
      </c>
      <c r="AF493" t="s">
        <v>87</v>
      </c>
      <c r="AG493" t="s">
        <v>169</v>
      </c>
    </row>
    <row r="494" spans="1:33" hidden="1" x14ac:dyDescent="0.25">
      <c r="A494">
        <v>39445</v>
      </c>
      <c r="B494" t="s">
        <v>32</v>
      </c>
      <c r="C494">
        <v>1</v>
      </c>
      <c r="D494" t="s">
        <v>2262</v>
      </c>
      <c r="E494" t="s">
        <v>70</v>
      </c>
      <c r="F494" t="s">
        <v>33</v>
      </c>
      <c r="G494" t="s">
        <v>71</v>
      </c>
      <c r="H494" t="s">
        <v>35</v>
      </c>
      <c r="I494" t="s">
        <v>2263</v>
      </c>
      <c r="J494" t="s">
        <v>2264</v>
      </c>
      <c r="K494" t="s">
        <v>36</v>
      </c>
      <c r="L494" t="s">
        <v>33</v>
      </c>
      <c r="M494">
        <v>20600737474</v>
      </c>
      <c r="N494" t="s">
        <v>292</v>
      </c>
      <c r="O494" t="s">
        <v>76</v>
      </c>
      <c r="P494" t="s">
        <v>38</v>
      </c>
      <c r="Q494">
        <v>4302263880007</v>
      </c>
      <c r="R494" t="s">
        <v>2265</v>
      </c>
      <c r="S494">
        <v>3380</v>
      </c>
      <c r="T494" t="s">
        <v>40</v>
      </c>
      <c r="U494">
        <f>+IF(Tabla1[[#This Row],[MONEDA]]="PEN",Tabla1[[#This Row],[MONTO]],Tabla1[[#This Row],[MONTO]]*3.56)</f>
        <v>3380</v>
      </c>
      <c r="X494" t="s">
        <v>81</v>
      </c>
      <c r="Y494" t="s">
        <v>42</v>
      </c>
      <c r="Z494" t="s">
        <v>82</v>
      </c>
      <c r="AA494" t="s">
        <v>2266</v>
      </c>
      <c r="AB494" t="s">
        <v>2267</v>
      </c>
      <c r="AC494" t="s">
        <v>2268</v>
      </c>
      <c r="AD494" t="s">
        <v>2269</v>
      </c>
      <c r="AE494">
        <v>3278.6</v>
      </c>
      <c r="AG494" t="s">
        <v>169</v>
      </c>
    </row>
    <row r="495" spans="1:33" hidden="1" x14ac:dyDescent="0.25">
      <c r="A495">
        <v>39261</v>
      </c>
      <c r="B495" t="s">
        <v>32</v>
      </c>
      <c r="C495">
        <v>1</v>
      </c>
      <c r="D495" t="s">
        <v>2479</v>
      </c>
      <c r="E495" t="s">
        <v>70</v>
      </c>
      <c r="F495" t="s">
        <v>33</v>
      </c>
      <c r="G495" t="s">
        <v>71</v>
      </c>
      <c r="H495" t="s">
        <v>35</v>
      </c>
      <c r="I495" t="s">
        <v>2458</v>
      </c>
      <c r="J495" t="s">
        <v>2480</v>
      </c>
      <c r="K495" t="s">
        <v>36</v>
      </c>
      <c r="L495" t="s">
        <v>33</v>
      </c>
      <c r="M495">
        <v>20600737474</v>
      </c>
      <c r="N495" t="s">
        <v>292</v>
      </c>
      <c r="O495" t="s">
        <v>76</v>
      </c>
      <c r="P495" t="s">
        <v>38</v>
      </c>
      <c r="Q495">
        <v>4302263880007</v>
      </c>
      <c r="R495" t="s">
        <v>2481</v>
      </c>
      <c r="S495">
        <v>3085</v>
      </c>
      <c r="T495" t="s">
        <v>40</v>
      </c>
      <c r="U495">
        <f>+IF(Tabla1[[#This Row],[MONEDA]]="PEN",Tabla1[[#This Row],[MONTO]],Tabla1[[#This Row],[MONTO]]*3.56)</f>
        <v>3085</v>
      </c>
      <c r="X495" t="s">
        <v>81</v>
      </c>
      <c r="Y495" t="s">
        <v>42</v>
      </c>
      <c r="Z495" t="s">
        <v>82</v>
      </c>
      <c r="AA495" t="s">
        <v>2482</v>
      </c>
      <c r="AB495" t="s">
        <v>2483</v>
      </c>
      <c r="AC495" t="s">
        <v>2484</v>
      </c>
      <c r="AD495" t="s">
        <v>2485</v>
      </c>
      <c r="AE495">
        <v>2992.45</v>
      </c>
      <c r="AF495" t="s">
        <v>87</v>
      </c>
      <c r="AG495" t="s">
        <v>169</v>
      </c>
    </row>
    <row r="496" spans="1:33" hidden="1" x14ac:dyDescent="0.25">
      <c r="A496">
        <v>36366</v>
      </c>
      <c r="B496" t="s">
        <v>32</v>
      </c>
      <c r="C496">
        <v>2</v>
      </c>
      <c r="D496" t="s">
        <v>3672</v>
      </c>
      <c r="E496" t="s">
        <v>70</v>
      </c>
      <c r="F496" t="s">
        <v>33</v>
      </c>
      <c r="G496" t="s">
        <v>71</v>
      </c>
      <c r="H496" t="s">
        <v>72</v>
      </c>
      <c r="I496" t="s">
        <v>3660</v>
      </c>
      <c r="J496" t="s">
        <v>3673</v>
      </c>
      <c r="K496" t="s">
        <v>36</v>
      </c>
      <c r="L496" t="s">
        <v>33</v>
      </c>
      <c r="M496">
        <v>20600737474</v>
      </c>
      <c r="N496" t="s">
        <v>292</v>
      </c>
      <c r="P496" t="s">
        <v>38</v>
      </c>
      <c r="Q496">
        <v>4302263880007</v>
      </c>
      <c r="R496" t="s">
        <v>3674</v>
      </c>
      <c r="S496">
        <v>3172.5</v>
      </c>
      <c r="T496" t="s">
        <v>40</v>
      </c>
      <c r="U496">
        <f>+IF(Tabla1[[#This Row],[MONEDA]]="PEN",Tabla1[[#This Row],[MONTO]],Tabla1[[#This Row],[MONTO]]*3.56)</f>
        <v>3172.5</v>
      </c>
      <c r="X496" t="s">
        <v>81</v>
      </c>
      <c r="Y496" t="s">
        <v>42</v>
      </c>
      <c r="Z496" t="s">
        <v>82</v>
      </c>
      <c r="AA496" t="s">
        <v>3675</v>
      </c>
      <c r="AB496" t="s">
        <v>3676</v>
      </c>
      <c r="AC496" t="s">
        <v>3677</v>
      </c>
      <c r="AD496" t="s">
        <v>3678</v>
      </c>
      <c r="AE496">
        <v>3077.33</v>
      </c>
      <c r="AF496" t="s">
        <v>87</v>
      </c>
      <c r="AG496" t="s">
        <v>169</v>
      </c>
    </row>
    <row r="497" spans="1:33" hidden="1" x14ac:dyDescent="0.25">
      <c r="A497">
        <v>34725</v>
      </c>
      <c r="B497" t="s">
        <v>32</v>
      </c>
      <c r="C497">
        <v>2</v>
      </c>
      <c r="D497" t="s">
        <v>4229</v>
      </c>
      <c r="E497" t="s">
        <v>70</v>
      </c>
      <c r="F497" t="s">
        <v>33</v>
      </c>
      <c r="G497" t="s">
        <v>71</v>
      </c>
      <c r="H497" t="s">
        <v>72</v>
      </c>
      <c r="I497" t="s">
        <v>4222</v>
      </c>
      <c r="J497" t="s">
        <v>4230</v>
      </c>
      <c r="K497" t="s">
        <v>36</v>
      </c>
      <c r="L497" t="s">
        <v>33</v>
      </c>
      <c r="M497">
        <v>20600737474</v>
      </c>
      <c r="N497" t="s">
        <v>292</v>
      </c>
      <c r="O497" t="s">
        <v>76</v>
      </c>
      <c r="P497" t="s">
        <v>38</v>
      </c>
      <c r="Q497">
        <v>4302263880007</v>
      </c>
      <c r="R497" t="s">
        <v>4231</v>
      </c>
      <c r="S497">
        <v>3718</v>
      </c>
      <c r="T497" t="s">
        <v>40</v>
      </c>
      <c r="U497">
        <f>+IF(Tabla1[[#This Row],[MONEDA]]="PEN",Tabla1[[#This Row],[MONTO]],Tabla1[[#This Row],[MONTO]]*3.56)</f>
        <v>3718</v>
      </c>
      <c r="X497" t="s">
        <v>81</v>
      </c>
      <c r="Y497" t="s">
        <v>42</v>
      </c>
      <c r="Z497" t="s">
        <v>43</v>
      </c>
      <c r="AA497" t="s">
        <v>4225</v>
      </c>
      <c r="AB497" t="s">
        <v>4232</v>
      </c>
      <c r="AC497" t="s">
        <v>4233</v>
      </c>
      <c r="AD497" t="s">
        <v>4234</v>
      </c>
      <c r="AE497">
        <v>3606.46</v>
      </c>
      <c r="AF497" t="s">
        <v>87</v>
      </c>
      <c r="AG497" t="s">
        <v>169</v>
      </c>
    </row>
    <row r="498" spans="1:33" hidden="1" x14ac:dyDescent="0.25">
      <c r="A498">
        <v>33708</v>
      </c>
      <c r="B498" t="s">
        <v>32</v>
      </c>
      <c r="C498">
        <v>1</v>
      </c>
      <c r="D498" t="s">
        <v>4795</v>
      </c>
      <c r="E498" t="s">
        <v>70</v>
      </c>
      <c r="F498" t="s">
        <v>33</v>
      </c>
      <c r="G498" t="s">
        <v>71</v>
      </c>
      <c r="H498" t="s">
        <v>72</v>
      </c>
      <c r="I498" t="s">
        <v>4781</v>
      </c>
      <c r="J498" t="s">
        <v>4796</v>
      </c>
      <c r="K498" t="s">
        <v>36</v>
      </c>
      <c r="L498" t="s">
        <v>33</v>
      </c>
      <c r="M498">
        <v>20600737474</v>
      </c>
      <c r="N498" t="s">
        <v>292</v>
      </c>
      <c r="O498" t="s">
        <v>76</v>
      </c>
      <c r="P498" t="s">
        <v>38</v>
      </c>
      <c r="Q498">
        <v>4302263880007</v>
      </c>
      <c r="R498" t="s">
        <v>4797</v>
      </c>
      <c r="S498">
        <v>2381.3000000000002</v>
      </c>
      <c r="T498" t="s">
        <v>40</v>
      </c>
      <c r="U498">
        <f>+IF(Tabla1[[#This Row],[MONEDA]]="PEN",Tabla1[[#This Row],[MONTO]],Tabla1[[#This Row],[MONTO]]*3.56)</f>
        <v>2381.3000000000002</v>
      </c>
      <c r="X498" t="s">
        <v>81</v>
      </c>
      <c r="Y498" t="s">
        <v>42</v>
      </c>
      <c r="Z498" t="s">
        <v>43</v>
      </c>
      <c r="AA498" t="s">
        <v>4225</v>
      </c>
      <c r="AB498" t="s">
        <v>4798</v>
      </c>
      <c r="AC498" t="s">
        <v>4799</v>
      </c>
      <c r="AD498" t="s">
        <v>4800</v>
      </c>
      <c r="AE498">
        <v>2309.86</v>
      </c>
      <c r="AF498" t="s">
        <v>87</v>
      </c>
      <c r="AG498" t="s">
        <v>169</v>
      </c>
    </row>
    <row r="499" spans="1:33" hidden="1" x14ac:dyDescent="0.25">
      <c r="A499">
        <v>33709</v>
      </c>
      <c r="B499" t="s">
        <v>32</v>
      </c>
      <c r="C499">
        <v>1</v>
      </c>
      <c r="D499" t="s">
        <v>4835</v>
      </c>
      <c r="E499" t="s">
        <v>70</v>
      </c>
      <c r="F499" t="s">
        <v>33</v>
      </c>
      <c r="G499" t="s">
        <v>71</v>
      </c>
      <c r="H499" t="s">
        <v>35</v>
      </c>
      <c r="I499" t="s">
        <v>4828</v>
      </c>
      <c r="J499" t="s">
        <v>4836</v>
      </c>
      <c r="K499" t="s">
        <v>36</v>
      </c>
      <c r="L499" t="s">
        <v>33</v>
      </c>
      <c r="M499">
        <v>20600737474</v>
      </c>
      <c r="N499" t="s">
        <v>292</v>
      </c>
      <c r="O499" t="s">
        <v>76</v>
      </c>
      <c r="P499" t="s">
        <v>38</v>
      </c>
      <c r="Q499">
        <v>4302263880007</v>
      </c>
      <c r="R499" t="s">
        <v>4837</v>
      </c>
      <c r="S499">
        <v>1736</v>
      </c>
      <c r="T499" t="s">
        <v>40</v>
      </c>
      <c r="U499">
        <f>+IF(Tabla1[[#This Row],[MONEDA]]="PEN",Tabla1[[#This Row],[MONTO]],Tabla1[[#This Row],[MONTO]]*3.56)</f>
        <v>1736</v>
      </c>
      <c r="X499" t="s">
        <v>81</v>
      </c>
      <c r="Y499" t="s">
        <v>42</v>
      </c>
      <c r="Z499" t="s">
        <v>43</v>
      </c>
      <c r="AA499" t="s">
        <v>4838</v>
      </c>
      <c r="AB499" t="s">
        <v>4839</v>
      </c>
      <c r="AC499" t="s">
        <v>4840</v>
      </c>
      <c r="AD499" t="s">
        <v>4841</v>
      </c>
      <c r="AE499">
        <v>1683.92</v>
      </c>
      <c r="AF499" t="s">
        <v>87</v>
      </c>
      <c r="AG499" t="s">
        <v>169</v>
      </c>
    </row>
    <row r="500" spans="1:33" hidden="1" x14ac:dyDescent="0.25">
      <c r="A500">
        <v>32743</v>
      </c>
      <c r="B500" t="s">
        <v>32</v>
      </c>
      <c r="C500">
        <v>1</v>
      </c>
      <c r="D500" t="s">
        <v>5312</v>
      </c>
      <c r="E500" t="s">
        <v>70</v>
      </c>
      <c r="F500" t="s">
        <v>33</v>
      </c>
      <c r="G500" t="s">
        <v>71</v>
      </c>
      <c r="H500" t="s">
        <v>35</v>
      </c>
      <c r="I500" t="s">
        <v>5312</v>
      </c>
      <c r="J500" t="s">
        <v>5313</v>
      </c>
      <c r="K500" t="s">
        <v>36</v>
      </c>
      <c r="L500" t="s">
        <v>33</v>
      </c>
      <c r="M500">
        <v>20600737474</v>
      </c>
      <c r="N500" t="s">
        <v>292</v>
      </c>
      <c r="O500" t="s">
        <v>76</v>
      </c>
      <c r="R500" t="s">
        <v>5314</v>
      </c>
      <c r="S500">
        <v>15</v>
      </c>
      <c r="T500" t="s">
        <v>40</v>
      </c>
      <c r="U500">
        <f>+IF(Tabla1[[#This Row],[MONEDA]]="PEN",Tabla1[[#This Row],[MONTO]],Tabla1[[#This Row],[MONTO]]*3.56)</f>
        <v>15</v>
      </c>
      <c r="V500" t="s">
        <v>190</v>
      </c>
      <c r="W500">
        <v>32138</v>
      </c>
      <c r="X500" t="s">
        <v>81</v>
      </c>
      <c r="Y500" t="s">
        <v>42</v>
      </c>
      <c r="Z500" t="s">
        <v>43</v>
      </c>
      <c r="AA500" t="s">
        <v>5315</v>
      </c>
      <c r="AC500" t="s">
        <v>5316</v>
      </c>
      <c r="AD500" t="s">
        <v>5317</v>
      </c>
    </row>
    <row r="501" spans="1:33" hidden="1" x14ac:dyDescent="0.25">
      <c r="A501">
        <v>32137</v>
      </c>
      <c r="B501" t="s">
        <v>32</v>
      </c>
      <c r="C501">
        <v>1</v>
      </c>
      <c r="D501" t="s">
        <v>5352</v>
      </c>
      <c r="E501" t="s">
        <v>70</v>
      </c>
      <c r="F501" t="s">
        <v>33</v>
      </c>
      <c r="G501" t="s">
        <v>71</v>
      </c>
      <c r="H501" t="s">
        <v>72</v>
      </c>
      <c r="I501" t="s">
        <v>5338</v>
      </c>
      <c r="J501" t="s">
        <v>5353</v>
      </c>
      <c r="K501" t="s">
        <v>36</v>
      </c>
      <c r="L501" t="s">
        <v>33</v>
      </c>
      <c r="M501">
        <v>20600737474</v>
      </c>
      <c r="N501" t="s">
        <v>292</v>
      </c>
      <c r="O501" t="s">
        <v>76</v>
      </c>
      <c r="P501" t="s">
        <v>38</v>
      </c>
      <c r="Q501">
        <v>4302263880007</v>
      </c>
      <c r="R501" t="s">
        <v>5354</v>
      </c>
      <c r="S501">
        <v>2935.5</v>
      </c>
      <c r="T501" t="s">
        <v>40</v>
      </c>
      <c r="U501">
        <f>+IF(Tabla1[[#This Row],[MONEDA]]="PEN",Tabla1[[#This Row],[MONTO]],Tabla1[[#This Row],[MONTO]]*3.56)</f>
        <v>2935.5</v>
      </c>
      <c r="X501" t="s">
        <v>81</v>
      </c>
      <c r="Y501" t="s">
        <v>42</v>
      </c>
      <c r="Z501" t="s">
        <v>82</v>
      </c>
      <c r="AA501" t="s">
        <v>5355</v>
      </c>
      <c r="AB501" t="s">
        <v>5356</v>
      </c>
      <c r="AC501" t="s">
        <v>5357</v>
      </c>
      <c r="AD501" t="s">
        <v>5358</v>
      </c>
      <c r="AE501">
        <v>2847.44</v>
      </c>
      <c r="AF501" t="s">
        <v>87</v>
      </c>
      <c r="AG501" t="s">
        <v>169</v>
      </c>
    </row>
    <row r="502" spans="1:33" hidden="1" x14ac:dyDescent="0.25">
      <c r="A502">
        <v>32124</v>
      </c>
      <c r="B502" t="s">
        <v>32</v>
      </c>
      <c r="C502">
        <v>1</v>
      </c>
      <c r="D502" t="s">
        <v>5396</v>
      </c>
      <c r="E502" t="s">
        <v>70</v>
      </c>
      <c r="F502" t="s">
        <v>33</v>
      </c>
      <c r="G502" t="s">
        <v>71</v>
      </c>
      <c r="H502" t="s">
        <v>35</v>
      </c>
      <c r="I502" t="s">
        <v>5391</v>
      </c>
      <c r="J502" t="s">
        <v>5397</v>
      </c>
      <c r="K502" t="s">
        <v>36</v>
      </c>
      <c r="L502" t="s">
        <v>33</v>
      </c>
      <c r="M502">
        <v>20600737474</v>
      </c>
      <c r="N502" t="s">
        <v>292</v>
      </c>
      <c r="P502" t="s">
        <v>38</v>
      </c>
      <c r="Q502">
        <v>4302263880007</v>
      </c>
      <c r="R502" t="s">
        <v>5398</v>
      </c>
      <c r="S502">
        <v>1140</v>
      </c>
      <c r="T502" t="s">
        <v>40</v>
      </c>
      <c r="U502">
        <f>+IF(Tabla1[[#This Row],[MONEDA]]="PEN",Tabla1[[#This Row],[MONTO]],Tabla1[[#This Row],[MONTO]]*3.56)</f>
        <v>1140</v>
      </c>
      <c r="X502" t="s">
        <v>81</v>
      </c>
      <c r="Y502" t="s">
        <v>42</v>
      </c>
      <c r="Z502" t="s">
        <v>82</v>
      </c>
      <c r="AA502" t="s">
        <v>5399</v>
      </c>
      <c r="AB502" t="s">
        <v>5400</v>
      </c>
      <c r="AC502" t="s">
        <v>5401</v>
      </c>
      <c r="AD502" t="s">
        <v>5402</v>
      </c>
      <c r="AE502">
        <v>1105.8</v>
      </c>
      <c r="AF502" t="s">
        <v>87</v>
      </c>
      <c r="AG502" t="s">
        <v>169</v>
      </c>
    </row>
    <row r="503" spans="1:33" hidden="1" x14ac:dyDescent="0.25">
      <c r="A503">
        <v>31478</v>
      </c>
      <c r="B503" t="s">
        <v>32</v>
      </c>
      <c r="C503">
        <v>1</v>
      </c>
      <c r="D503" t="s">
        <v>5808</v>
      </c>
      <c r="E503" t="s">
        <v>70</v>
      </c>
      <c r="F503" t="s">
        <v>33</v>
      </c>
      <c r="G503" t="s">
        <v>71</v>
      </c>
      <c r="H503" t="s">
        <v>35</v>
      </c>
      <c r="I503" t="s">
        <v>5809</v>
      </c>
      <c r="J503" t="s">
        <v>5810</v>
      </c>
      <c r="K503" t="s">
        <v>36</v>
      </c>
      <c r="L503" t="s">
        <v>33</v>
      </c>
      <c r="M503">
        <v>20600737474</v>
      </c>
      <c r="N503" t="s">
        <v>292</v>
      </c>
      <c r="O503" t="s">
        <v>76</v>
      </c>
      <c r="P503" t="s">
        <v>38</v>
      </c>
      <c r="Q503">
        <v>4302263880007</v>
      </c>
      <c r="R503" t="s">
        <v>5811</v>
      </c>
      <c r="S503">
        <v>1810.5</v>
      </c>
      <c r="T503" t="s">
        <v>40</v>
      </c>
      <c r="U503">
        <f>+IF(Tabla1[[#This Row],[MONEDA]]="PEN",Tabla1[[#This Row],[MONTO]],Tabla1[[#This Row],[MONTO]]*3.56)</f>
        <v>1810.5</v>
      </c>
      <c r="X503" t="s">
        <v>81</v>
      </c>
      <c r="Y503" t="s">
        <v>42</v>
      </c>
      <c r="Z503" t="s">
        <v>43</v>
      </c>
      <c r="AA503" t="s">
        <v>5812</v>
      </c>
      <c r="AB503" t="s">
        <v>5813</v>
      </c>
      <c r="AC503" t="s">
        <v>5814</v>
      </c>
      <c r="AD503" t="s">
        <v>5815</v>
      </c>
      <c r="AE503">
        <v>1756.19</v>
      </c>
      <c r="AF503" t="s">
        <v>87</v>
      </c>
      <c r="AG503" t="s">
        <v>169</v>
      </c>
    </row>
    <row r="504" spans="1:33" hidden="1" x14ac:dyDescent="0.25">
      <c r="A504">
        <v>30729</v>
      </c>
      <c r="B504" t="s">
        <v>32</v>
      </c>
      <c r="C504">
        <v>1</v>
      </c>
      <c r="D504" t="s">
        <v>6160</v>
      </c>
      <c r="E504" t="s">
        <v>70</v>
      </c>
      <c r="F504" t="s">
        <v>33</v>
      </c>
      <c r="G504" t="s">
        <v>71</v>
      </c>
      <c r="H504" t="s">
        <v>72</v>
      </c>
      <c r="I504" t="s">
        <v>6161</v>
      </c>
      <c r="J504" t="s">
        <v>6162</v>
      </c>
      <c r="K504" t="s">
        <v>36</v>
      </c>
      <c r="L504" t="s">
        <v>33</v>
      </c>
      <c r="M504">
        <v>20600737474</v>
      </c>
      <c r="N504" t="s">
        <v>292</v>
      </c>
      <c r="O504" t="s">
        <v>76</v>
      </c>
      <c r="P504" t="s">
        <v>38</v>
      </c>
      <c r="Q504">
        <v>4302263880007</v>
      </c>
      <c r="R504" t="s">
        <v>6163</v>
      </c>
      <c r="S504">
        <v>2868</v>
      </c>
      <c r="T504" t="s">
        <v>40</v>
      </c>
      <c r="U504">
        <f>+IF(Tabla1[[#This Row],[MONEDA]]="PEN",Tabla1[[#This Row],[MONTO]],Tabla1[[#This Row],[MONTO]]*3.56)</f>
        <v>2868</v>
      </c>
      <c r="X504" t="s">
        <v>81</v>
      </c>
      <c r="Y504" t="s">
        <v>42</v>
      </c>
      <c r="Z504" t="s">
        <v>43</v>
      </c>
      <c r="AA504" t="s">
        <v>6164</v>
      </c>
      <c r="AB504" t="s">
        <v>6165</v>
      </c>
      <c r="AC504" t="s">
        <v>6166</v>
      </c>
      <c r="AD504" t="s">
        <v>6167</v>
      </c>
      <c r="AE504">
        <v>2781.96</v>
      </c>
      <c r="AF504" t="s">
        <v>87</v>
      </c>
      <c r="AG504" t="s">
        <v>169</v>
      </c>
    </row>
    <row r="505" spans="1:33" hidden="1" x14ac:dyDescent="0.25">
      <c r="A505">
        <v>30583</v>
      </c>
      <c r="B505" t="s">
        <v>32</v>
      </c>
      <c r="C505">
        <v>1</v>
      </c>
      <c r="D505" t="s">
        <v>6268</v>
      </c>
      <c r="E505" t="s">
        <v>70</v>
      </c>
      <c r="F505" t="s">
        <v>33</v>
      </c>
      <c r="G505" t="s">
        <v>71</v>
      </c>
      <c r="H505" t="s">
        <v>72</v>
      </c>
      <c r="I505" t="s">
        <v>6259</v>
      </c>
      <c r="J505" t="s">
        <v>6269</v>
      </c>
      <c r="K505" t="s">
        <v>36</v>
      </c>
      <c r="L505" t="s">
        <v>33</v>
      </c>
      <c r="M505">
        <v>20600737474</v>
      </c>
      <c r="N505" t="s">
        <v>292</v>
      </c>
      <c r="O505" t="s">
        <v>76</v>
      </c>
      <c r="P505" t="s">
        <v>38</v>
      </c>
      <c r="Q505">
        <v>4302263880007</v>
      </c>
      <c r="R505" t="s">
        <v>6270</v>
      </c>
      <c r="S505">
        <v>2288.1999999999998</v>
      </c>
      <c r="T505" t="s">
        <v>40</v>
      </c>
      <c r="U505">
        <f>+IF(Tabla1[[#This Row],[MONEDA]]="PEN",Tabla1[[#This Row],[MONTO]],Tabla1[[#This Row],[MONTO]]*3.56)</f>
        <v>2288.1999999999998</v>
      </c>
      <c r="X505" t="s">
        <v>81</v>
      </c>
      <c r="Y505" t="s">
        <v>42</v>
      </c>
      <c r="Z505" t="s">
        <v>43</v>
      </c>
      <c r="AA505" t="s">
        <v>6271</v>
      </c>
      <c r="AB505" t="s">
        <v>6272</v>
      </c>
      <c r="AC505" t="s">
        <v>6273</v>
      </c>
      <c r="AD505" t="s">
        <v>6274</v>
      </c>
      <c r="AE505">
        <v>2219.5</v>
      </c>
      <c r="AF505" t="s">
        <v>87</v>
      </c>
      <c r="AG505" t="s">
        <v>169</v>
      </c>
    </row>
    <row r="506" spans="1:33" hidden="1" x14ac:dyDescent="0.25">
      <c r="A506">
        <v>29834</v>
      </c>
      <c r="B506" t="s">
        <v>32</v>
      </c>
      <c r="C506">
        <v>1</v>
      </c>
      <c r="D506" t="s">
        <v>6652</v>
      </c>
      <c r="E506" t="s">
        <v>70</v>
      </c>
      <c r="F506" t="s">
        <v>33</v>
      </c>
      <c r="G506" t="s">
        <v>71</v>
      </c>
      <c r="H506" t="s">
        <v>72</v>
      </c>
      <c r="I506" t="s">
        <v>6653</v>
      </c>
      <c r="J506" t="s">
        <v>6654</v>
      </c>
      <c r="K506" t="s">
        <v>36</v>
      </c>
      <c r="L506" t="s">
        <v>33</v>
      </c>
      <c r="M506">
        <v>20600737474</v>
      </c>
      <c r="N506" t="s">
        <v>292</v>
      </c>
      <c r="O506" t="s">
        <v>76</v>
      </c>
      <c r="R506" t="s">
        <v>6655</v>
      </c>
      <c r="S506">
        <v>8</v>
      </c>
      <c r="T506" t="s">
        <v>40</v>
      </c>
      <c r="U506">
        <f>+IF(Tabla1[[#This Row],[MONEDA]]="PEN",Tabla1[[#This Row],[MONTO]],Tabla1[[#This Row],[MONTO]]*3.56)</f>
        <v>8</v>
      </c>
      <c r="V506" t="s">
        <v>190</v>
      </c>
      <c r="W506">
        <v>28316</v>
      </c>
      <c r="X506" t="s">
        <v>81</v>
      </c>
      <c r="Y506" t="s">
        <v>42</v>
      </c>
      <c r="Z506" t="s">
        <v>43</v>
      </c>
      <c r="AA506" t="s">
        <v>6656</v>
      </c>
      <c r="AC506" t="s">
        <v>6657</v>
      </c>
      <c r="AD506" t="s">
        <v>6658</v>
      </c>
    </row>
    <row r="507" spans="1:33" hidden="1" x14ac:dyDescent="0.25">
      <c r="A507">
        <v>29743</v>
      </c>
      <c r="B507" t="s">
        <v>32</v>
      </c>
      <c r="C507">
        <v>1</v>
      </c>
      <c r="D507" t="s">
        <v>6753</v>
      </c>
      <c r="E507" t="s">
        <v>70</v>
      </c>
      <c r="F507" t="s">
        <v>33</v>
      </c>
      <c r="G507" t="s">
        <v>71</v>
      </c>
      <c r="H507" t="s">
        <v>72</v>
      </c>
      <c r="I507" t="s">
        <v>6714</v>
      </c>
      <c r="J507" t="s">
        <v>6754</v>
      </c>
      <c r="K507" t="s">
        <v>36</v>
      </c>
      <c r="L507" t="s">
        <v>33</v>
      </c>
      <c r="M507">
        <v>20600737474</v>
      </c>
      <c r="N507" t="s">
        <v>292</v>
      </c>
      <c r="O507" t="s">
        <v>76</v>
      </c>
      <c r="P507" t="s">
        <v>38</v>
      </c>
      <c r="Q507">
        <v>4302263880007</v>
      </c>
      <c r="R507" t="s">
        <v>6755</v>
      </c>
      <c r="S507">
        <v>1730.5</v>
      </c>
      <c r="T507" t="s">
        <v>40</v>
      </c>
      <c r="U507">
        <f>+IF(Tabla1[[#This Row],[MONEDA]]="PEN",Tabla1[[#This Row],[MONTO]],Tabla1[[#This Row],[MONTO]]*3.56)</f>
        <v>1730.5</v>
      </c>
      <c r="X507" t="s">
        <v>81</v>
      </c>
      <c r="Y507" t="s">
        <v>42</v>
      </c>
      <c r="Z507" t="s">
        <v>43</v>
      </c>
      <c r="AA507" t="s">
        <v>6756</v>
      </c>
      <c r="AB507" t="s">
        <v>6757</v>
      </c>
      <c r="AC507" t="s">
        <v>6758</v>
      </c>
      <c r="AD507" t="s">
        <v>6759</v>
      </c>
      <c r="AE507">
        <v>1678.59</v>
      </c>
      <c r="AF507" t="s">
        <v>87</v>
      </c>
      <c r="AG507" t="s">
        <v>169</v>
      </c>
    </row>
    <row r="508" spans="1:33" hidden="1" x14ac:dyDescent="0.25">
      <c r="A508">
        <v>28883</v>
      </c>
      <c r="B508" t="s">
        <v>32</v>
      </c>
      <c r="C508">
        <v>1</v>
      </c>
      <c r="D508" t="s">
        <v>7047</v>
      </c>
      <c r="E508" t="s">
        <v>70</v>
      </c>
      <c r="F508" t="s">
        <v>33</v>
      </c>
      <c r="G508" t="s">
        <v>71</v>
      </c>
      <c r="H508" t="s">
        <v>72</v>
      </c>
      <c r="I508" t="s">
        <v>7048</v>
      </c>
      <c r="J508" t="s">
        <v>7049</v>
      </c>
      <c r="K508" t="s">
        <v>36</v>
      </c>
      <c r="L508" t="s">
        <v>33</v>
      </c>
      <c r="M508">
        <v>20600737474</v>
      </c>
      <c r="N508" t="s">
        <v>292</v>
      </c>
      <c r="O508" t="s">
        <v>76</v>
      </c>
      <c r="P508" t="s">
        <v>38</v>
      </c>
      <c r="Q508">
        <v>4302263880007</v>
      </c>
      <c r="R508" t="s">
        <v>7050</v>
      </c>
      <c r="S508">
        <v>3407.5</v>
      </c>
      <c r="T508" t="s">
        <v>40</v>
      </c>
      <c r="U508">
        <f>+IF(Tabla1[[#This Row],[MONEDA]]="PEN",Tabla1[[#This Row],[MONTO]],Tabla1[[#This Row],[MONTO]]*3.56)</f>
        <v>3407.5</v>
      </c>
      <c r="X508" t="s">
        <v>81</v>
      </c>
      <c r="Y508" t="s">
        <v>42</v>
      </c>
      <c r="Z508" t="s">
        <v>82</v>
      </c>
      <c r="AA508" t="s">
        <v>7051</v>
      </c>
      <c r="AB508" t="s">
        <v>7052</v>
      </c>
      <c r="AC508" t="s">
        <v>7053</v>
      </c>
      <c r="AD508" t="s">
        <v>7054</v>
      </c>
      <c r="AE508">
        <v>3305.28</v>
      </c>
      <c r="AF508" t="s">
        <v>87</v>
      </c>
      <c r="AG508" t="s">
        <v>169</v>
      </c>
    </row>
    <row r="509" spans="1:33" x14ac:dyDescent="0.25">
      <c r="A509">
        <v>28056</v>
      </c>
      <c r="B509" t="s">
        <v>32</v>
      </c>
      <c r="C509">
        <v>1</v>
      </c>
      <c r="D509" t="s">
        <v>7925</v>
      </c>
      <c r="E509" t="s">
        <v>70</v>
      </c>
      <c r="F509" t="s">
        <v>5328</v>
      </c>
      <c r="G509" t="s">
        <v>5329</v>
      </c>
      <c r="H509" t="s">
        <v>72</v>
      </c>
      <c r="I509" t="s">
        <v>7918</v>
      </c>
      <c r="J509" t="s">
        <v>7926</v>
      </c>
      <c r="K509" t="s">
        <v>36</v>
      </c>
      <c r="L509" t="s">
        <v>33</v>
      </c>
      <c r="M509">
        <v>20600737474</v>
      </c>
      <c r="N509" t="s">
        <v>292</v>
      </c>
      <c r="O509" t="s">
        <v>6159</v>
      </c>
      <c r="P509" t="s">
        <v>38</v>
      </c>
      <c r="Q509">
        <v>4302263880007</v>
      </c>
      <c r="R509" t="s">
        <v>7927</v>
      </c>
      <c r="S509">
        <v>1500</v>
      </c>
      <c r="T509" t="s">
        <v>40</v>
      </c>
      <c r="U509">
        <f>+IF(Tabla1[[#This Row],[MONEDA]]="PEN",Tabla1[[#This Row],[MONTO]],Tabla1[[#This Row],[MONTO]]*3.56)</f>
        <v>1500</v>
      </c>
      <c r="X509" t="s">
        <v>81</v>
      </c>
      <c r="Y509" t="s">
        <v>42</v>
      </c>
      <c r="Z509" t="s">
        <v>43</v>
      </c>
      <c r="AA509" t="s">
        <v>7928</v>
      </c>
      <c r="AB509" t="s">
        <v>7929</v>
      </c>
      <c r="AC509" t="s">
        <v>7930</v>
      </c>
      <c r="AD509" t="s">
        <v>7931</v>
      </c>
      <c r="AE509">
        <v>1455</v>
      </c>
      <c r="AF509" t="s">
        <v>87</v>
      </c>
      <c r="AG509" t="s">
        <v>169</v>
      </c>
    </row>
    <row r="510" spans="1:33" hidden="1" x14ac:dyDescent="0.25">
      <c r="A510">
        <v>26852</v>
      </c>
      <c r="B510" t="s">
        <v>32</v>
      </c>
      <c r="C510">
        <v>1</v>
      </c>
      <c r="D510" t="s">
        <v>8773</v>
      </c>
      <c r="E510" t="s">
        <v>70</v>
      </c>
      <c r="F510" t="s">
        <v>33</v>
      </c>
      <c r="G510" t="s">
        <v>71</v>
      </c>
      <c r="H510" t="s">
        <v>72</v>
      </c>
      <c r="I510" t="s">
        <v>8774</v>
      </c>
      <c r="J510" t="s">
        <v>8775</v>
      </c>
      <c r="K510" t="s">
        <v>36</v>
      </c>
      <c r="L510" t="s">
        <v>33</v>
      </c>
      <c r="M510">
        <v>20600737474</v>
      </c>
      <c r="N510" t="s">
        <v>292</v>
      </c>
      <c r="O510" t="s">
        <v>76</v>
      </c>
      <c r="P510" t="s">
        <v>38</v>
      </c>
      <c r="Q510">
        <v>4302263880007</v>
      </c>
      <c r="R510" t="s">
        <v>8776</v>
      </c>
      <c r="S510">
        <v>4643.5</v>
      </c>
      <c r="T510" t="s">
        <v>40</v>
      </c>
      <c r="U510">
        <f>+IF(Tabla1[[#This Row],[MONEDA]]="PEN",Tabla1[[#This Row],[MONTO]],Tabla1[[#This Row],[MONTO]]*3.56)</f>
        <v>4643.5</v>
      </c>
      <c r="X510" t="s">
        <v>81</v>
      </c>
      <c r="Y510" t="s">
        <v>42</v>
      </c>
      <c r="Z510" t="s">
        <v>43</v>
      </c>
      <c r="AA510" t="s">
        <v>8777</v>
      </c>
      <c r="AB510" t="s">
        <v>8778</v>
      </c>
      <c r="AC510" t="s">
        <v>8779</v>
      </c>
      <c r="AD510" t="s">
        <v>8780</v>
      </c>
      <c r="AE510">
        <v>4504.2</v>
      </c>
      <c r="AF510" t="s">
        <v>87</v>
      </c>
      <c r="AG510" t="s">
        <v>169</v>
      </c>
    </row>
    <row r="511" spans="1:33" hidden="1" x14ac:dyDescent="0.25">
      <c r="A511">
        <v>26297</v>
      </c>
      <c r="B511" t="s">
        <v>32</v>
      </c>
      <c r="C511">
        <v>2</v>
      </c>
      <c r="D511" t="s">
        <v>9307</v>
      </c>
      <c r="E511" t="s">
        <v>70</v>
      </c>
      <c r="F511" t="s">
        <v>33</v>
      </c>
      <c r="G511" t="s">
        <v>71</v>
      </c>
      <c r="H511" t="s">
        <v>72</v>
      </c>
      <c r="I511" t="s">
        <v>9308</v>
      </c>
      <c r="J511" t="s">
        <v>9309</v>
      </c>
      <c r="K511" t="s">
        <v>36</v>
      </c>
      <c r="L511" t="s">
        <v>33</v>
      </c>
      <c r="M511">
        <v>20600737474</v>
      </c>
      <c r="N511" t="s">
        <v>292</v>
      </c>
      <c r="O511" t="s">
        <v>76</v>
      </c>
      <c r="P511" t="s">
        <v>38</v>
      </c>
      <c r="Q511">
        <v>4302263880007</v>
      </c>
      <c r="R511" t="s">
        <v>9310</v>
      </c>
      <c r="S511">
        <v>5117</v>
      </c>
      <c r="T511" t="s">
        <v>40</v>
      </c>
      <c r="U511">
        <f>+IF(Tabla1[[#This Row],[MONEDA]]="PEN",Tabla1[[#This Row],[MONTO]],Tabla1[[#This Row],[MONTO]]*3.56)</f>
        <v>5117</v>
      </c>
      <c r="X511" t="s">
        <v>81</v>
      </c>
      <c r="Y511" t="s">
        <v>42</v>
      </c>
      <c r="Z511" t="s">
        <v>82</v>
      </c>
      <c r="AA511" t="s">
        <v>9311</v>
      </c>
      <c r="AB511" t="s">
        <v>9312</v>
      </c>
      <c r="AC511" t="s">
        <v>9313</v>
      </c>
      <c r="AD511" t="s">
        <v>9314</v>
      </c>
      <c r="AE511">
        <v>4963.49</v>
      </c>
      <c r="AF511" t="s">
        <v>87</v>
      </c>
      <c r="AG511" t="s">
        <v>169</v>
      </c>
    </row>
    <row r="512" spans="1:33" hidden="1" x14ac:dyDescent="0.25">
      <c r="A512">
        <v>25904</v>
      </c>
      <c r="B512" t="s">
        <v>32</v>
      </c>
      <c r="C512">
        <v>1</v>
      </c>
      <c r="D512" t="s">
        <v>9533</v>
      </c>
      <c r="E512" t="s">
        <v>70</v>
      </c>
      <c r="F512" t="s">
        <v>33</v>
      </c>
      <c r="G512" t="s">
        <v>71</v>
      </c>
      <c r="H512" t="s">
        <v>72</v>
      </c>
      <c r="I512" t="s">
        <v>9519</v>
      </c>
      <c r="J512" t="s">
        <v>9534</v>
      </c>
      <c r="K512" t="s">
        <v>36</v>
      </c>
      <c r="L512" t="s">
        <v>33</v>
      </c>
      <c r="M512">
        <v>20600737474</v>
      </c>
      <c r="N512" t="s">
        <v>292</v>
      </c>
      <c r="O512" t="s">
        <v>76</v>
      </c>
      <c r="P512" t="s">
        <v>38</v>
      </c>
      <c r="Q512">
        <v>4302263880007</v>
      </c>
      <c r="R512" t="s">
        <v>8813</v>
      </c>
      <c r="S512">
        <v>2120</v>
      </c>
      <c r="T512" t="s">
        <v>40</v>
      </c>
      <c r="U512">
        <f>+IF(Tabla1[[#This Row],[MONEDA]]="PEN",Tabla1[[#This Row],[MONTO]],Tabla1[[#This Row],[MONTO]]*3.56)</f>
        <v>2120</v>
      </c>
      <c r="X512" t="s">
        <v>81</v>
      </c>
      <c r="Y512" t="s">
        <v>42</v>
      </c>
      <c r="Z512" t="s">
        <v>82</v>
      </c>
      <c r="AA512" t="s">
        <v>9535</v>
      </c>
      <c r="AB512" t="s">
        <v>9536</v>
      </c>
      <c r="AC512" t="s">
        <v>9537</v>
      </c>
      <c r="AD512" t="s">
        <v>9538</v>
      </c>
      <c r="AE512">
        <v>2056.4</v>
      </c>
      <c r="AF512" t="s">
        <v>87</v>
      </c>
      <c r="AG512" t="s">
        <v>169</v>
      </c>
    </row>
    <row r="513" spans="1:33" hidden="1" x14ac:dyDescent="0.25">
      <c r="A513">
        <v>25665</v>
      </c>
      <c r="B513" t="s">
        <v>32</v>
      </c>
      <c r="C513">
        <v>1</v>
      </c>
      <c r="D513" t="s">
        <v>9674</v>
      </c>
      <c r="E513" t="s">
        <v>70</v>
      </c>
      <c r="F513" t="s">
        <v>33</v>
      </c>
      <c r="G513" t="s">
        <v>71</v>
      </c>
      <c r="H513" t="s">
        <v>72</v>
      </c>
      <c r="I513" t="s">
        <v>9631</v>
      </c>
      <c r="J513" t="s">
        <v>9675</v>
      </c>
      <c r="K513" t="s">
        <v>36</v>
      </c>
      <c r="L513" t="s">
        <v>33</v>
      </c>
      <c r="M513">
        <v>20600737474</v>
      </c>
      <c r="N513" t="s">
        <v>292</v>
      </c>
      <c r="O513" t="s">
        <v>76</v>
      </c>
      <c r="P513" t="s">
        <v>38</v>
      </c>
      <c r="Q513">
        <v>4302263880007</v>
      </c>
      <c r="R513" t="s">
        <v>9676</v>
      </c>
      <c r="S513">
        <v>2385</v>
      </c>
      <c r="T513" t="s">
        <v>40</v>
      </c>
      <c r="U513">
        <f>+IF(Tabla1[[#This Row],[MONEDA]]="PEN",Tabla1[[#This Row],[MONTO]],Tabla1[[#This Row],[MONTO]]*3.56)</f>
        <v>2385</v>
      </c>
      <c r="X513" t="s">
        <v>81</v>
      </c>
      <c r="Y513" t="s">
        <v>42</v>
      </c>
      <c r="Z513" t="s">
        <v>82</v>
      </c>
      <c r="AA513" t="s">
        <v>9677</v>
      </c>
      <c r="AB513" t="s">
        <v>9678</v>
      </c>
      <c r="AC513" t="s">
        <v>9679</v>
      </c>
      <c r="AD513" t="s">
        <v>9680</v>
      </c>
      <c r="AE513">
        <v>2313.4499999999998</v>
      </c>
      <c r="AF513" t="s">
        <v>87</v>
      </c>
      <c r="AG513" t="s">
        <v>169</v>
      </c>
    </row>
    <row r="514" spans="1:33" hidden="1" x14ac:dyDescent="0.25">
      <c r="A514">
        <v>24789</v>
      </c>
      <c r="B514" t="s">
        <v>32</v>
      </c>
      <c r="C514">
        <v>2</v>
      </c>
      <c r="D514" t="s">
        <v>10118</v>
      </c>
      <c r="E514" t="s">
        <v>70</v>
      </c>
      <c r="F514" t="s">
        <v>33</v>
      </c>
      <c r="G514" t="s">
        <v>71</v>
      </c>
      <c r="H514" t="s">
        <v>72</v>
      </c>
      <c r="I514" t="s">
        <v>10076</v>
      </c>
      <c r="J514" t="s">
        <v>10119</v>
      </c>
      <c r="K514" t="s">
        <v>36</v>
      </c>
      <c r="L514" t="s">
        <v>33</v>
      </c>
      <c r="M514">
        <v>20600737474</v>
      </c>
      <c r="N514" t="s">
        <v>292</v>
      </c>
      <c r="O514" t="s">
        <v>76</v>
      </c>
      <c r="P514" t="s">
        <v>38</v>
      </c>
      <c r="Q514">
        <v>4302263880007</v>
      </c>
      <c r="R514" t="s">
        <v>10120</v>
      </c>
      <c r="S514">
        <v>3227</v>
      </c>
      <c r="T514" t="s">
        <v>40</v>
      </c>
      <c r="U514">
        <f>+IF(Tabla1[[#This Row],[MONEDA]]="PEN",Tabla1[[#This Row],[MONTO]],Tabla1[[#This Row],[MONTO]]*3.56)</f>
        <v>3227</v>
      </c>
      <c r="X514" t="s">
        <v>81</v>
      </c>
      <c r="Y514" t="s">
        <v>42</v>
      </c>
      <c r="Z514" t="s">
        <v>82</v>
      </c>
      <c r="AA514" t="s">
        <v>10121</v>
      </c>
      <c r="AB514" t="s">
        <v>10122</v>
      </c>
      <c r="AC514" t="s">
        <v>10123</v>
      </c>
      <c r="AD514" t="s">
        <v>10124</v>
      </c>
      <c r="AE514">
        <v>3130.19</v>
      </c>
      <c r="AF514" t="s">
        <v>87</v>
      </c>
      <c r="AG514" t="s">
        <v>169</v>
      </c>
    </row>
    <row r="515" spans="1:33" hidden="1" x14ac:dyDescent="0.25">
      <c r="A515">
        <v>24411</v>
      </c>
      <c r="B515" t="s">
        <v>32</v>
      </c>
      <c r="C515">
        <v>1</v>
      </c>
      <c r="D515" t="s">
        <v>10171</v>
      </c>
      <c r="E515" t="s">
        <v>70</v>
      </c>
      <c r="F515" t="s">
        <v>33</v>
      </c>
      <c r="G515" t="s">
        <v>9422</v>
      </c>
      <c r="H515" t="s">
        <v>72</v>
      </c>
      <c r="I515" t="s">
        <v>10164</v>
      </c>
      <c r="J515" t="s">
        <v>10172</v>
      </c>
      <c r="K515" t="s">
        <v>36</v>
      </c>
      <c r="L515" t="s">
        <v>33</v>
      </c>
      <c r="M515">
        <v>20600737474</v>
      </c>
      <c r="N515" t="s">
        <v>292</v>
      </c>
      <c r="O515" t="s">
        <v>9423</v>
      </c>
      <c r="P515" t="s">
        <v>38</v>
      </c>
      <c r="Q515">
        <v>4302263880007</v>
      </c>
      <c r="R515" t="s">
        <v>10173</v>
      </c>
      <c r="S515">
        <v>2566</v>
      </c>
      <c r="T515" t="s">
        <v>40</v>
      </c>
      <c r="U515">
        <f>+IF(Tabla1[[#This Row],[MONEDA]]="PEN",Tabla1[[#This Row],[MONTO]],Tabla1[[#This Row],[MONTO]]*3.56)</f>
        <v>2566</v>
      </c>
      <c r="X515" t="s">
        <v>41</v>
      </c>
      <c r="Y515" t="s">
        <v>51</v>
      </c>
      <c r="Z515" t="s">
        <v>43</v>
      </c>
      <c r="AA515" t="s">
        <v>10174</v>
      </c>
      <c r="AB515" t="s">
        <v>10175</v>
      </c>
      <c r="AC515" t="s">
        <v>10176</v>
      </c>
      <c r="AD515" t="s">
        <v>10177</v>
      </c>
      <c r="AE515">
        <v>2489.02</v>
      </c>
      <c r="AF515" t="s">
        <v>87</v>
      </c>
      <c r="AG515" t="s">
        <v>169</v>
      </c>
    </row>
    <row r="516" spans="1:33" hidden="1" x14ac:dyDescent="0.25">
      <c r="A516">
        <v>24387</v>
      </c>
      <c r="B516" t="s">
        <v>32</v>
      </c>
      <c r="C516">
        <v>2</v>
      </c>
      <c r="D516" t="s">
        <v>10351</v>
      </c>
      <c r="E516" t="s">
        <v>70</v>
      </c>
      <c r="F516" t="s">
        <v>1275</v>
      </c>
      <c r="G516" t="s">
        <v>10333</v>
      </c>
      <c r="H516" t="s">
        <v>3703</v>
      </c>
      <c r="I516" t="s">
        <v>10352</v>
      </c>
      <c r="J516" t="s">
        <v>10352</v>
      </c>
      <c r="K516" t="s">
        <v>36</v>
      </c>
      <c r="L516" t="s">
        <v>33</v>
      </c>
      <c r="M516">
        <v>20600737474</v>
      </c>
      <c r="N516" t="s">
        <v>292</v>
      </c>
      <c r="O516" t="s">
        <v>10333</v>
      </c>
      <c r="P516" t="s">
        <v>38</v>
      </c>
      <c r="Q516">
        <v>4302263880007</v>
      </c>
      <c r="R516" t="s">
        <v>10353</v>
      </c>
      <c r="S516">
        <v>30</v>
      </c>
      <c r="T516" t="s">
        <v>40</v>
      </c>
      <c r="U516">
        <f>+IF(Tabla1[[#This Row],[MONEDA]]="PEN",Tabla1[[#This Row],[MONTO]],Tabla1[[#This Row],[MONTO]]*3.56)</f>
        <v>30</v>
      </c>
      <c r="V516" t="s">
        <v>190</v>
      </c>
      <c r="W516">
        <v>22824</v>
      </c>
      <c r="X516" t="s">
        <v>81</v>
      </c>
      <c r="Y516" t="s">
        <v>42</v>
      </c>
      <c r="Z516" t="s">
        <v>82</v>
      </c>
      <c r="AA516" t="s">
        <v>10354</v>
      </c>
      <c r="AC516" t="s">
        <v>10355</v>
      </c>
      <c r="AD516" t="s">
        <v>10356</v>
      </c>
    </row>
    <row r="517" spans="1:33" hidden="1" x14ac:dyDescent="0.25">
      <c r="A517">
        <v>24386</v>
      </c>
      <c r="B517" t="s">
        <v>32</v>
      </c>
      <c r="C517">
        <v>2</v>
      </c>
      <c r="D517" t="s">
        <v>10357</v>
      </c>
      <c r="E517" t="s">
        <v>70</v>
      </c>
      <c r="F517" t="s">
        <v>1275</v>
      </c>
      <c r="G517" t="s">
        <v>10333</v>
      </c>
      <c r="H517" t="s">
        <v>3703</v>
      </c>
      <c r="I517" t="s">
        <v>10358</v>
      </c>
      <c r="J517" t="s">
        <v>10358</v>
      </c>
      <c r="K517" t="s">
        <v>36</v>
      </c>
      <c r="L517" t="s">
        <v>33</v>
      </c>
      <c r="M517">
        <v>20600737474</v>
      </c>
      <c r="N517" t="s">
        <v>292</v>
      </c>
      <c r="O517" t="s">
        <v>10333</v>
      </c>
      <c r="P517" t="s">
        <v>38</v>
      </c>
      <c r="Q517">
        <v>4302263880007</v>
      </c>
      <c r="R517" t="s">
        <v>10359</v>
      </c>
      <c r="S517">
        <v>18</v>
      </c>
      <c r="T517" t="s">
        <v>40</v>
      </c>
      <c r="U517">
        <f>+IF(Tabla1[[#This Row],[MONEDA]]="PEN",Tabla1[[#This Row],[MONTO]],Tabla1[[#This Row],[MONTO]]*3.56)</f>
        <v>18</v>
      </c>
      <c r="V517" t="s">
        <v>190</v>
      </c>
      <c r="W517">
        <v>22824</v>
      </c>
      <c r="X517" t="s">
        <v>81</v>
      </c>
      <c r="Y517" t="s">
        <v>42</v>
      </c>
      <c r="Z517" t="s">
        <v>82</v>
      </c>
      <c r="AA517" t="s">
        <v>10360</v>
      </c>
      <c r="AC517" t="s">
        <v>10361</v>
      </c>
      <c r="AD517" t="s">
        <v>10362</v>
      </c>
    </row>
    <row r="518" spans="1:33" hidden="1" x14ac:dyDescent="0.25">
      <c r="A518">
        <v>24385</v>
      </c>
      <c r="B518" t="s">
        <v>32</v>
      </c>
      <c r="C518">
        <v>2</v>
      </c>
      <c r="D518" t="s">
        <v>10363</v>
      </c>
      <c r="E518" t="s">
        <v>70</v>
      </c>
      <c r="F518" t="s">
        <v>1275</v>
      </c>
      <c r="G518" t="s">
        <v>10333</v>
      </c>
      <c r="H518" t="s">
        <v>3703</v>
      </c>
      <c r="I518" t="s">
        <v>10364</v>
      </c>
      <c r="J518" t="s">
        <v>10364</v>
      </c>
      <c r="K518" t="s">
        <v>36</v>
      </c>
      <c r="L518" t="s">
        <v>33</v>
      </c>
      <c r="M518">
        <v>20600737474</v>
      </c>
      <c r="N518" t="s">
        <v>292</v>
      </c>
      <c r="O518" t="s">
        <v>10333</v>
      </c>
      <c r="R518" t="s">
        <v>10365</v>
      </c>
      <c r="S518">
        <v>36</v>
      </c>
      <c r="T518" t="s">
        <v>40</v>
      </c>
      <c r="U518">
        <f>+IF(Tabla1[[#This Row],[MONEDA]]="PEN",Tabla1[[#This Row],[MONTO]],Tabla1[[#This Row],[MONTO]]*3.56)</f>
        <v>36</v>
      </c>
      <c r="V518" t="s">
        <v>190</v>
      </c>
      <c r="W518">
        <v>22824</v>
      </c>
      <c r="X518" t="s">
        <v>81</v>
      </c>
      <c r="Y518" t="s">
        <v>42</v>
      </c>
      <c r="Z518" t="s">
        <v>82</v>
      </c>
      <c r="AA518" t="s">
        <v>10366</v>
      </c>
      <c r="AC518" t="s">
        <v>10367</v>
      </c>
      <c r="AD518" t="s">
        <v>10368</v>
      </c>
    </row>
    <row r="519" spans="1:33" hidden="1" x14ac:dyDescent="0.25">
      <c r="A519">
        <v>24384</v>
      </c>
      <c r="B519" t="s">
        <v>32</v>
      </c>
      <c r="C519">
        <v>2</v>
      </c>
      <c r="D519" t="s">
        <v>10369</v>
      </c>
      <c r="E519" t="s">
        <v>70</v>
      </c>
      <c r="F519" t="s">
        <v>1275</v>
      </c>
      <c r="G519" t="s">
        <v>10333</v>
      </c>
      <c r="H519" t="s">
        <v>3703</v>
      </c>
      <c r="I519" t="s">
        <v>10370</v>
      </c>
      <c r="J519" t="s">
        <v>10370</v>
      </c>
      <c r="K519" t="s">
        <v>36</v>
      </c>
      <c r="L519" t="s">
        <v>33</v>
      </c>
      <c r="M519">
        <v>20600737474</v>
      </c>
      <c r="N519" t="s">
        <v>292</v>
      </c>
      <c r="O519" t="s">
        <v>10333</v>
      </c>
      <c r="P519" t="s">
        <v>38</v>
      </c>
      <c r="Q519">
        <v>4302263880007</v>
      </c>
      <c r="R519" t="s">
        <v>10371</v>
      </c>
      <c r="S519">
        <v>159</v>
      </c>
      <c r="T519" t="s">
        <v>40</v>
      </c>
      <c r="U519">
        <f>+IF(Tabla1[[#This Row],[MONEDA]]="PEN",Tabla1[[#This Row],[MONTO]],Tabla1[[#This Row],[MONTO]]*3.56)</f>
        <v>159</v>
      </c>
      <c r="V519" t="s">
        <v>190</v>
      </c>
      <c r="W519">
        <v>22824</v>
      </c>
      <c r="X519" t="s">
        <v>81</v>
      </c>
      <c r="Y519" t="s">
        <v>42</v>
      </c>
      <c r="Z519" t="s">
        <v>82</v>
      </c>
      <c r="AA519" t="s">
        <v>10372</v>
      </c>
      <c r="AC519" t="s">
        <v>10373</v>
      </c>
      <c r="AD519" t="s">
        <v>10374</v>
      </c>
    </row>
    <row r="520" spans="1:33" hidden="1" x14ac:dyDescent="0.25">
      <c r="A520">
        <v>23824</v>
      </c>
      <c r="B520" t="s">
        <v>32</v>
      </c>
      <c r="C520">
        <v>1</v>
      </c>
      <c r="D520" t="s">
        <v>10978</v>
      </c>
      <c r="E520" t="s">
        <v>70</v>
      </c>
      <c r="F520" t="s">
        <v>33</v>
      </c>
      <c r="G520" t="s">
        <v>71</v>
      </c>
      <c r="H520" t="s">
        <v>72</v>
      </c>
      <c r="I520" t="s">
        <v>10950</v>
      </c>
      <c r="J520" t="s">
        <v>10979</v>
      </c>
      <c r="K520" t="s">
        <v>36</v>
      </c>
      <c r="L520" t="s">
        <v>33</v>
      </c>
      <c r="M520">
        <v>20600737474</v>
      </c>
      <c r="N520" t="s">
        <v>292</v>
      </c>
      <c r="O520" t="s">
        <v>76</v>
      </c>
      <c r="P520" t="s">
        <v>38</v>
      </c>
      <c r="Q520">
        <v>4302263880007</v>
      </c>
      <c r="R520" t="s">
        <v>10980</v>
      </c>
      <c r="S520">
        <v>1728.75</v>
      </c>
      <c r="T520" t="s">
        <v>40</v>
      </c>
      <c r="U520">
        <f>+IF(Tabla1[[#This Row],[MONEDA]]="PEN",Tabla1[[#This Row],[MONTO]],Tabla1[[#This Row],[MONTO]]*3.56)</f>
        <v>1728.75</v>
      </c>
      <c r="X520" t="s">
        <v>81</v>
      </c>
      <c r="Y520" t="s">
        <v>42</v>
      </c>
      <c r="Z520" t="s">
        <v>43</v>
      </c>
      <c r="AA520" t="s">
        <v>10981</v>
      </c>
      <c r="AB520" t="s">
        <v>10982</v>
      </c>
      <c r="AC520" t="s">
        <v>10983</v>
      </c>
      <c r="AD520" t="s">
        <v>10984</v>
      </c>
      <c r="AE520">
        <v>1676.89</v>
      </c>
      <c r="AF520" t="s">
        <v>87</v>
      </c>
      <c r="AG520" t="s">
        <v>169</v>
      </c>
    </row>
    <row r="521" spans="1:33" hidden="1" x14ac:dyDescent="0.25">
      <c r="A521">
        <v>23310</v>
      </c>
      <c r="B521" t="s">
        <v>32</v>
      </c>
      <c r="C521">
        <v>1</v>
      </c>
      <c r="D521" t="s">
        <v>11354</v>
      </c>
      <c r="E521" t="s">
        <v>70</v>
      </c>
      <c r="F521" t="s">
        <v>33</v>
      </c>
      <c r="G521" t="s">
        <v>9422</v>
      </c>
      <c r="H521" t="s">
        <v>72</v>
      </c>
      <c r="I521" t="s">
        <v>11333</v>
      </c>
      <c r="J521" t="s">
        <v>11355</v>
      </c>
      <c r="K521" t="s">
        <v>36</v>
      </c>
      <c r="L521" t="s">
        <v>33</v>
      </c>
      <c r="M521">
        <v>20600737474</v>
      </c>
      <c r="N521" t="s">
        <v>292</v>
      </c>
      <c r="O521" t="s">
        <v>9423</v>
      </c>
      <c r="P521" t="s">
        <v>38</v>
      </c>
      <c r="Q521">
        <v>4302263880007</v>
      </c>
      <c r="R521" t="s">
        <v>11356</v>
      </c>
      <c r="S521">
        <v>3235</v>
      </c>
      <c r="T521" t="s">
        <v>40</v>
      </c>
      <c r="U521">
        <f>+IF(Tabla1[[#This Row],[MONEDA]]="PEN",Tabla1[[#This Row],[MONTO]],Tabla1[[#This Row],[MONTO]]*3.56)</f>
        <v>3235</v>
      </c>
      <c r="X521" t="s">
        <v>41</v>
      </c>
      <c r="Y521" t="s">
        <v>42</v>
      </c>
      <c r="Z521" t="s">
        <v>82</v>
      </c>
      <c r="AA521" t="s">
        <v>11357</v>
      </c>
      <c r="AB521" t="s">
        <v>11358</v>
      </c>
      <c r="AC521" t="s">
        <v>11359</v>
      </c>
      <c r="AD521" t="s">
        <v>11360</v>
      </c>
      <c r="AE521">
        <v>3137.95</v>
      </c>
      <c r="AF521" t="s">
        <v>87</v>
      </c>
      <c r="AG521" t="s">
        <v>169</v>
      </c>
    </row>
    <row r="522" spans="1:33" hidden="1" x14ac:dyDescent="0.25">
      <c r="A522">
        <v>23203</v>
      </c>
      <c r="B522" t="s">
        <v>32</v>
      </c>
      <c r="C522">
        <v>2</v>
      </c>
      <c r="D522" t="s">
        <v>11392</v>
      </c>
      <c r="E522" t="s">
        <v>70</v>
      </c>
      <c r="F522" t="s">
        <v>33</v>
      </c>
      <c r="G522" t="s">
        <v>71</v>
      </c>
      <c r="H522" t="s">
        <v>72</v>
      </c>
      <c r="I522" t="s">
        <v>11393</v>
      </c>
      <c r="J522" t="s">
        <v>11394</v>
      </c>
      <c r="K522" t="s">
        <v>36</v>
      </c>
      <c r="L522" t="s">
        <v>33</v>
      </c>
      <c r="M522">
        <v>20600737474</v>
      </c>
      <c r="N522" t="s">
        <v>292</v>
      </c>
      <c r="O522" t="s">
        <v>76</v>
      </c>
      <c r="P522" t="s">
        <v>38</v>
      </c>
      <c r="Q522">
        <v>4302263880007</v>
      </c>
      <c r="R522" t="s">
        <v>11395</v>
      </c>
      <c r="S522">
        <v>6790</v>
      </c>
      <c r="T522" t="s">
        <v>40</v>
      </c>
      <c r="U522">
        <f>+IF(Tabla1[[#This Row],[MONEDA]]="PEN",Tabla1[[#This Row],[MONTO]],Tabla1[[#This Row],[MONTO]]*3.56)</f>
        <v>6790</v>
      </c>
      <c r="X522" t="s">
        <v>81</v>
      </c>
      <c r="Y522" t="s">
        <v>42</v>
      </c>
      <c r="Z522" t="s">
        <v>43</v>
      </c>
      <c r="AA522" t="s">
        <v>11396</v>
      </c>
      <c r="AB522" t="s">
        <v>11397</v>
      </c>
      <c r="AC522" t="s">
        <v>11398</v>
      </c>
      <c r="AD522" t="s">
        <v>11399</v>
      </c>
      <c r="AE522">
        <v>6586.3</v>
      </c>
      <c r="AF522" t="s">
        <v>87</v>
      </c>
      <c r="AG522" t="s">
        <v>169</v>
      </c>
    </row>
    <row r="523" spans="1:33" hidden="1" x14ac:dyDescent="0.25">
      <c r="A523">
        <v>23228</v>
      </c>
      <c r="B523" t="s">
        <v>32</v>
      </c>
      <c r="C523">
        <v>1</v>
      </c>
      <c r="D523" t="s">
        <v>11407</v>
      </c>
      <c r="E523" t="s">
        <v>70</v>
      </c>
      <c r="F523" t="s">
        <v>33</v>
      </c>
      <c r="G523" t="s">
        <v>71</v>
      </c>
      <c r="H523" t="s">
        <v>72</v>
      </c>
      <c r="I523" t="s">
        <v>11393</v>
      </c>
      <c r="J523" t="s">
        <v>11408</v>
      </c>
      <c r="K523" t="s">
        <v>36</v>
      </c>
      <c r="L523" t="s">
        <v>33</v>
      </c>
      <c r="M523">
        <v>20600737474</v>
      </c>
      <c r="N523" t="s">
        <v>292</v>
      </c>
      <c r="O523" t="s">
        <v>76</v>
      </c>
      <c r="P523" t="s">
        <v>38</v>
      </c>
      <c r="Q523">
        <v>4302263880007</v>
      </c>
      <c r="R523" t="s">
        <v>11409</v>
      </c>
      <c r="S523">
        <v>3850</v>
      </c>
      <c r="T523" t="s">
        <v>40</v>
      </c>
      <c r="U523">
        <f>+IF(Tabla1[[#This Row],[MONEDA]]="PEN",Tabla1[[#This Row],[MONTO]],Tabla1[[#This Row],[MONTO]]*3.56)</f>
        <v>3850</v>
      </c>
      <c r="X523" t="s">
        <v>81</v>
      </c>
      <c r="Y523" t="s">
        <v>42</v>
      </c>
      <c r="Z523" t="s">
        <v>43</v>
      </c>
      <c r="AA523" t="s">
        <v>11410</v>
      </c>
      <c r="AB523" t="s">
        <v>11411</v>
      </c>
      <c r="AC523" t="s">
        <v>11412</v>
      </c>
      <c r="AD523" t="s">
        <v>11413</v>
      </c>
      <c r="AE523">
        <v>3734.5</v>
      </c>
      <c r="AF523" t="s">
        <v>87</v>
      </c>
      <c r="AG523" t="s">
        <v>169</v>
      </c>
    </row>
    <row r="524" spans="1:33" hidden="1" x14ac:dyDescent="0.25">
      <c r="A524">
        <v>23088</v>
      </c>
      <c r="B524" t="s">
        <v>32</v>
      </c>
      <c r="C524">
        <v>1</v>
      </c>
      <c r="D524" t="s">
        <v>11621</v>
      </c>
      <c r="E524" t="s">
        <v>70</v>
      </c>
      <c r="F524" t="s">
        <v>33</v>
      </c>
      <c r="G524" t="s">
        <v>9422</v>
      </c>
      <c r="H524" t="s">
        <v>72</v>
      </c>
      <c r="I524" t="s">
        <v>11573</v>
      </c>
      <c r="J524" t="s">
        <v>11622</v>
      </c>
      <c r="K524" t="s">
        <v>36</v>
      </c>
      <c r="L524" t="s">
        <v>33</v>
      </c>
      <c r="M524">
        <v>20600737474</v>
      </c>
      <c r="N524" t="s">
        <v>292</v>
      </c>
      <c r="O524" t="s">
        <v>9423</v>
      </c>
      <c r="P524" t="s">
        <v>38</v>
      </c>
      <c r="Q524">
        <v>4302263880007</v>
      </c>
      <c r="R524" t="s">
        <v>11623</v>
      </c>
      <c r="S524">
        <v>3681.8</v>
      </c>
      <c r="T524" t="s">
        <v>40</v>
      </c>
      <c r="U524">
        <f>+IF(Tabla1[[#This Row],[MONEDA]]="PEN",Tabla1[[#This Row],[MONTO]],Tabla1[[#This Row],[MONTO]]*3.56)</f>
        <v>3681.8</v>
      </c>
      <c r="X524" t="s">
        <v>41</v>
      </c>
      <c r="Y524" t="s">
        <v>42</v>
      </c>
      <c r="Z524" t="s">
        <v>43</v>
      </c>
      <c r="AA524" t="s">
        <v>11624</v>
      </c>
      <c r="AB524" t="s">
        <v>11625</v>
      </c>
      <c r="AC524" t="s">
        <v>11626</v>
      </c>
      <c r="AD524" t="s">
        <v>11627</v>
      </c>
      <c r="AE524">
        <v>3571.35</v>
      </c>
      <c r="AF524" t="s">
        <v>87</v>
      </c>
      <c r="AG524" t="s">
        <v>169</v>
      </c>
    </row>
    <row r="525" spans="1:33" hidden="1" x14ac:dyDescent="0.25">
      <c r="A525">
        <v>22587</v>
      </c>
      <c r="B525" t="s">
        <v>32</v>
      </c>
      <c r="C525">
        <v>1</v>
      </c>
      <c r="D525" t="s">
        <v>11787</v>
      </c>
      <c r="E525" t="s">
        <v>70</v>
      </c>
      <c r="F525" t="s">
        <v>33</v>
      </c>
      <c r="G525" t="s">
        <v>71</v>
      </c>
      <c r="H525" t="s">
        <v>72</v>
      </c>
      <c r="I525" t="s">
        <v>11772</v>
      </c>
      <c r="J525" t="s">
        <v>11788</v>
      </c>
      <c r="K525" t="s">
        <v>36</v>
      </c>
      <c r="L525" t="s">
        <v>33</v>
      </c>
      <c r="M525">
        <v>20600737474</v>
      </c>
      <c r="N525" t="s">
        <v>292</v>
      </c>
      <c r="O525" t="s">
        <v>76</v>
      </c>
      <c r="P525" t="s">
        <v>38</v>
      </c>
      <c r="Q525">
        <v>4302263880007</v>
      </c>
      <c r="R525" t="s">
        <v>11789</v>
      </c>
      <c r="S525">
        <v>2778.4</v>
      </c>
      <c r="T525" t="s">
        <v>40</v>
      </c>
      <c r="U525">
        <f>+IF(Tabla1[[#This Row],[MONEDA]]="PEN",Tabla1[[#This Row],[MONTO]],Tabla1[[#This Row],[MONTO]]*3.56)</f>
        <v>2778.4</v>
      </c>
      <c r="X525" t="s">
        <v>81</v>
      </c>
      <c r="Y525" t="s">
        <v>42</v>
      </c>
      <c r="Z525" t="s">
        <v>43</v>
      </c>
      <c r="AA525" t="s">
        <v>11790</v>
      </c>
      <c r="AB525" t="s">
        <v>11791</v>
      </c>
      <c r="AC525" t="s">
        <v>11792</v>
      </c>
      <c r="AD525" t="s">
        <v>11793</v>
      </c>
      <c r="AE525">
        <v>2695.05</v>
      </c>
      <c r="AF525" t="s">
        <v>87</v>
      </c>
      <c r="AG525" t="s">
        <v>169</v>
      </c>
    </row>
    <row r="526" spans="1:33" hidden="1" x14ac:dyDescent="0.25">
      <c r="A526">
        <v>22267</v>
      </c>
      <c r="B526" t="s">
        <v>32</v>
      </c>
      <c r="C526">
        <v>1</v>
      </c>
      <c r="D526" t="s">
        <v>12002</v>
      </c>
      <c r="E526" t="s">
        <v>70</v>
      </c>
      <c r="F526" t="s">
        <v>33</v>
      </c>
      <c r="G526" t="s">
        <v>9422</v>
      </c>
      <c r="H526" t="s">
        <v>72</v>
      </c>
      <c r="I526" t="s">
        <v>11981</v>
      </c>
      <c r="J526" t="s">
        <v>12003</v>
      </c>
      <c r="K526" t="s">
        <v>36</v>
      </c>
      <c r="L526" t="s">
        <v>33</v>
      </c>
      <c r="M526">
        <v>20600737474</v>
      </c>
      <c r="N526" t="s">
        <v>292</v>
      </c>
      <c r="O526" t="s">
        <v>9423</v>
      </c>
      <c r="P526" t="s">
        <v>38</v>
      </c>
      <c r="Q526">
        <v>4302263880007</v>
      </c>
      <c r="R526" t="s">
        <v>12004</v>
      </c>
      <c r="S526">
        <v>4950</v>
      </c>
      <c r="T526" t="s">
        <v>40</v>
      </c>
      <c r="U526">
        <f>+IF(Tabla1[[#This Row],[MONEDA]]="PEN",Tabla1[[#This Row],[MONTO]],Tabla1[[#This Row],[MONTO]]*3.56)</f>
        <v>4950</v>
      </c>
      <c r="X526" t="s">
        <v>81</v>
      </c>
      <c r="Y526" t="s">
        <v>42</v>
      </c>
      <c r="Z526" t="s">
        <v>43</v>
      </c>
      <c r="AA526" t="s">
        <v>12005</v>
      </c>
      <c r="AB526" t="s">
        <v>12006</v>
      </c>
      <c r="AC526" t="s">
        <v>12007</v>
      </c>
      <c r="AD526" t="s">
        <v>12008</v>
      </c>
      <c r="AE526">
        <v>4801.5</v>
      </c>
      <c r="AF526" t="s">
        <v>87</v>
      </c>
      <c r="AG526" t="s">
        <v>169</v>
      </c>
    </row>
    <row r="527" spans="1:33" hidden="1" x14ac:dyDescent="0.25">
      <c r="A527">
        <v>22026</v>
      </c>
      <c r="B527" t="s">
        <v>32</v>
      </c>
      <c r="C527">
        <v>1</v>
      </c>
      <c r="D527" t="s">
        <v>12046</v>
      </c>
      <c r="E527" t="s">
        <v>70</v>
      </c>
      <c r="F527" t="s">
        <v>33</v>
      </c>
      <c r="G527" t="s">
        <v>9422</v>
      </c>
      <c r="H527" t="s">
        <v>72</v>
      </c>
      <c r="I527" t="s">
        <v>12039</v>
      </c>
      <c r="J527" t="s">
        <v>12047</v>
      </c>
      <c r="K527" t="s">
        <v>36</v>
      </c>
      <c r="L527" t="s">
        <v>33</v>
      </c>
      <c r="M527">
        <v>20600737474</v>
      </c>
      <c r="N527" t="s">
        <v>292</v>
      </c>
      <c r="O527" t="s">
        <v>9423</v>
      </c>
      <c r="P527" t="s">
        <v>38</v>
      </c>
      <c r="Q527">
        <v>4302263880007</v>
      </c>
      <c r="R527" t="s">
        <v>12048</v>
      </c>
      <c r="S527">
        <v>2815</v>
      </c>
      <c r="T527" t="s">
        <v>40</v>
      </c>
      <c r="U527">
        <f>+IF(Tabla1[[#This Row],[MONEDA]]="PEN",Tabla1[[#This Row],[MONTO]],Tabla1[[#This Row],[MONTO]]*3.56)</f>
        <v>2815</v>
      </c>
      <c r="X527" t="s">
        <v>81</v>
      </c>
      <c r="Y527" t="s">
        <v>42</v>
      </c>
      <c r="Z527" t="s">
        <v>43</v>
      </c>
      <c r="AA527" t="s">
        <v>12049</v>
      </c>
      <c r="AB527" t="s">
        <v>12050</v>
      </c>
      <c r="AC527" t="s">
        <v>12051</v>
      </c>
      <c r="AD527" t="s">
        <v>12052</v>
      </c>
      <c r="AE527">
        <v>2730.55</v>
      </c>
      <c r="AF527" t="s">
        <v>87</v>
      </c>
      <c r="AG527" t="s">
        <v>169</v>
      </c>
    </row>
    <row r="528" spans="1:33" hidden="1" x14ac:dyDescent="0.25">
      <c r="A528">
        <v>21954</v>
      </c>
      <c r="B528" t="s">
        <v>32</v>
      </c>
      <c r="C528">
        <v>2</v>
      </c>
      <c r="D528" t="s">
        <v>12107</v>
      </c>
      <c r="E528" t="s">
        <v>70</v>
      </c>
      <c r="F528" t="s">
        <v>33</v>
      </c>
      <c r="G528" t="s">
        <v>71</v>
      </c>
      <c r="H528" t="s">
        <v>72</v>
      </c>
      <c r="I528" t="s">
        <v>12084</v>
      </c>
      <c r="J528" t="s">
        <v>12108</v>
      </c>
      <c r="K528" t="s">
        <v>36</v>
      </c>
      <c r="L528" t="s">
        <v>33</v>
      </c>
      <c r="M528">
        <v>20600737474</v>
      </c>
      <c r="N528" t="s">
        <v>292</v>
      </c>
      <c r="O528" t="s">
        <v>76</v>
      </c>
      <c r="P528" t="s">
        <v>38</v>
      </c>
      <c r="Q528">
        <v>4302263880007</v>
      </c>
      <c r="R528" t="s">
        <v>12109</v>
      </c>
      <c r="S528">
        <v>3157.5</v>
      </c>
      <c r="T528" t="s">
        <v>40</v>
      </c>
      <c r="U528">
        <f>+IF(Tabla1[[#This Row],[MONEDA]]="PEN",Tabla1[[#This Row],[MONTO]],Tabla1[[#This Row],[MONTO]]*3.56)</f>
        <v>3157.5</v>
      </c>
      <c r="X528" t="s">
        <v>81</v>
      </c>
      <c r="Y528" t="s">
        <v>42</v>
      </c>
      <c r="Z528" t="s">
        <v>43</v>
      </c>
      <c r="AA528" t="s">
        <v>12110</v>
      </c>
      <c r="AB528" t="s">
        <v>12111</v>
      </c>
      <c r="AC528" t="s">
        <v>12112</v>
      </c>
      <c r="AD528" t="s">
        <v>12113</v>
      </c>
      <c r="AE528">
        <v>3062.78</v>
      </c>
      <c r="AF528" t="s">
        <v>87</v>
      </c>
      <c r="AG528" t="s">
        <v>169</v>
      </c>
    </row>
    <row r="529" spans="1:33" hidden="1" x14ac:dyDescent="0.25">
      <c r="A529">
        <v>21883</v>
      </c>
      <c r="B529" t="s">
        <v>32</v>
      </c>
      <c r="C529">
        <v>1</v>
      </c>
      <c r="D529" t="s">
        <v>12121</v>
      </c>
      <c r="E529" t="s">
        <v>70</v>
      </c>
      <c r="F529" t="s">
        <v>33</v>
      </c>
      <c r="G529" t="s">
        <v>71</v>
      </c>
      <c r="H529" t="s">
        <v>72</v>
      </c>
      <c r="I529" t="s">
        <v>12122</v>
      </c>
      <c r="J529" t="s">
        <v>12123</v>
      </c>
      <c r="K529" t="s">
        <v>36</v>
      </c>
      <c r="L529" t="s">
        <v>33</v>
      </c>
      <c r="M529">
        <v>20600737474</v>
      </c>
      <c r="N529" t="s">
        <v>292</v>
      </c>
      <c r="O529" t="s">
        <v>76</v>
      </c>
      <c r="P529" t="s">
        <v>38</v>
      </c>
      <c r="Q529">
        <v>4302263880007</v>
      </c>
      <c r="R529" t="s">
        <v>12124</v>
      </c>
      <c r="S529">
        <v>1163</v>
      </c>
      <c r="T529" t="s">
        <v>40</v>
      </c>
      <c r="U529">
        <f>+IF(Tabla1[[#This Row],[MONEDA]]="PEN",Tabla1[[#This Row],[MONTO]],Tabla1[[#This Row],[MONTO]]*3.56)</f>
        <v>1163</v>
      </c>
      <c r="X529" t="s">
        <v>81</v>
      </c>
      <c r="Y529" t="s">
        <v>42</v>
      </c>
      <c r="Z529" t="s">
        <v>82</v>
      </c>
      <c r="AA529" t="s">
        <v>12125</v>
      </c>
      <c r="AB529" t="s">
        <v>12126</v>
      </c>
      <c r="AC529" t="s">
        <v>12127</v>
      </c>
      <c r="AD529" t="s">
        <v>12128</v>
      </c>
      <c r="AE529">
        <v>1128.1099999999999</v>
      </c>
      <c r="AF529" t="s">
        <v>87</v>
      </c>
      <c r="AG529" t="s">
        <v>169</v>
      </c>
    </row>
    <row r="530" spans="1:33" hidden="1" x14ac:dyDescent="0.25">
      <c r="A530">
        <v>21785</v>
      </c>
      <c r="B530" t="s">
        <v>32</v>
      </c>
      <c r="C530">
        <v>1</v>
      </c>
      <c r="D530" t="s">
        <v>12201</v>
      </c>
      <c r="E530" t="s">
        <v>70</v>
      </c>
      <c r="F530" t="s">
        <v>33</v>
      </c>
      <c r="G530" t="s">
        <v>71</v>
      </c>
      <c r="H530" t="s">
        <v>72</v>
      </c>
      <c r="I530" t="s">
        <v>12202</v>
      </c>
      <c r="J530" t="s">
        <v>12203</v>
      </c>
      <c r="K530" t="s">
        <v>36</v>
      </c>
      <c r="L530" t="s">
        <v>33</v>
      </c>
      <c r="M530">
        <v>20600737474</v>
      </c>
      <c r="N530" t="s">
        <v>292</v>
      </c>
      <c r="O530" t="s">
        <v>76</v>
      </c>
      <c r="P530" t="s">
        <v>38</v>
      </c>
      <c r="Q530">
        <v>4302263880007</v>
      </c>
      <c r="R530" t="s">
        <v>12204</v>
      </c>
      <c r="S530">
        <v>4756.3</v>
      </c>
      <c r="T530" t="s">
        <v>40</v>
      </c>
      <c r="U530">
        <f>+IF(Tabla1[[#This Row],[MONEDA]]="PEN",Tabla1[[#This Row],[MONTO]],Tabla1[[#This Row],[MONTO]]*3.56)</f>
        <v>4756.3</v>
      </c>
      <c r="X530" t="s">
        <v>81</v>
      </c>
      <c r="Y530" t="s">
        <v>42</v>
      </c>
      <c r="Z530" t="s">
        <v>43</v>
      </c>
      <c r="AA530" t="s">
        <v>12205</v>
      </c>
      <c r="AB530" t="s">
        <v>12206</v>
      </c>
      <c r="AC530" t="s">
        <v>12207</v>
      </c>
      <c r="AD530" t="s">
        <v>12208</v>
      </c>
      <c r="AE530">
        <v>4613.6099999999997</v>
      </c>
      <c r="AF530" t="s">
        <v>87</v>
      </c>
      <c r="AG530" t="s">
        <v>169</v>
      </c>
    </row>
    <row r="531" spans="1:33" hidden="1" x14ac:dyDescent="0.25">
      <c r="A531">
        <v>21682</v>
      </c>
      <c r="B531" t="s">
        <v>32</v>
      </c>
      <c r="C531">
        <v>1</v>
      </c>
      <c r="D531" t="s">
        <v>12274</v>
      </c>
      <c r="E531" t="s">
        <v>70</v>
      </c>
      <c r="F531" t="s">
        <v>33</v>
      </c>
      <c r="G531" t="s">
        <v>71</v>
      </c>
      <c r="H531" t="s">
        <v>72</v>
      </c>
      <c r="I531" t="s">
        <v>12267</v>
      </c>
      <c r="J531" t="s">
        <v>12275</v>
      </c>
      <c r="K531" t="s">
        <v>36</v>
      </c>
      <c r="L531" t="s">
        <v>33</v>
      </c>
      <c r="M531">
        <v>20600737474</v>
      </c>
      <c r="N531" t="s">
        <v>292</v>
      </c>
      <c r="O531" t="s">
        <v>76</v>
      </c>
      <c r="P531" t="s">
        <v>38</v>
      </c>
      <c r="Q531">
        <v>4302263880007</v>
      </c>
      <c r="R531" t="s">
        <v>12276</v>
      </c>
      <c r="S531">
        <v>3560</v>
      </c>
      <c r="T531" t="s">
        <v>40</v>
      </c>
      <c r="U531">
        <f>+IF(Tabla1[[#This Row],[MONEDA]]="PEN",Tabla1[[#This Row],[MONTO]],Tabla1[[#This Row],[MONTO]]*3.56)</f>
        <v>3560</v>
      </c>
      <c r="X531" t="s">
        <v>81</v>
      </c>
      <c r="Y531" t="s">
        <v>42</v>
      </c>
      <c r="Z531" t="s">
        <v>43</v>
      </c>
      <c r="AA531" t="s">
        <v>12277</v>
      </c>
      <c r="AB531" t="s">
        <v>12278</v>
      </c>
      <c r="AC531" t="s">
        <v>12279</v>
      </c>
      <c r="AD531" t="s">
        <v>12280</v>
      </c>
      <c r="AE531">
        <v>3453.2</v>
      </c>
      <c r="AF531" t="s">
        <v>87</v>
      </c>
      <c r="AG531" t="s">
        <v>169</v>
      </c>
    </row>
    <row r="532" spans="1:33" hidden="1" x14ac:dyDescent="0.25">
      <c r="A532">
        <v>21481</v>
      </c>
      <c r="B532" t="s">
        <v>32</v>
      </c>
      <c r="C532">
        <v>1</v>
      </c>
      <c r="D532" t="s">
        <v>12453</v>
      </c>
      <c r="E532" t="s">
        <v>70</v>
      </c>
      <c r="F532" t="s">
        <v>33</v>
      </c>
      <c r="G532" t="s">
        <v>12451</v>
      </c>
      <c r="H532" t="s">
        <v>72</v>
      </c>
      <c r="I532" t="s">
        <v>12444</v>
      </c>
      <c r="J532" t="s">
        <v>12454</v>
      </c>
      <c r="K532" t="s">
        <v>36</v>
      </c>
      <c r="L532" t="s">
        <v>33</v>
      </c>
      <c r="M532">
        <v>20600737474</v>
      </c>
      <c r="N532" t="s">
        <v>292</v>
      </c>
      <c r="O532" t="s">
        <v>12452</v>
      </c>
      <c r="P532" t="s">
        <v>38</v>
      </c>
      <c r="Q532">
        <v>4302263880007</v>
      </c>
      <c r="R532" t="s">
        <v>12455</v>
      </c>
      <c r="S532">
        <v>2195.6</v>
      </c>
      <c r="T532" t="s">
        <v>40</v>
      </c>
      <c r="U532">
        <f>+IF(Tabla1[[#This Row],[MONEDA]]="PEN",Tabla1[[#This Row],[MONTO]],Tabla1[[#This Row],[MONTO]]*3.56)</f>
        <v>2195.6</v>
      </c>
      <c r="X532" t="s">
        <v>81</v>
      </c>
      <c r="Y532" t="s">
        <v>51</v>
      </c>
      <c r="Z532" t="s">
        <v>43</v>
      </c>
      <c r="AA532" t="s">
        <v>12456</v>
      </c>
      <c r="AB532" t="s">
        <v>12457</v>
      </c>
      <c r="AC532" t="s">
        <v>12458</v>
      </c>
      <c r="AE532">
        <v>2129.73</v>
      </c>
      <c r="AF532" t="s">
        <v>87</v>
      </c>
      <c r="AG532" t="s">
        <v>169</v>
      </c>
    </row>
    <row r="533" spans="1:33" hidden="1" x14ac:dyDescent="0.25">
      <c r="A533">
        <v>21457</v>
      </c>
      <c r="B533" t="s">
        <v>32</v>
      </c>
      <c r="C533">
        <v>1</v>
      </c>
      <c r="D533" t="s">
        <v>12471</v>
      </c>
      <c r="E533" t="s">
        <v>70</v>
      </c>
      <c r="F533" t="s">
        <v>33</v>
      </c>
      <c r="G533" t="s">
        <v>71</v>
      </c>
      <c r="H533" t="s">
        <v>72</v>
      </c>
      <c r="I533" t="s">
        <v>12460</v>
      </c>
      <c r="J533" t="s">
        <v>12472</v>
      </c>
      <c r="K533" t="s">
        <v>36</v>
      </c>
      <c r="L533" t="s">
        <v>33</v>
      </c>
      <c r="M533">
        <v>20600737474</v>
      </c>
      <c r="N533" t="s">
        <v>292</v>
      </c>
      <c r="O533" t="s">
        <v>76</v>
      </c>
      <c r="P533" t="s">
        <v>38</v>
      </c>
      <c r="Q533">
        <v>4302263880007</v>
      </c>
      <c r="R533" t="s">
        <v>12473</v>
      </c>
      <c r="S533">
        <v>2818</v>
      </c>
      <c r="T533" t="s">
        <v>40</v>
      </c>
      <c r="U533">
        <f>+IF(Tabla1[[#This Row],[MONEDA]]="PEN",Tabla1[[#This Row],[MONTO]],Tabla1[[#This Row],[MONTO]]*3.56)</f>
        <v>2818</v>
      </c>
      <c r="X533" t="s">
        <v>81</v>
      </c>
      <c r="Y533" t="s">
        <v>42</v>
      </c>
      <c r="Z533" t="s">
        <v>43</v>
      </c>
      <c r="AA533" t="s">
        <v>12474</v>
      </c>
      <c r="AB533" t="s">
        <v>12475</v>
      </c>
      <c r="AC533" t="s">
        <v>12476</v>
      </c>
      <c r="AD533" t="s">
        <v>12477</v>
      </c>
      <c r="AE533">
        <v>2733.46</v>
      </c>
      <c r="AF533" t="s">
        <v>87</v>
      </c>
      <c r="AG533" t="s">
        <v>169</v>
      </c>
    </row>
    <row r="534" spans="1:33" hidden="1" x14ac:dyDescent="0.25">
      <c r="A534">
        <v>21426</v>
      </c>
      <c r="B534" t="s">
        <v>32</v>
      </c>
      <c r="C534">
        <v>1</v>
      </c>
      <c r="D534" t="s">
        <v>12488</v>
      </c>
      <c r="E534" t="s">
        <v>70</v>
      </c>
      <c r="F534" t="s">
        <v>33</v>
      </c>
      <c r="G534" t="s">
        <v>12451</v>
      </c>
      <c r="H534" t="s">
        <v>72</v>
      </c>
      <c r="I534" t="s">
        <v>12489</v>
      </c>
      <c r="J534" t="s">
        <v>12490</v>
      </c>
      <c r="K534" t="s">
        <v>36</v>
      </c>
      <c r="L534" t="s">
        <v>33</v>
      </c>
      <c r="M534">
        <v>20600737474</v>
      </c>
      <c r="N534" t="s">
        <v>292</v>
      </c>
      <c r="O534" t="s">
        <v>12452</v>
      </c>
      <c r="P534" t="s">
        <v>38</v>
      </c>
      <c r="Q534">
        <v>4302263880007</v>
      </c>
      <c r="R534" t="s">
        <v>12491</v>
      </c>
      <c r="S534">
        <v>1240</v>
      </c>
      <c r="T534" t="s">
        <v>40</v>
      </c>
      <c r="U534">
        <f>+IF(Tabla1[[#This Row],[MONEDA]]="PEN",Tabla1[[#This Row],[MONTO]],Tabla1[[#This Row],[MONTO]]*3.56)</f>
        <v>1240</v>
      </c>
      <c r="X534" t="s">
        <v>41</v>
      </c>
      <c r="Y534" t="s">
        <v>51</v>
      </c>
      <c r="Z534" t="s">
        <v>43</v>
      </c>
      <c r="AA534" t="s">
        <v>12492</v>
      </c>
      <c r="AB534" t="s">
        <v>12493</v>
      </c>
      <c r="AC534" t="s">
        <v>12494</v>
      </c>
      <c r="AD534" t="s">
        <v>12495</v>
      </c>
      <c r="AE534">
        <v>1202.8</v>
      </c>
      <c r="AF534" t="s">
        <v>87</v>
      </c>
      <c r="AG534" t="s">
        <v>169</v>
      </c>
    </row>
    <row r="535" spans="1:33" hidden="1" x14ac:dyDescent="0.25">
      <c r="A535">
        <v>21142</v>
      </c>
      <c r="B535" t="s">
        <v>32</v>
      </c>
      <c r="C535">
        <v>1</v>
      </c>
      <c r="D535" t="s">
        <v>12678</v>
      </c>
      <c r="E535" t="s">
        <v>70</v>
      </c>
      <c r="F535" t="s">
        <v>33</v>
      </c>
      <c r="G535" t="s">
        <v>71</v>
      </c>
      <c r="H535" t="s">
        <v>72</v>
      </c>
      <c r="I535" t="s">
        <v>12661</v>
      </c>
      <c r="J535" t="s">
        <v>12679</v>
      </c>
      <c r="K535" t="s">
        <v>36</v>
      </c>
      <c r="L535" t="s">
        <v>33</v>
      </c>
      <c r="M535">
        <v>20600737474</v>
      </c>
      <c r="N535" t="s">
        <v>292</v>
      </c>
      <c r="O535" t="s">
        <v>76</v>
      </c>
      <c r="P535" t="s">
        <v>38</v>
      </c>
      <c r="Q535">
        <v>4302263880007</v>
      </c>
      <c r="R535" t="s">
        <v>12335</v>
      </c>
      <c r="S535">
        <v>1409</v>
      </c>
      <c r="T535" t="s">
        <v>40</v>
      </c>
      <c r="U535">
        <f>+IF(Tabla1[[#This Row],[MONEDA]]="PEN",Tabla1[[#This Row],[MONTO]],Tabla1[[#This Row],[MONTO]]*3.56)</f>
        <v>1409</v>
      </c>
      <c r="X535" t="s">
        <v>81</v>
      </c>
      <c r="Y535" t="s">
        <v>42</v>
      </c>
      <c r="Z535" t="s">
        <v>43</v>
      </c>
      <c r="AA535" t="s">
        <v>12680</v>
      </c>
      <c r="AB535" t="s">
        <v>12681</v>
      </c>
      <c r="AC535" t="s">
        <v>12682</v>
      </c>
      <c r="AD535" t="s">
        <v>12683</v>
      </c>
      <c r="AE535">
        <v>1366.73</v>
      </c>
      <c r="AF535" t="s">
        <v>87</v>
      </c>
      <c r="AG535" t="s">
        <v>12184</v>
      </c>
    </row>
    <row r="536" spans="1:33" hidden="1" x14ac:dyDescent="0.25">
      <c r="A536">
        <v>35835</v>
      </c>
      <c r="B536" t="s">
        <v>32</v>
      </c>
      <c r="C536">
        <v>1</v>
      </c>
      <c r="D536" t="s">
        <v>4111</v>
      </c>
      <c r="E536" t="s">
        <v>70</v>
      </c>
      <c r="F536" t="s">
        <v>33</v>
      </c>
      <c r="G536" t="s">
        <v>71</v>
      </c>
      <c r="H536" t="s">
        <v>72</v>
      </c>
      <c r="I536" t="s">
        <v>4112</v>
      </c>
      <c r="J536" t="s">
        <v>4113</v>
      </c>
      <c r="K536" t="s">
        <v>36</v>
      </c>
      <c r="L536" t="s">
        <v>33</v>
      </c>
      <c r="M536">
        <v>10419473079</v>
      </c>
      <c r="N536" t="s">
        <v>4114</v>
      </c>
      <c r="O536" t="s">
        <v>76</v>
      </c>
      <c r="P536" t="s">
        <v>38</v>
      </c>
      <c r="Q536">
        <v>38590780447087</v>
      </c>
      <c r="R536" t="s">
        <v>4115</v>
      </c>
      <c r="S536">
        <v>3402</v>
      </c>
      <c r="T536" t="s">
        <v>40</v>
      </c>
      <c r="U536">
        <f>+IF(Tabla1[[#This Row],[MONEDA]]="PEN",Tabla1[[#This Row],[MONTO]],Tabla1[[#This Row],[MONTO]]*3.56)</f>
        <v>3402</v>
      </c>
      <c r="X536" t="s">
        <v>81</v>
      </c>
      <c r="Y536" t="s">
        <v>42</v>
      </c>
      <c r="Z536" t="s">
        <v>43</v>
      </c>
      <c r="AA536" t="s">
        <v>4116</v>
      </c>
      <c r="AB536" t="s">
        <v>4117</v>
      </c>
      <c r="AC536" t="s">
        <v>4118</v>
      </c>
      <c r="AD536" t="s">
        <v>4119</v>
      </c>
      <c r="AE536">
        <v>3299.94</v>
      </c>
      <c r="AF536" t="s">
        <v>87</v>
      </c>
      <c r="AG536" t="s">
        <v>169</v>
      </c>
    </row>
    <row r="537" spans="1:33" hidden="1" x14ac:dyDescent="0.25">
      <c r="A537">
        <v>35135</v>
      </c>
      <c r="B537" t="s">
        <v>32</v>
      </c>
      <c r="C537">
        <v>1</v>
      </c>
      <c r="D537" t="s">
        <v>4447</v>
      </c>
      <c r="E537" t="s">
        <v>70</v>
      </c>
      <c r="F537" t="s">
        <v>33</v>
      </c>
      <c r="G537" t="s">
        <v>71</v>
      </c>
      <c r="H537" t="s">
        <v>72</v>
      </c>
      <c r="I537" t="s">
        <v>4448</v>
      </c>
      <c r="J537" t="s">
        <v>4449</v>
      </c>
      <c r="K537" t="s">
        <v>36</v>
      </c>
      <c r="L537" t="s">
        <v>33</v>
      </c>
      <c r="M537">
        <v>10419473079</v>
      </c>
      <c r="N537" t="s">
        <v>4114</v>
      </c>
      <c r="O537" t="s">
        <v>76</v>
      </c>
      <c r="P537" t="s">
        <v>38</v>
      </c>
      <c r="Q537">
        <v>38590780447087</v>
      </c>
      <c r="R537" t="s">
        <v>4450</v>
      </c>
      <c r="S537">
        <v>4304</v>
      </c>
      <c r="T537" t="s">
        <v>40</v>
      </c>
      <c r="U537">
        <f>+IF(Tabla1[[#This Row],[MONEDA]]="PEN",Tabla1[[#This Row],[MONTO]],Tabla1[[#This Row],[MONTO]]*3.56)</f>
        <v>4304</v>
      </c>
      <c r="X537" t="s">
        <v>81</v>
      </c>
      <c r="Y537" t="s">
        <v>42</v>
      </c>
      <c r="Z537" t="s">
        <v>82</v>
      </c>
      <c r="AA537" t="s">
        <v>4451</v>
      </c>
      <c r="AB537" t="s">
        <v>4452</v>
      </c>
      <c r="AC537" t="s">
        <v>4453</v>
      </c>
      <c r="AD537" t="s">
        <v>4454</v>
      </c>
      <c r="AE537">
        <v>4174.88</v>
      </c>
      <c r="AF537" t="s">
        <v>87</v>
      </c>
      <c r="AG537" t="s">
        <v>169</v>
      </c>
    </row>
    <row r="538" spans="1:33" hidden="1" x14ac:dyDescent="0.25">
      <c r="A538">
        <v>34051</v>
      </c>
      <c r="B538" t="s">
        <v>32</v>
      </c>
      <c r="C538">
        <v>1</v>
      </c>
      <c r="D538" t="s">
        <v>4719</v>
      </c>
      <c r="E538" t="s">
        <v>70</v>
      </c>
      <c r="F538" t="s">
        <v>33</v>
      </c>
      <c r="G538" t="s">
        <v>71</v>
      </c>
      <c r="H538" t="s">
        <v>72</v>
      </c>
      <c r="I538" t="s">
        <v>4712</v>
      </c>
      <c r="J538" t="s">
        <v>4720</v>
      </c>
      <c r="K538" t="s">
        <v>36</v>
      </c>
      <c r="L538" t="s">
        <v>33</v>
      </c>
      <c r="M538">
        <v>10419473079</v>
      </c>
      <c r="N538" t="s">
        <v>4114</v>
      </c>
      <c r="O538" t="s">
        <v>76</v>
      </c>
      <c r="P538" t="s">
        <v>38</v>
      </c>
      <c r="Q538">
        <v>38590780447087</v>
      </c>
      <c r="R538" t="s">
        <v>4721</v>
      </c>
      <c r="S538">
        <v>3363.6</v>
      </c>
      <c r="T538" t="s">
        <v>40</v>
      </c>
      <c r="U538">
        <f>+IF(Tabla1[[#This Row],[MONEDA]]="PEN",Tabla1[[#This Row],[MONTO]],Tabla1[[#This Row],[MONTO]]*3.56)</f>
        <v>3363.6</v>
      </c>
      <c r="X538" t="s">
        <v>81</v>
      </c>
      <c r="Y538" t="s">
        <v>42</v>
      </c>
      <c r="Z538" t="s">
        <v>43</v>
      </c>
      <c r="AA538" t="s">
        <v>4722</v>
      </c>
      <c r="AB538" t="s">
        <v>4723</v>
      </c>
      <c r="AC538" t="s">
        <v>4724</v>
      </c>
      <c r="AD538" t="s">
        <v>4725</v>
      </c>
      <c r="AE538">
        <v>3262.69</v>
      </c>
      <c r="AF538" t="s">
        <v>87</v>
      </c>
      <c r="AG538" t="s">
        <v>169</v>
      </c>
    </row>
    <row r="539" spans="1:33" hidden="1" x14ac:dyDescent="0.25">
      <c r="A539">
        <v>31815</v>
      </c>
      <c r="B539" t="s">
        <v>32</v>
      </c>
      <c r="C539">
        <v>1</v>
      </c>
      <c r="D539" t="s">
        <v>5653</v>
      </c>
      <c r="E539" t="s">
        <v>70</v>
      </c>
      <c r="F539" t="s">
        <v>33</v>
      </c>
      <c r="G539" t="s">
        <v>71</v>
      </c>
      <c r="H539" t="s">
        <v>72</v>
      </c>
      <c r="I539" t="s">
        <v>5654</v>
      </c>
      <c r="J539" t="s">
        <v>5655</v>
      </c>
      <c r="K539" t="s">
        <v>36</v>
      </c>
      <c r="L539" t="s">
        <v>33</v>
      </c>
      <c r="M539">
        <v>10419473079</v>
      </c>
      <c r="N539" t="s">
        <v>4114</v>
      </c>
      <c r="O539" t="s">
        <v>76</v>
      </c>
      <c r="P539" t="s">
        <v>38</v>
      </c>
      <c r="Q539">
        <v>38590780447087</v>
      </c>
      <c r="R539" t="s">
        <v>5656</v>
      </c>
      <c r="S539">
        <v>684</v>
      </c>
      <c r="T539" t="s">
        <v>40</v>
      </c>
      <c r="U539">
        <f>+IF(Tabla1[[#This Row],[MONEDA]]="PEN",Tabla1[[#This Row],[MONTO]],Tabla1[[#This Row],[MONTO]]*3.56)</f>
        <v>684</v>
      </c>
      <c r="X539" t="s">
        <v>81</v>
      </c>
      <c r="Y539" t="s">
        <v>42</v>
      </c>
      <c r="Z539" t="s">
        <v>43</v>
      </c>
      <c r="AA539" t="s">
        <v>5657</v>
      </c>
      <c r="AB539" t="s">
        <v>5658</v>
      </c>
      <c r="AC539" t="s">
        <v>5659</v>
      </c>
      <c r="AD539" t="s">
        <v>5660</v>
      </c>
      <c r="AE539">
        <v>684</v>
      </c>
      <c r="AF539" t="s">
        <v>87</v>
      </c>
      <c r="AG539" t="s">
        <v>169</v>
      </c>
    </row>
    <row r="540" spans="1:33" hidden="1" x14ac:dyDescent="0.25">
      <c r="A540">
        <v>35248</v>
      </c>
      <c r="B540" t="s">
        <v>32</v>
      </c>
      <c r="C540">
        <v>1</v>
      </c>
      <c r="D540" t="s">
        <v>4305</v>
      </c>
      <c r="E540" t="s">
        <v>70</v>
      </c>
      <c r="F540" t="s">
        <v>33</v>
      </c>
      <c r="G540" t="s">
        <v>71</v>
      </c>
      <c r="H540" t="s">
        <v>35</v>
      </c>
      <c r="I540" t="s">
        <v>4306</v>
      </c>
      <c r="J540" t="s">
        <v>4307</v>
      </c>
      <c r="K540" t="s">
        <v>36</v>
      </c>
      <c r="L540" t="s">
        <v>33</v>
      </c>
      <c r="M540">
        <v>20533276564</v>
      </c>
      <c r="N540" t="s">
        <v>4308</v>
      </c>
      <c r="O540" t="s">
        <v>76</v>
      </c>
      <c r="P540" t="s">
        <v>38</v>
      </c>
      <c r="Q540" t="s">
        <v>4309</v>
      </c>
      <c r="R540" t="s">
        <v>4310</v>
      </c>
      <c r="S540">
        <v>1400</v>
      </c>
      <c r="T540" t="s">
        <v>40</v>
      </c>
      <c r="U540">
        <f>+IF(Tabla1[[#This Row],[MONEDA]]="PEN",Tabla1[[#This Row],[MONTO]],Tabla1[[#This Row],[MONTO]]*3.56)</f>
        <v>1400</v>
      </c>
      <c r="X540" t="s">
        <v>81</v>
      </c>
      <c r="Y540" t="s">
        <v>42</v>
      </c>
      <c r="Z540" t="s">
        <v>43</v>
      </c>
      <c r="AA540" t="s">
        <v>4225</v>
      </c>
      <c r="AB540" t="s">
        <v>4311</v>
      </c>
      <c r="AC540" t="s">
        <v>4312</v>
      </c>
      <c r="AD540" t="s">
        <v>4313</v>
      </c>
      <c r="AE540">
        <v>1358</v>
      </c>
      <c r="AF540" t="s">
        <v>87</v>
      </c>
      <c r="AG540" t="s">
        <v>169</v>
      </c>
    </row>
    <row r="541" spans="1:33" x14ac:dyDescent="0.25">
      <c r="A541">
        <v>28787</v>
      </c>
      <c r="B541" t="s">
        <v>32</v>
      </c>
      <c r="C541">
        <v>1</v>
      </c>
      <c r="D541" t="s">
        <v>7385</v>
      </c>
      <c r="E541" t="s">
        <v>70</v>
      </c>
      <c r="F541" t="s">
        <v>5328</v>
      </c>
      <c r="G541" t="s">
        <v>5329</v>
      </c>
      <c r="H541" t="s">
        <v>72</v>
      </c>
      <c r="I541" t="s">
        <v>7371</v>
      </c>
      <c r="J541" t="s">
        <v>7386</v>
      </c>
      <c r="K541" t="s">
        <v>36</v>
      </c>
      <c r="L541" t="s">
        <v>33</v>
      </c>
      <c r="M541">
        <v>20533276564</v>
      </c>
      <c r="N541" t="s">
        <v>4308</v>
      </c>
      <c r="O541" t="s">
        <v>6159</v>
      </c>
      <c r="P541" t="s">
        <v>38</v>
      </c>
      <c r="Q541" t="s">
        <v>4309</v>
      </c>
      <c r="R541" t="s">
        <v>7387</v>
      </c>
      <c r="S541">
        <v>840</v>
      </c>
      <c r="T541" t="s">
        <v>40</v>
      </c>
      <c r="U541">
        <f>+IF(Tabla1[[#This Row],[MONEDA]]="PEN",Tabla1[[#This Row],[MONTO]],Tabla1[[#This Row],[MONTO]]*3.56)</f>
        <v>840</v>
      </c>
      <c r="X541" t="s">
        <v>81</v>
      </c>
      <c r="Y541" t="s">
        <v>42</v>
      </c>
      <c r="Z541" t="s">
        <v>43</v>
      </c>
      <c r="AA541" t="s">
        <v>7388</v>
      </c>
      <c r="AB541" t="s">
        <v>7389</v>
      </c>
      <c r="AC541" t="s">
        <v>7390</v>
      </c>
      <c r="AD541" t="s">
        <v>7391</v>
      </c>
      <c r="AE541">
        <v>814.8</v>
      </c>
      <c r="AF541" t="s">
        <v>87</v>
      </c>
      <c r="AG541" t="s">
        <v>169</v>
      </c>
    </row>
    <row r="542" spans="1:33" hidden="1" x14ac:dyDescent="0.25">
      <c r="A542">
        <v>28290</v>
      </c>
      <c r="B542" t="s">
        <v>32</v>
      </c>
      <c r="C542">
        <v>1</v>
      </c>
      <c r="D542" t="s">
        <v>7743</v>
      </c>
      <c r="E542" t="s">
        <v>70</v>
      </c>
      <c r="F542" t="s">
        <v>33</v>
      </c>
      <c r="G542" t="s">
        <v>71</v>
      </c>
      <c r="H542" t="s">
        <v>72</v>
      </c>
      <c r="I542" t="s">
        <v>7744</v>
      </c>
      <c r="J542" t="s">
        <v>7745</v>
      </c>
      <c r="K542" t="s">
        <v>36</v>
      </c>
      <c r="L542" t="s">
        <v>33</v>
      </c>
      <c r="M542">
        <v>20533276564</v>
      </c>
      <c r="N542" t="s">
        <v>4308</v>
      </c>
      <c r="O542" t="s">
        <v>76</v>
      </c>
      <c r="P542" t="s">
        <v>38</v>
      </c>
      <c r="Q542" t="s">
        <v>4309</v>
      </c>
      <c r="R542" t="s">
        <v>7746</v>
      </c>
      <c r="S542">
        <v>11260</v>
      </c>
      <c r="T542" t="s">
        <v>40</v>
      </c>
      <c r="U542">
        <f>+IF(Tabla1[[#This Row],[MONEDA]]="PEN",Tabla1[[#This Row],[MONTO]],Tabla1[[#This Row],[MONTO]]*3.56)</f>
        <v>11260</v>
      </c>
      <c r="X542" t="s">
        <v>81</v>
      </c>
      <c r="Y542" t="s">
        <v>42</v>
      </c>
      <c r="Z542" t="s">
        <v>43</v>
      </c>
      <c r="AA542" t="s">
        <v>7747</v>
      </c>
      <c r="AB542" t="s">
        <v>7748</v>
      </c>
      <c r="AC542" t="s">
        <v>7749</v>
      </c>
      <c r="AD542" t="s">
        <v>7750</v>
      </c>
      <c r="AE542">
        <v>10922.2</v>
      </c>
      <c r="AF542" t="s">
        <v>87</v>
      </c>
      <c r="AG542" t="s">
        <v>169</v>
      </c>
    </row>
    <row r="543" spans="1:33" hidden="1" x14ac:dyDescent="0.25">
      <c r="A543">
        <v>30587</v>
      </c>
      <c r="B543" t="s">
        <v>32</v>
      </c>
      <c r="C543">
        <v>1</v>
      </c>
      <c r="D543" t="s">
        <v>6249</v>
      </c>
      <c r="E543" t="s">
        <v>70</v>
      </c>
      <c r="F543" t="s">
        <v>33</v>
      </c>
      <c r="G543" t="s">
        <v>71</v>
      </c>
      <c r="H543" t="s">
        <v>35</v>
      </c>
      <c r="I543" t="s">
        <v>6242</v>
      </c>
      <c r="J543" t="s">
        <v>6250</v>
      </c>
      <c r="K543" t="s">
        <v>36</v>
      </c>
      <c r="L543" t="s">
        <v>33</v>
      </c>
      <c r="M543">
        <v>20101256422</v>
      </c>
      <c r="N543" t="s">
        <v>6251</v>
      </c>
      <c r="O543" t="s">
        <v>76</v>
      </c>
      <c r="P543" t="s">
        <v>77</v>
      </c>
      <c r="Q543" t="s">
        <v>6252</v>
      </c>
      <c r="R543" t="s">
        <v>6253</v>
      </c>
      <c r="S543">
        <v>175.58</v>
      </c>
      <c r="T543" t="s">
        <v>80</v>
      </c>
      <c r="U543">
        <f>+IF(Tabla1[[#This Row],[MONEDA]]="PEN",Tabla1[[#This Row],[MONTO]],Tabla1[[#This Row],[MONTO]]*3.56)</f>
        <v>625.0648000000001</v>
      </c>
      <c r="X543" t="s">
        <v>81</v>
      </c>
      <c r="Y543" t="s">
        <v>42</v>
      </c>
      <c r="Z543" t="s">
        <v>43</v>
      </c>
      <c r="AA543" t="s">
        <v>6254</v>
      </c>
      <c r="AB543" t="s">
        <v>6255</v>
      </c>
      <c r="AC543" t="s">
        <v>6256</v>
      </c>
      <c r="AD543" t="s">
        <v>6257</v>
      </c>
      <c r="AE543">
        <v>175.58</v>
      </c>
      <c r="AF543" t="s">
        <v>87</v>
      </c>
      <c r="AG543" t="s">
        <v>88</v>
      </c>
    </row>
    <row r="544" spans="1:33" x14ac:dyDescent="0.25">
      <c r="A544">
        <v>40981</v>
      </c>
      <c r="B544" t="s">
        <v>32</v>
      </c>
      <c r="C544">
        <v>1</v>
      </c>
      <c r="D544" t="s">
        <v>1729</v>
      </c>
      <c r="E544" t="s">
        <v>70</v>
      </c>
      <c r="F544" t="s">
        <v>90</v>
      </c>
      <c r="G544" t="s">
        <v>91</v>
      </c>
      <c r="H544" t="s">
        <v>35</v>
      </c>
      <c r="I544" t="s">
        <v>1720</v>
      </c>
      <c r="J544" t="s">
        <v>1730</v>
      </c>
      <c r="K544" t="s">
        <v>36</v>
      </c>
      <c r="L544" t="s">
        <v>33</v>
      </c>
      <c r="M544">
        <v>10044023739</v>
      </c>
      <c r="N544" t="s">
        <v>1731</v>
      </c>
      <c r="P544" t="s">
        <v>38</v>
      </c>
      <c r="Q544">
        <v>43094476557077</v>
      </c>
      <c r="R544" t="s">
        <v>1732</v>
      </c>
      <c r="S544">
        <v>520</v>
      </c>
      <c r="T544" t="s">
        <v>40</v>
      </c>
      <c r="U544">
        <f>+IF(Tabla1[[#This Row],[MONEDA]]="PEN",Tabla1[[#This Row],[MONTO]],Tabla1[[#This Row],[MONTO]]*3.56)</f>
        <v>520</v>
      </c>
      <c r="X544" t="s">
        <v>41</v>
      </c>
      <c r="Y544" t="s">
        <v>42</v>
      </c>
      <c r="Z544" t="s">
        <v>82</v>
      </c>
      <c r="AA544" t="s">
        <v>1733</v>
      </c>
      <c r="AB544" t="s">
        <v>1734</v>
      </c>
      <c r="AC544" t="s">
        <v>1735</v>
      </c>
      <c r="AD544" t="s">
        <v>1736</v>
      </c>
      <c r="AE544">
        <v>520</v>
      </c>
      <c r="AF544" t="s">
        <v>87</v>
      </c>
      <c r="AG544" t="s">
        <v>169</v>
      </c>
    </row>
    <row r="545" spans="1:33" x14ac:dyDescent="0.25">
      <c r="A545">
        <v>39787</v>
      </c>
      <c r="B545" t="s">
        <v>32</v>
      </c>
      <c r="C545">
        <v>2</v>
      </c>
      <c r="D545" t="s">
        <v>2196</v>
      </c>
      <c r="E545" t="s">
        <v>70</v>
      </c>
      <c r="F545" t="s">
        <v>90</v>
      </c>
      <c r="G545" t="s">
        <v>91</v>
      </c>
      <c r="H545" t="s">
        <v>35</v>
      </c>
      <c r="I545" t="s">
        <v>2189</v>
      </c>
      <c r="J545" t="s">
        <v>2197</v>
      </c>
      <c r="K545" t="s">
        <v>36</v>
      </c>
      <c r="L545" t="s">
        <v>33</v>
      </c>
      <c r="M545">
        <v>10044023739</v>
      </c>
      <c r="N545" t="s">
        <v>1731</v>
      </c>
      <c r="P545" t="s">
        <v>38</v>
      </c>
      <c r="Q545">
        <v>43094476557077</v>
      </c>
      <c r="R545" t="s">
        <v>2198</v>
      </c>
      <c r="S545">
        <v>410</v>
      </c>
      <c r="T545" t="s">
        <v>40</v>
      </c>
      <c r="U545">
        <f>+IF(Tabla1[[#This Row],[MONEDA]]="PEN",Tabla1[[#This Row],[MONTO]],Tabla1[[#This Row],[MONTO]]*3.56)</f>
        <v>410</v>
      </c>
      <c r="X545" t="s">
        <v>41</v>
      </c>
      <c r="Y545" t="s">
        <v>42</v>
      </c>
      <c r="Z545" t="s">
        <v>82</v>
      </c>
      <c r="AA545" t="s">
        <v>2199</v>
      </c>
      <c r="AB545" t="s">
        <v>2200</v>
      </c>
      <c r="AC545" t="s">
        <v>2201</v>
      </c>
      <c r="AD545" t="s">
        <v>2202</v>
      </c>
      <c r="AE545">
        <v>410</v>
      </c>
      <c r="AF545" t="s">
        <v>87</v>
      </c>
      <c r="AG545" t="s">
        <v>169</v>
      </c>
    </row>
    <row r="546" spans="1:33" x14ac:dyDescent="0.25">
      <c r="A546">
        <v>39101</v>
      </c>
      <c r="B546" t="s">
        <v>32</v>
      </c>
      <c r="C546">
        <v>1</v>
      </c>
      <c r="D546" t="s">
        <v>2574</v>
      </c>
      <c r="E546" t="s">
        <v>70</v>
      </c>
      <c r="F546" t="s">
        <v>90</v>
      </c>
      <c r="G546" t="s">
        <v>91</v>
      </c>
      <c r="H546" t="s">
        <v>35</v>
      </c>
      <c r="I546" t="s">
        <v>2567</v>
      </c>
      <c r="J546" t="s">
        <v>2575</v>
      </c>
      <c r="K546" t="s">
        <v>36</v>
      </c>
      <c r="L546" t="s">
        <v>33</v>
      </c>
      <c r="M546">
        <v>10044023739</v>
      </c>
      <c r="N546" t="s">
        <v>1731</v>
      </c>
      <c r="P546" t="s">
        <v>38</v>
      </c>
      <c r="Q546">
        <v>43094476557077</v>
      </c>
      <c r="R546" t="s">
        <v>2576</v>
      </c>
      <c r="S546">
        <v>900</v>
      </c>
      <c r="T546" t="s">
        <v>40</v>
      </c>
      <c r="U546">
        <f>+IF(Tabla1[[#This Row],[MONEDA]]="PEN",Tabla1[[#This Row],[MONTO]],Tabla1[[#This Row],[MONTO]]*3.56)</f>
        <v>900</v>
      </c>
      <c r="X546" t="s">
        <v>41</v>
      </c>
      <c r="Y546" t="s">
        <v>42</v>
      </c>
      <c r="Z546" t="s">
        <v>82</v>
      </c>
      <c r="AA546" t="s">
        <v>2577</v>
      </c>
      <c r="AB546" t="s">
        <v>2578</v>
      </c>
      <c r="AC546" t="s">
        <v>2579</v>
      </c>
      <c r="AD546" t="s">
        <v>2580</v>
      </c>
      <c r="AE546">
        <v>900</v>
      </c>
      <c r="AF546" t="s">
        <v>87</v>
      </c>
      <c r="AG546" t="s">
        <v>169</v>
      </c>
    </row>
    <row r="547" spans="1:33" x14ac:dyDescent="0.25">
      <c r="A547">
        <v>37347</v>
      </c>
      <c r="B547" t="s">
        <v>32</v>
      </c>
      <c r="C547">
        <v>2</v>
      </c>
      <c r="D547" t="s">
        <v>3240</v>
      </c>
      <c r="E547" t="s">
        <v>70</v>
      </c>
      <c r="F547" t="s">
        <v>90</v>
      </c>
      <c r="G547" t="s">
        <v>91</v>
      </c>
      <c r="H547" t="s">
        <v>35</v>
      </c>
      <c r="I547" t="s">
        <v>3241</v>
      </c>
      <c r="J547" t="s">
        <v>3242</v>
      </c>
      <c r="K547" t="s">
        <v>36</v>
      </c>
      <c r="L547" t="s">
        <v>33</v>
      </c>
      <c r="M547">
        <v>10044023739</v>
      </c>
      <c r="N547" t="s">
        <v>1731</v>
      </c>
      <c r="P547" t="s">
        <v>38</v>
      </c>
      <c r="Q547">
        <v>43094476557077</v>
      </c>
      <c r="R547" t="s">
        <v>3243</v>
      </c>
      <c r="S547">
        <v>680</v>
      </c>
      <c r="T547" t="s">
        <v>40</v>
      </c>
      <c r="U547">
        <f>+IF(Tabla1[[#This Row],[MONEDA]]="PEN",Tabla1[[#This Row],[MONTO]],Tabla1[[#This Row],[MONTO]]*3.56)</f>
        <v>680</v>
      </c>
      <c r="X547" t="s">
        <v>41</v>
      </c>
      <c r="Y547" t="s">
        <v>42</v>
      </c>
      <c r="Z547" t="s">
        <v>82</v>
      </c>
      <c r="AA547" t="s">
        <v>3244</v>
      </c>
      <c r="AB547" t="s">
        <v>3245</v>
      </c>
      <c r="AC547" t="s">
        <v>3246</v>
      </c>
      <c r="AD547" t="s">
        <v>3247</v>
      </c>
      <c r="AE547">
        <v>680</v>
      </c>
      <c r="AF547" t="s">
        <v>87</v>
      </c>
      <c r="AG547" t="s">
        <v>169</v>
      </c>
    </row>
    <row r="548" spans="1:33" x14ac:dyDescent="0.25">
      <c r="A548">
        <v>37348</v>
      </c>
      <c r="B548" t="s">
        <v>32</v>
      </c>
      <c r="C548">
        <v>2</v>
      </c>
      <c r="D548" t="s">
        <v>3248</v>
      </c>
      <c r="E548" t="s">
        <v>70</v>
      </c>
      <c r="F548" t="s">
        <v>90</v>
      </c>
      <c r="G548" t="s">
        <v>91</v>
      </c>
      <c r="H548" t="s">
        <v>35</v>
      </c>
      <c r="I548" t="s">
        <v>3241</v>
      </c>
      <c r="J548" t="s">
        <v>3249</v>
      </c>
      <c r="K548" t="s">
        <v>36</v>
      </c>
      <c r="L548" t="s">
        <v>33</v>
      </c>
      <c r="M548">
        <v>10044023739</v>
      </c>
      <c r="N548" t="s">
        <v>1731</v>
      </c>
      <c r="P548" t="s">
        <v>38</v>
      </c>
      <c r="Q548">
        <v>43094476557077</v>
      </c>
      <c r="R548" t="s">
        <v>3250</v>
      </c>
      <c r="S548">
        <v>410</v>
      </c>
      <c r="T548" t="s">
        <v>40</v>
      </c>
      <c r="U548">
        <f>+IF(Tabla1[[#This Row],[MONEDA]]="PEN",Tabla1[[#This Row],[MONTO]],Tabla1[[#This Row],[MONTO]]*3.56)</f>
        <v>410</v>
      </c>
      <c r="X548" t="s">
        <v>41</v>
      </c>
      <c r="Y548" t="s">
        <v>42</v>
      </c>
      <c r="Z548" t="s">
        <v>82</v>
      </c>
      <c r="AA548" t="s">
        <v>3251</v>
      </c>
      <c r="AB548" t="s">
        <v>3252</v>
      </c>
      <c r="AC548" t="s">
        <v>3253</v>
      </c>
      <c r="AD548" t="s">
        <v>3254</v>
      </c>
      <c r="AE548">
        <v>410</v>
      </c>
      <c r="AF548" t="s">
        <v>87</v>
      </c>
      <c r="AG548" t="s">
        <v>169</v>
      </c>
    </row>
    <row r="549" spans="1:33" x14ac:dyDescent="0.25">
      <c r="A549">
        <v>35924</v>
      </c>
      <c r="B549" t="s">
        <v>32</v>
      </c>
      <c r="C549">
        <v>1</v>
      </c>
      <c r="D549" t="s">
        <v>4031</v>
      </c>
      <c r="E549" t="s">
        <v>70</v>
      </c>
      <c r="F549" t="s">
        <v>90</v>
      </c>
      <c r="G549" t="s">
        <v>91</v>
      </c>
      <c r="H549" t="s">
        <v>35</v>
      </c>
      <c r="I549" t="s">
        <v>4013</v>
      </c>
      <c r="J549" t="s">
        <v>4032</v>
      </c>
      <c r="K549" t="s">
        <v>36</v>
      </c>
      <c r="L549" t="s">
        <v>33</v>
      </c>
      <c r="M549">
        <v>10044023739</v>
      </c>
      <c r="N549" t="s">
        <v>1731</v>
      </c>
      <c r="P549" t="s">
        <v>38</v>
      </c>
      <c r="Q549">
        <v>43094476557077</v>
      </c>
      <c r="R549" t="s">
        <v>4033</v>
      </c>
      <c r="S549">
        <v>470</v>
      </c>
      <c r="T549" t="s">
        <v>40</v>
      </c>
      <c r="U549">
        <f>+IF(Tabla1[[#This Row],[MONEDA]]="PEN",Tabla1[[#This Row],[MONTO]],Tabla1[[#This Row],[MONTO]]*3.56)</f>
        <v>470</v>
      </c>
      <c r="X549" t="s">
        <v>41</v>
      </c>
      <c r="Y549" t="s">
        <v>42</v>
      </c>
      <c r="Z549" t="s">
        <v>82</v>
      </c>
      <c r="AA549" t="s">
        <v>4034</v>
      </c>
      <c r="AB549" t="s">
        <v>4035</v>
      </c>
      <c r="AC549" t="s">
        <v>4036</v>
      </c>
      <c r="AD549" t="s">
        <v>4037</v>
      </c>
      <c r="AE549">
        <v>470</v>
      </c>
      <c r="AF549" t="s">
        <v>87</v>
      </c>
      <c r="AG549" t="s">
        <v>169</v>
      </c>
    </row>
    <row r="550" spans="1:33" x14ac:dyDescent="0.25">
      <c r="A550">
        <v>35445</v>
      </c>
      <c r="B550" t="s">
        <v>32</v>
      </c>
      <c r="C550">
        <v>1</v>
      </c>
      <c r="D550" t="s">
        <v>4214</v>
      </c>
      <c r="E550" t="s">
        <v>70</v>
      </c>
      <c r="F550" t="s">
        <v>90</v>
      </c>
      <c r="G550" t="s">
        <v>91</v>
      </c>
      <c r="H550" t="s">
        <v>35</v>
      </c>
      <c r="I550" t="s">
        <v>4207</v>
      </c>
      <c r="J550" t="s">
        <v>4215</v>
      </c>
      <c r="K550" t="s">
        <v>36</v>
      </c>
      <c r="L550" t="s">
        <v>33</v>
      </c>
      <c r="M550">
        <v>10044023739</v>
      </c>
      <c r="N550" t="s">
        <v>1731</v>
      </c>
      <c r="P550" t="s">
        <v>38</v>
      </c>
      <c r="Q550">
        <v>43094476557077</v>
      </c>
      <c r="R550" t="s">
        <v>4216</v>
      </c>
      <c r="S550">
        <v>640</v>
      </c>
      <c r="T550" t="s">
        <v>40</v>
      </c>
      <c r="U550">
        <f>+IF(Tabla1[[#This Row],[MONEDA]]="PEN",Tabla1[[#This Row],[MONTO]],Tabla1[[#This Row],[MONTO]]*3.56)</f>
        <v>640</v>
      </c>
      <c r="X550" t="s">
        <v>41</v>
      </c>
      <c r="Y550" t="s">
        <v>42</v>
      </c>
      <c r="Z550" t="s">
        <v>82</v>
      </c>
      <c r="AA550" t="s">
        <v>4217</v>
      </c>
      <c r="AB550" t="s">
        <v>4218</v>
      </c>
      <c r="AC550" t="s">
        <v>4219</v>
      </c>
      <c r="AD550" t="s">
        <v>4220</v>
      </c>
      <c r="AE550">
        <v>640</v>
      </c>
      <c r="AF550" t="s">
        <v>87</v>
      </c>
      <c r="AG550" t="s">
        <v>169</v>
      </c>
    </row>
    <row r="551" spans="1:33" x14ac:dyDescent="0.25">
      <c r="A551">
        <v>35036</v>
      </c>
      <c r="B551" t="s">
        <v>32</v>
      </c>
      <c r="C551">
        <v>1</v>
      </c>
      <c r="D551" t="s">
        <v>4463</v>
      </c>
      <c r="E551" t="s">
        <v>70</v>
      </c>
      <c r="F551" t="s">
        <v>90</v>
      </c>
      <c r="G551" t="s">
        <v>91</v>
      </c>
      <c r="H551" t="s">
        <v>35</v>
      </c>
      <c r="I551" t="s">
        <v>4464</v>
      </c>
      <c r="J551" t="s">
        <v>4465</v>
      </c>
      <c r="K551" t="s">
        <v>36</v>
      </c>
      <c r="L551" t="s">
        <v>33</v>
      </c>
      <c r="M551">
        <v>10044023739</v>
      </c>
      <c r="N551" t="s">
        <v>1731</v>
      </c>
      <c r="P551" t="s">
        <v>38</v>
      </c>
      <c r="Q551">
        <v>43094476557077</v>
      </c>
      <c r="R551" t="s">
        <v>4466</v>
      </c>
      <c r="S551">
        <v>420</v>
      </c>
      <c r="T551" t="s">
        <v>40</v>
      </c>
      <c r="U551">
        <f>+IF(Tabla1[[#This Row],[MONEDA]]="PEN",Tabla1[[#This Row],[MONTO]],Tabla1[[#This Row],[MONTO]]*3.56)</f>
        <v>420</v>
      </c>
      <c r="X551" t="s">
        <v>41</v>
      </c>
      <c r="Y551" t="s">
        <v>42</v>
      </c>
      <c r="Z551" t="s">
        <v>43</v>
      </c>
      <c r="AA551" t="s">
        <v>4467</v>
      </c>
      <c r="AB551" t="s">
        <v>4468</v>
      </c>
      <c r="AC551" t="s">
        <v>4469</v>
      </c>
      <c r="AD551" t="s">
        <v>4470</v>
      </c>
      <c r="AE551">
        <v>420</v>
      </c>
      <c r="AF551" t="s">
        <v>87</v>
      </c>
      <c r="AG551" t="s">
        <v>169</v>
      </c>
    </row>
    <row r="552" spans="1:33" x14ac:dyDescent="0.25">
      <c r="A552">
        <v>33852</v>
      </c>
      <c r="B552" t="s">
        <v>32</v>
      </c>
      <c r="C552">
        <v>1</v>
      </c>
      <c r="D552" t="s">
        <v>4764</v>
      </c>
      <c r="E552" t="s">
        <v>70</v>
      </c>
      <c r="F552" t="s">
        <v>90</v>
      </c>
      <c r="G552" t="s">
        <v>91</v>
      </c>
      <c r="H552" t="s">
        <v>35</v>
      </c>
      <c r="I552" t="s">
        <v>4765</v>
      </c>
      <c r="J552" t="s">
        <v>4766</v>
      </c>
      <c r="K552" t="s">
        <v>36</v>
      </c>
      <c r="L552" t="s">
        <v>33</v>
      </c>
      <c r="M552">
        <v>10044023739</v>
      </c>
      <c r="N552" t="s">
        <v>1731</v>
      </c>
      <c r="P552" t="s">
        <v>38</v>
      </c>
      <c r="Q552">
        <v>43094476557077</v>
      </c>
      <c r="R552" t="s">
        <v>4767</v>
      </c>
      <c r="S552">
        <v>520</v>
      </c>
      <c r="T552" t="s">
        <v>40</v>
      </c>
      <c r="U552">
        <f>+IF(Tabla1[[#This Row],[MONEDA]]="PEN",Tabla1[[#This Row],[MONTO]],Tabla1[[#This Row],[MONTO]]*3.56)</f>
        <v>520</v>
      </c>
      <c r="X552" t="s">
        <v>41</v>
      </c>
      <c r="Y552" t="s">
        <v>42</v>
      </c>
      <c r="Z552" t="s">
        <v>43</v>
      </c>
      <c r="AA552" t="s">
        <v>4768</v>
      </c>
      <c r="AB552" t="s">
        <v>4769</v>
      </c>
      <c r="AC552" t="s">
        <v>4770</v>
      </c>
      <c r="AD552" t="s">
        <v>4771</v>
      </c>
      <c r="AE552">
        <v>520</v>
      </c>
      <c r="AF552" t="s">
        <v>87</v>
      </c>
      <c r="AG552" t="s">
        <v>169</v>
      </c>
    </row>
    <row r="553" spans="1:33" x14ac:dyDescent="0.25">
      <c r="A553">
        <v>33481</v>
      </c>
      <c r="B553" t="s">
        <v>32</v>
      </c>
      <c r="C553">
        <v>1</v>
      </c>
      <c r="D553" t="s">
        <v>4880</v>
      </c>
      <c r="E553" t="s">
        <v>70</v>
      </c>
      <c r="F553" t="s">
        <v>90</v>
      </c>
      <c r="G553" t="s">
        <v>91</v>
      </c>
      <c r="H553" t="s">
        <v>35</v>
      </c>
      <c r="I553" t="s">
        <v>4881</v>
      </c>
      <c r="J553" t="s">
        <v>4882</v>
      </c>
      <c r="K553" t="s">
        <v>36</v>
      </c>
      <c r="L553" t="s">
        <v>33</v>
      </c>
      <c r="M553">
        <v>10044023739</v>
      </c>
      <c r="N553" t="s">
        <v>1731</v>
      </c>
      <c r="P553" t="s">
        <v>38</v>
      </c>
      <c r="Q553">
        <v>43094476557077</v>
      </c>
      <c r="R553" t="s">
        <v>4883</v>
      </c>
      <c r="S553">
        <v>900</v>
      </c>
      <c r="T553" t="s">
        <v>40</v>
      </c>
      <c r="U553">
        <f>+IF(Tabla1[[#This Row],[MONEDA]]="PEN",Tabla1[[#This Row],[MONTO]],Tabla1[[#This Row],[MONTO]]*3.56)</f>
        <v>900</v>
      </c>
      <c r="X553" t="s">
        <v>41</v>
      </c>
      <c r="Y553" t="s">
        <v>42</v>
      </c>
      <c r="Z553" t="s">
        <v>82</v>
      </c>
      <c r="AA553" t="s">
        <v>4884</v>
      </c>
      <c r="AB553" t="s">
        <v>4885</v>
      </c>
      <c r="AC553" t="s">
        <v>4886</v>
      </c>
      <c r="AD553" t="s">
        <v>4887</v>
      </c>
      <c r="AE553">
        <v>900</v>
      </c>
      <c r="AF553" t="s">
        <v>87</v>
      </c>
      <c r="AG553" t="s">
        <v>169</v>
      </c>
    </row>
    <row r="554" spans="1:33" x14ac:dyDescent="0.25">
      <c r="A554">
        <v>32271</v>
      </c>
      <c r="B554" t="s">
        <v>32</v>
      </c>
      <c r="C554">
        <v>1</v>
      </c>
      <c r="D554" t="s">
        <v>5374</v>
      </c>
      <c r="E554" t="s">
        <v>70</v>
      </c>
      <c r="F554" t="s">
        <v>90</v>
      </c>
      <c r="G554" t="s">
        <v>91</v>
      </c>
      <c r="H554" t="s">
        <v>35</v>
      </c>
      <c r="I554" t="s">
        <v>5375</v>
      </c>
      <c r="J554" t="s">
        <v>5376</v>
      </c>
      <c r="K554" t="s">
        <v>36</v>
      </c>
      <c r="L554" t="s">
        <v>33</v>
      </c>
      <c r="M554">
        <v>10044023739</v>
      </c>
      <c r="N554" t="s">
        <v>1731</v>
      </c>
      <c r="P554" t="s">
        <v>38</v>
      </c>
      <c r="Q554">
        <v>43094476557077</v>
      </c>
      <c r="R554" t="s">
        <v>5377</v>
      </c>
      <c r="S554">
        <v>840</v>
      </c>
      <c r="T554" t="s">
        <v>40</v>
      </c>
      <c r="U554">
        <f>+IF(Tabla1[[#This Row],[MONEDA]]="PEN",Tabla1[[#This Row],[MONTO]],Tabla1[[#This Row],[MONTO]]*3.56)</f>
        <v>840</v>
      </c>
      <c r="X554" t="s">
        <v>41</v>
      </c>
      <c r="Y554" t="s">
        <v>42</v>
      </c>
      <c r="Z554" t="s">
        <v>43</v>
      </c>
      <c r="AA554" t="s">
        <v>5378</v>
      </c>
      <c r="AB554" t="s">
        <v>5379</v>
      </c>
      <c r="AC554" t="s">
        <v>5380</v>
      </c>
      <c r="AD554" t="s">
        <v>5381</v>
      </c>
      <c r="AE554">
        <v>840</v>
      </c>
      <c r="AF554" t="s">
        <v>87</v>
      </c>
      <c r="AG554" t="s">
        <v>169</v>
      </c>
    </row>
    <row r="555" spans="1:33" x14ac:dyDescent="0.25">
      <c r="A555">
        <v>32041</v>
      </c>
      <c r="B555" t="s">
        <v>32</v>
      </c>
      <c r="C555">
        <v>1</v>
      </c>
      <c r="D555" t="s">
        <v>5456</v>
      </c>
      <c r="E555" t="s">
        <v>70</v>
      </c>
      <c r="F555" t="s">
        <v>90</v>
      </c>
      <c r="G555" t="s">
        <v>91</v>
      </c>
      <c r="H555" t="s">
        <v>35</v>
      </c>
      <c r="I555" t="s">
        <v>5441</v>
      </c>
      <c r="J555" t="s">
        <v>5457</v>
      </c>
      <c r="K555" t="s">
        <v>36</v>
      </c>
      <c r="L555" t="s">
        <v>33</v>
      </c>
      <c r="M555">
        <v>10044023739</v>
      </c>
      <c r="N555" t="s">
        <v>1731</v>
      </c>
      <c r="P555" t="s">
        <v>38</v>
      </c>
      <c r="Q555">
        <v>43094476557077</v>
      </c>
      <c r="R555" t="s">
        <v>5458</v>
      </c>
      <c r="S555">
        <v>521</v>
      </c>
      <c r="T555" t="s">
        <v>40</v>
      </c>
      <c r="U555">
        <f>+IF(Tabla1[[#This Row],[MONEDA]]="PEN",Tabla1[[#This Row],[MONTO]],Tabla1[[#This Row],[MONTO]]*3.56)</f>
        <v>521</v>
      </c>
      <c r="X555" t="s">
        <v>41</v>
      </c>
      <c r="Y555" t="s">
        <v>42</v>
      </c>
      <c r="Z555" t="s">
        <v>43</v>
      </c>
      <c r="AA555" t="s">
        <v>5459</v>
      </c>
      <c r="AB555" t="s">
        <v>5460</v>
      </c>
      <c r="AC555" t="s">
        <v>5461</v>
      </c>
      <c r="AD555" t="s">
        <v>5462</v>
      </c>
      <c r="AE555">
        <v>521</v>
      </c>
      <c r="AG555" t="s">
        <v>169</v>
      </c>
    </row>
    <row r="556" spans="1:33" x14ac:dyDescent="0.25">
      <c r="A556">
        <v>31382</v>
      </c>
      <c r="B556" t="s">
        <v>32</v>
      </c>
      <c r="C556">
        <v>1</v>
      </c>
      <c r="D556" t="s">
        <v>5851</v>
      </c>
      <c r="E556" t="s">
        <v>70</v>
      </c>
      <c r="F556" t="s">
        <v>90</v>
      </c>
      <c r="G556" t="s">
        <v>91</v>
      </c>
      <c r="H556" t="s">
        <v>35</v>
      </c>
      <c r="I556" t="s">
        <v>5844</v>
      </c>
      <c r="J556" t="s">
        <v>5852</v>
      </c>
      <c r="K556" t="s">
        <v>36</v>
      </c>
      <c r="L556" t="s">
        <v>33</v>
      </c>
      <c r="M556">
        <v>10044023739</v>
      </c>
      <c r="N556" t="s">
        <v>1731</v>
      </c>
      <c r="P556" t="s">
        <v>38</v>
      </c>
      <c r="Q556">
        <v>43094476557077</v>
      </c>
      <c r="R556" t="s">
        <v>5326</v>
      </c>
      <c r="S556">
        <v>570</v>
      </c>
      <c r="T556" t="s">
        <v>40</v>
      </c>
      <c r="U556">
        <f>+IF(Tabla1[[#This Row],[MONEDA]]="PEN",Tabla1[[#This Row],[MONTO]],Tabla1[[#This Row],[MONTO]]*3.56)</f>
        <v>570</v>
      </c>
      <c r="X556" t="s">
        <v>41</v>
      </c>
      <c r="Y556" t="s">
        <v>42</v>
      </c>
      <c r="Z556" t="s">
        <v>82</v>
      </c>
      <c r="AA556" t="s">
        <v>5853</v>
      </c>
      <c r="AB556" t="s">
        <v>5854</v>
      </c>
      <c r="AC556" t="s">
        <v>5855</v>
      </c>
      <c r="AD556" t="s">
        <v>5856</v>
      </c>
      <c r="AE556">
        <v>570</v>
      </c>
      <c r="AF556" t="s">
        <v>87</v>
      </c>
      <c r="AG556" t="s">
        <v>169</v>
      </c>
    </row>
    <row r="557" spans="1:33" x14ac:dyDescent="0.25">
      <c r="A557">
        <v>30872</v>
      </c>
      <c r="B557" t="s">
        <v>32</v>
      </c>
      <c r="C557">
        <v>1</v>
      </c>
      <c r="D557" t="s">
        <v>6219</v>
      </c>
      <c r="E557" t="s">
        <v>70</v>
      </c>
      <c r="F557" t="s">
        <v>90</v>
      </c>
      <c r="G557" t="s">
        <v>91</v>
      </c>
      <c r="H557" t="s">
        <v>35</v>
      </c>
      <c r="I557" t="s">
        <v>6220</v>
      </c>
      <c r="J557" t="s">
        <v>6221</v>
      </c>
      <c r="K557" t="s">
        <v>36</v>
      </c>
      <c r="L557" t="s">
        <v>33</v>
      </c>
      <c r="M557">
        <v>10044023739</v>
      </c>
      <c r="N557" t="s">
        <v>1731</v>
      </c>
      <c r="P557" t="s">
        <v>38</v>
      </c>
      <c r="Q557">
        <v>43094476557077</v>
      </c>
      <c r="R557" t="s">
        <v>6222</v>
      </c>
      <c r="S557">
        <v>470</v>
      </c>
      <c r="T557" t="s">
        <v>40</v>
      </c>
      <c r="U557">
        <f>+IF(Tabla1[[#This Row],[MONEDA]]="PEN",Tabla1[[#This Row],[MONTO]],Tabla1[[#This Row],[MONTO]]*3.56)</f>
        <v>470</v>
      </c>
      <c r="X557" t="s">
        <v>41</v>
      </c>
      <c r="Y557" t="s">
        <v>42</v>
      </c>
      <c r="Z557" t="s">
        <v>43</v>
      </c>
      <c r="AA557" t="s">
        <v>6223</v>
      </c>
      <c r="AB557" t="s">
        <v>6224</v>
      </c>
      <c r="AC557" t="s">
        <v>6225</v>
      </c>
      <c r="AD557" t="s">
        <v>6226</v>
      </c>
      <c r="AE557">
        <v>470</v>
      </c>
      <c r="AF557" t="s">
        <v>87</v>
      </c>
      <c r="AG557" t="s">
        <v>169</v>
      </c>
    </row>
    <row r="558" spans="1:33" x14ac:dyDescent="0.25">
      <c r="A558">
        <v>29401</v>
      </c>
      <c r="B558" t="s">
        <v>32</v>
      </c>
      <c r="C558">
        <v>1</v>
      </c>
      <c r="D558" t="s">
        <v>6941</v>
      </c>
      <c r="E558" t="s">
        <v>70</v>
      </c>
      <c r="F558" t="s">
        <v>90</v>
      </c>
      <c r="G558" t="s">
        <v>91</v>
      </c>
      <c r="H558" t="s">
        <v>72</v>
      </c>
      <c r="I558" t="s">
        <v>6942</v>
      </c>
      <c r="J558" t="s">
        <v>6943</v>
      </c>
      <c r="K558" t="s">
        <v>36</v>
      </c>
      <c r="L558" t="s">
        <v>33</v>
      </c>
      <c r="M558">
        <v>10044023739</v>
      </c>
      <c r="N558" t="s">
        <v>1731</v>
      </c>
      <c r="P558" t="s">
        <v>38</v>
      </c>
      <c r="Q558">
        <v>43094476557077</v>
      </c>
      <c r="R558" t="s">
        <v>6944</v>
      </c>
      <c r="S558">
        <v>360</v>
      </c>
      <c r="T558" t="s">
        <v>40</v>
      </c>
      <c r="U558">
        <f>+IF(Tabla1[[#This Row],[MONEDA]]="PEN",Tabla1[[#This Row],[MONTO]],Tabla1[[#This Row],[MONTO]]*3.56)</f>
        <v>360</v>
      </c>
      <c r="X558" t="s">
        <v>41</v>
      </c>
      <c r="Y558" t="s">
        <v>42</v>
      </c>
      <c r="Z558" t="s">
        <v>43</v>
      </c>
      <c r="AA558" t="s">
        <v>6945</v>
      </c>
      <c r="AB558" t="s">
        <v>6946</v>
      </c>
      <c r="AC558" t="s">
        <v>6947</v>
      </c>
      <c r="AD558" t="s">
        <v>6948</v>
      </c>
      <c r="AE558">
        <v>360</v>
      </c>
      <c r="AF558" t="s">
        <v>87</v>
      </c>
      <c r="AG558" t="s">
        <v>169</v>
      </c>
    </row>
    <row r="559" spans="1:33" x14ac:dyDescent="0.25">
      <c r="A559">
        <v>29025</v>
      </c>
      <c r="B559" t="s">
        <v>32</v>
      </c>
      <c r="C559">
        <v>1</v>
      </c>
      <c r="D559" t="s">
        <v>7306</v>
      </c>
      <c r="E559" t="s">
        <v>70</v>
      </c>
      <c r="F559" t="s">
        <v>90</v>
      </c>
      <c r="G559" t="s">
        <v>91</v>
      </c>
      <c r="H559" t="s">
        <v>72</v>
      </c>
      <c r="I559" t="s">
        <v>7307</v>
      </c>
      <c r="J559" t="s">
        <v>7308</v>
      </c>
      <c r="K559" t="s">
        <v>36</v>
      </c>
      <c r="L559" t="s">
        <v>33</v>
      </c>
      <c r="M559">
        <v>10044023739</v>
      </c>
      <c r="N559" t="s">
        <v>1731</v>
      </c>
      <c r="P559" t="s">
        <v>38</v>
      </c>
      <c r="Q559">
        <v>43094476557077</v>
      </c>
      <c r="R559" t="s">
        <v>7309</v>
      </c>
      <c r="S559">
        <v>503</v>
      </c>
      <c r="T559" t="s">
        <v>40</v>
      </c>
      <c r="U559">
        <f>+IF(Tabla1[[#This Row],[MONEDA]]="PEN",Tabla1[[#This Row],[MONTO]],Tabla1[[#This Row],[MONTO]]*3.56)</f>
        <v>503</v>
      </c>
      <c r="X559" t="s">
        <v>41</v>
      </c>
      <c r="Y559" t="s">
        <v>42</v>
      </c>
      <c r="Z559" t="s">
        <v>43</v>
      </c>
      <c r="AA559" t="s">
        <v>7310</v>
      </c>
      <c r="AB559" t="s">
        <v>7311</v>
      </c>
      <c r="AC559" t="s">
        <v>7312</v>
      </c>
      <c r="AD559" t="s">
        <v>7313</v>
      </c>
      <c r="AE559">
        <v>503</v>
      </c>
      <c r="AF559" t="s">
        <v>87</v>
      </c>
      <c r="AG559" t="s">
        <v>169</v>
      </c>
    </row>
    <row r="560" spans="1:33" x14ac:dyDescent="0.25">
      <c r="A560">
        <v>28122</v>
      </c>
      <c r="B560" t="s">
        <v>32</v>
      </c>
      <c r="C560">
        <v>1</v>
      </c>
      <c r="D560" t="s">
        <v>7537</v>
      </c>
      <c r="E560" t="s">
        <v>70</v>
      </c>
      <c r="F560" t="s">
        <v>90</v>
      </c>
      <c r="G560" t="s">
        <v>91</v>
      </c>
      <c r="H560" t="s">
        <v>72</v>
      </c>
      <c r="I560" t="s">
        <v>7531</v>
      </c>
      <c r="J560" t="s">
        <v>7538</v>
      </c>
      <c r="K560" t="s">
        <v>36</v>
      </c>
      <c r="L560" t="s">
        <v>33</v>
      </c>
      <c r="M560">
        <v>10044023739</v>
      </c>
      <c r="N560" t="s">
        <v>1731</v>
      </c>
      <c r="P560" t="s">
        <v>38</v>
      </c>
      <c r="Q560">
        <v>43094476557077</v>
      </c>
      <c r="R560" t="s">
        <v>7539</v>
      </c>
      <c r="S560">
        <v>590</v>
      </c>
      <c r="T560" t="s">
        <v>40</v>
      </c>
      <c r="U560">
        <f>+IF(Tabla1[[#This Row],[MONEDA]]="PEN",Tabla1[[#This Row],[MONTO]],Tabla1[[#This Row],[MONTO]]*3.56)</f>
        <v>590</v>
      </c>
      <c r="X560" t="s">
        <v>41</v>
      </c>
      <c r="Y560" t="s">
        <v>42</v>
      </c>
      <c r="Z560" t="s">
        <v>43</v>
      </c>
      <c r="AA560" t="s">
        <v>7540</v>
      </c>
      <c r="AB560" t="s">
        <v>7541</v>
      </c>
      <c r="AC560" t="s">
        <v>7542</v>
      </c>
      <c r="AD560" t="s">
        <v>7543</v>
      </c>
      <c r="AE560">
        <v>590</v>
      </c>
      <c r="AF560" t="s">
        <v>87</v>
      </c>
      <c r="AG560" t="s">
        <v>169</v>
      </c>
    </row>
    <row r="561" spans="1:33" x14ac:dyDescent="0.25">
      <c r="A561">
        <v>27882</v>
      </c>
      <c r="B561" t="s">
        <v>32</v>
      </c>
      <c r="C561">
        <v>1</v>
      </c>
      <c r="D561" t="s">
        <v>8085</v>
      </c>
      <c r="E561" t="s">
        <v>70</v>
      </c>
      <c r="F561" t="s">
        <v>90</v>
      </c>
      <c r="G561" t="s">
        <v>91</v>
      </c>
      <c r="H561" t="s">
        <v>72</v>
      </c>
      <c r="I561" t="s">
        <v>8078</v>
      </c>
      <c r="J561" t="s">
        <v>8086</v>
      </c>
      <c r="K561" t="s">
        <v>36</v>
      </c>
      <c r="L561" t="s">
        <v>33</v>
      </c>
      <c r="M561">
        <v>10044023739</v>
      </c>
      <c r="N561" t="s">
        <v>1731</v>
      </c>
      <c r="P561" t="s">
        <v>38</v>
      </c>
      <c r="Q561">
        <v>43094476557077</v>
      </c>
      <c r="R561" t="s">
        <v>8087</v>
      </c>
      <c r="S561">
        <v>740</v>
      </c>
      <c r="T561" t="s">
        <v>40</v>
      </c>
      <c r="U561">
        <f>+IF(Tabla1[[#This Row],[MONEDA]]="PEN",Tabla1[[#This Row],[MONTO]],Tabla1[[#This Row],[MONTO]]*3.56)</f>
        <v>740</v>
      </c>
      <c r="X561" t="s">
        <v>41</v>
      </c>
      <c r="Y561" t="s">
        <v>42</v>
      </c>
      <c r="Z561" t="s">
        <v>43</v>
      </c>
      <c r="AA561" t="s">
        <v>8088</v>
      </c>
      <c r="AB561" t="s">
        <v>8089</v>
      </c>
      <c r="AC561" t="s">
        <v>8090</v>
      </c>
      <c r="AD561" t="s">
        <v>8091</v>
      </c>
      <c r="AE561">
        <v>740</v>
      </c>
      <c r="AF561" t="s">
        <v>87</v>
      </c>
      <c r="AG561" t="s">
        <v>169</v>
      </c>
    </row>
    <row r="562" spans="1:33" x14ac:dyDescent="0.25">
      <c r="A562">
        <v>27285</v>
      </c>
      <c r="B562" t="s">
        <v>32</v>
      </c>
      <c r="C562">
        <v>1</v>
      </c>
      <c r="D562" t="s">
        <v>8391</v>
      </c>
      <c r="E562" t="s">
        <v>70</v>
      </c>
      <c r="F562" t="s">
        <v>90</v>
      </c>
      <c r="G562" t="s">
        <v>91</v>
      </c>
      <c r="H562" t="s">
        <v>72</v>
      </c>
      <c r="I562" t="s">
        <v>8362</v>
      </c>
      <c r="J562" t="s">
        <v>8392</v>
      </c>
      <c r="K562" t="s">
        <v>36</v>
      </c>
      <c r="L562" t="s">
        <v>33</v>
      </c>
      <c r="M562">
        <v>10044023739</v>
      </c>
      <c r="N562" t="s">
        <v>1731</v>
      </c>
      <c r="P562" t="s">
        <v>38</v>
      </c>
      <c r="Q562">
        <v>43094476557077</v>
      </c>
      <c r="R562" t="s">
        <v>8393</v>
      </c>
      <c r="S562">
        <v>532</v>
      </c>
      <c r="T562" t="s">
        <v>40</v>
      </c>
      <c r="U562">
        <f>+IF(Tabla1[[#This Row],[MONEDA]]="PEN",Tabla1[[#This Row],[MONTO]],Tabla1[[#This Row],[MONTO]]*3.56)</f>
        <v>532</v>
      </c>
      <c r="X562" t="s">
        <v>41</v>
      </c>
      <c r="Y562" t="s">
        <v>42</v>
      </c>
      <c r="Z562" t="s">
        <v>43</v>
      </c>
      <c r="AA562" t="s">
        <v>8394</v>
      </c>
      <c r="AB562" t="s">
        <v>8395</v>
      </c>
      <c r="AC562" t="s">
        <v>8396</v>
      </c>
      <c r="AD562" t="s">
        <v>8397</v>
      </c>
      <c r="AE562">
        <v>532</v>
      </c>
      <c r="AF562" t="s">
        <v>87</v>
      </c>
      <c r="AG562" t="s">
        <v>169</v>
      </c>
    </row>
    <row r="563" spans="1:33" x14ac:dyDescent="0.25">
      <c r="A563">
        <v>27260</v>
      </c>
      <c r="B563" t="s">
        <v>32</v>
      </c>
      <c r="C563">
        <v>1</v>
      </c>
      <c r="D563" t="s">
        <v>8561</v>
      </c>
      <c r="E563" t="s">
        <v>70</v>
      </c>
      <c r="F563" t="s">
        <v>90</v>
      </c>
      <c r="G563" t="s">
        <v>91</v>
      </c>
      <c r="H563" t="s">
        <v>72</v>
      </c>
      <c r="I563" t="s">
        <v>8560</v>
      </c>
      <c r="J563" t="s">
        <v>8562</v>
      </c>
      <c r="K563" t="s">
        <v>36</v>
      </c>
      <c r="L563" t="s">
        <v>33</v>
      </c>
      <c r="M563">
        <v>10044023739</v>
      </c>
      <c r="N563" t="s">
        <v>1731</v>
      </c>
      <c r="P563" t="s">
        <v>38</v>
      </c>
      <c r="Q563">
        <v>43094476557077</v>
      </c>
      <c r="R563" t="s">
        <v>8563</v>
      </c>
      <c r="S563">
        <v>630</v>
      </c>
      <c r="T563" t="s">
        <v>40</v>
      </c>
      <c r="U563">
        <f>+IF(Tabla1[[#This Row],[MONEDA]]="PEN",Tabla1[[#This Row],[MONTO]],Tabla1[[#This Row],[MONTO]]*3.56)</f>
        <v>630</v>
      </c>
      <c r="X563" t="s">
        <v>41</v>
      </c>
      <c r="Y563" t="s">
        <v>42</v>
      </c>
      <c r="Z563" t="s">
        <v>43</v>
      </c>
      <c r="AA563" t="s">
        <v>8564</v>
      </c>
      <c r="AB563" t="s">
        <v>8565</v>
      </c>
      <c r="AC563" t="s">
        <v>8566</v>
      </c>
      <c r="AD563" t="s">
        <v>8567</v>
      </c>
      <c r="AE563">
        <v>630</v>
      </c>
      <c r="AF563" t="s">
        <v>87</v>
      </c>
      <c r="AG563" t="s">
        <v>169</v>
      </c>
    </row>
    <row r="564" spans="1:33" x14ac:dyDescent="0.25">
      <c r="A564">
        <v>27057</v>
      </c>
      <c r="B564" t="s">
        <v>32</v>
      </c>
      <c r="C564">
        <v>1</v>
      </c>
      <c r="D564" t="s">
        <v>8758</v>
      </c>
      <c r="E564" t="s">
        <v>70</v>
      </c>
      <c r="F564" t="s">
        <v>90</v>
      </c>
      <c r="G564" t="s">
        <v>91</v>
      </c>
      <c r="H564" t="s">
        <v>72</v>
      </c>
      <c r="I564" t="s">
        <v>8757</v>
      </c>
      <c r="J564" t="s">
        <v>8759</v>
      </c>
      <c r="K564" t="s">
        <v>36</v>
      </c>
      <c r="L564" t="s">
        <v>33</v>
      </c>
      <c r="M564">
        <v>10044023739</v>
      </c>
      <c r="N564" t="s">
        <v>1731</v>
      </c>
      <c r="P564" t="s">
        <v>38</v>
      </c>
      <c r="Q564">
        <v>43094476557077</v>
      </c>
      <c r="R564" t="s">
        <v>8760</v>
      </c>
      <c r="S564">
        <v>1206</v>
      </c>
      <c r="T564" t="s">
        <v>40</v>
      </c>
      <c r="U564">
        <f>+IF(Tabla1[[#This Row],[MONEDA]]="PEN",Tabla1[[#This Row],[MONTO]],Tabla1[[#This Row],[MONTO]]*3.56)</f>
        <v>1206</v>
      </c>
      <c r="X564" t="s">
        <v>41</v>
      </c>
      <c r="Y564" t="s">
        <v>42</v>
      </c>
      <c r="Z564" t="s">
        <v>43</v>
      </c>
      <c r="AA564" t="s">
        <v>8761</v>
      </c>
      <c r="AB564" t="s">
        <v>8762</v>
      </c>
      <c r="AC564" t="s">
        <v>8763</v>
      </c>
      <c r="AD564" t="s">
        <v>8764</v>
      </c>
      <c r="AE564">
        <v>1206</v>
      </c>
      <c r="AF564" t="s">
        <v>87</v>
      </c>
      <c r="AG564" t="s">
        <v>169</v>
      </c>
    </row>
    <row r="565" spans="1:33" x14ac:dyDescent="0.25">
      <c r="A565">
        <v>25959</v>
      </c>
      <c r="B565" t="s">
        <v>32</v>
      </c>
      <c r="C565">
        <v>1</v>
      </c>
      <c r="D565" t="s">
        <v>9502</v>
      </c>
      <c r="E565" t="s">
        <v>70</v>
      </c>
      <c r="F565" t="s">
        <v>90</v>
      </c>
      <c r="G565" t="s">
        <v>91</v>
      </c>
      <c r="H565" t="s">
        <v>9503</v>
      </c>
      <c r="I565" t="s">
        <v>9504</v>
      </c>
      <c r="J565" t="s">
        <v>9505</v>
      </c>
      <c r="K565" t="s">
        <v>36</v>
      </c>
      <c r="L565" t="s">
        <v>33</v>
      </c>
      <c r="M565">
        <v>10044023739</v>
      </c>
      <c r="N565" t="s">
        <v>1731</v>
      </c>
      <c r="P565" t="s">
        <v>38</v>
      </c>
      <c r="Q565">
        <v>43094476557077</v>
      </c>
      <c r="R565" t="s">
        <v>9506</v>
      </c>
      <c r="S565">
        <v>500</v>
      </c>
      <c r="T565" t="s">
        <v>40</v>
      </c>
      <c r="U565">
        <f>+IF(Tabla1[[#This Row],[MONEDA]]="PEN",Tabla1[[#This Row],[MONTO]],Tabla1[[#This Row],[MONTO]]*3.56)</f>
        <v>500</v>
      </c>
      <c r="X565" t="s">
        <v>41</v>
      </c>
      <c r="Y565" t="s">
        <v>42</v>
      </c>
      <c r="Z565" t="s">
        <v>82</v>
      </c>
      <c r="AA565" t="s">
        <v>9507</v>
      </c>
      <c r="AB565" t="s">
        <v>9508</v>
      </c>
      <c r="AC565" t="s">
        <v>9509</v>
      </c>
      <c r="AD565" t="s">
        <v>9510</v>
      </c>
      <c r="AE565">
        <v>500</v>
      </c>
      <c r="AF565" t="s">
        <v>87</v>
      </c>
      <c r="AG565" t="s">
        <v>169</v>
      </c>
    </row>
    <row r="566" spans="1:33" x14ac:dyDescent="0.25">
      <c r="A566">
        <v>25960</v>
      </c>
      <c r="B566" t="s">
        <v>32</v>
      </c>
      <c r="C566">
        <v>1</v>
      </c>
      <c r="D566" t="s">
        <v>9511</v>
      </c>
      <c r="E566" t="s">
        <v>70</v>
      </c>
      <c r="F566" t="s">
        <v>90</v>
      </c>
      <c r="G566" t="s">
        <v>91</v>
      </c>
      <c r="H566" t="s">
        <v>9503</v>
      </c>
      <c r="I566" t="s">
        <v>9504</v>
      </c>
      <c r="J566" t="s">
        <v>9512</v>
      </c>
      <c r="K566" t="s">
        <v>36</v>
      </c>
      <c r="L566" t="s">
        <v>33</v>
      </c>
      <c r="M566">
        <v>10044023739</v>
      </c>
      <c r="N566" t="s">
        <v>1731</v>
      </c>
      <c r="P566" t="s">
        <v>38</v>
      </c>
      <c r="Q566">
        <v>43094476557077</v>
      </c>
      <c r="R566" t="s">
        <v>9513</v>
      </c>
      <c r="S566">
        <v>380</v>
      </c>
      <c r="T566" t="s">
        <v>40</v>
      </c>
      <c r="U566">
        <f>+IF(Tabla1[[#This Row],[MONEDA]]="PEN",Tabla1[[#This Row],[MONTO]],Tabla1[[#This Row],[MONTO]]*3.56)</f>
        <v>380</v>
      </c>
      <c r="X566" t="s">
        <v>41</v>
      </c>
      <c r="Y566" t="s">
        <v>42</v>
      </c>
      <c r="Z566" t="s">
        <v>43</v>
      </c>
      <c r="AA566" t="s">
        <v>9514</v>
      </c>
      <c r="AB566" t="s">
        <v>9515</v>
      </c>
      <c r="AC566" t="s">
        <v>9516</v>
      </c>
      <c r="AD566" t="s">
        <v>9517</v>
      </c>
      <c r="AE566">
        <v>380</v>
      </c>
      <c r="AF566" t="s">
        <v>87</v>
      </c>
      <c r="AG566" t="s">
        <v>169</v>
      </c>
    </row>
    <row r="567" spans="1:33" hidden="1" x14ac:dyDescent="0.25">
      <c r="A567">
        <v>25276</v>
      </c>
      <c r="B567" t="s">
        <v>32</v>
      </c>
      <c r="C567">
        <v>1</v>
      </c>
      <c r="D567" t="s">
        <v>9942</v>
      </c>
      <c r="E567" t="s">
        <v>70</v>
      </c>
      <c r="F567" t="s">
        <v>33</v>
      </c>
      <c r="G567" t="s">
        <v>9943</v>
      </c>
      <c r="H567" t="s">
        <v>9503</v>
      </c>
      <c r="I567" t="s">
        <v>9920</v>
      </c>
      <c r="J567" t="s">
        <v>9944</v>
      </c>
      <c r="K567" t="s">
        <v>36</v>
      </c>
      <c r="L567" t="s">
        <v>33</v>
      </c>
      <c r="M567">
        <v>10044023739</v>
      </c>
      <c r="N567" t="s">
        <v>1731</v>
      </c>
      <c r="P567" t="s">
        <v>38</v>
      </c>
      <c r="Q567">
        <v>43094476557077</v>
      </c>
      <c r="R567" t="s">
        <v>9945</v>
      </c>
      <c r="S567">
        <v>840</v>
      </c>
      <c r="T567" t="s">
        <v>40</v>
      </c>
      <c r="U567">
        <f>+IF(Tabla1[[#This Row],[MONEDA]]="PEN",Tabla1[[#This Row],[MONTO]],Tabla1[[#This Row],[MONTO]]*3.56)</f>
        <v>840</v>
      </c>
      <c r="X567" t="s">
        <v>41</v>
      </c>
      <c r="Y567" t="s">
        <v>51</v>
      </c>
      <c r="Z567" t="s">
        <v>43</v>
      </c>
      <c r="AA567" t="s">
        <v>9946</v>
      </c>
      <c r="AB567" t="s">
        <v>9947</v>
      </c>
      <c r="AC567" t="s">
        <v>9948</v>
      </c>
      <c r="AE567">
        <v>840</v>
      </c>
      <c r="AF567" t="s">
        <v>87</v>
      </c>
      <c r="AG567" t="s">
        <v>169</v>
      </c>
    </row>
    <row r="568" spans="1:33" hidden="1" x14ac:dyDescent="0.25">
      <c r="A568">
        <v>24553</v>
      </c>
      <c r="B568" t="s">
        <v>32</v>
      </c>
      <c r="C568">
        <v>2</v>
      </c>
      <c r="D568" t="s">
        <v>10200</v>
      </c>
      <c r="E568" t="s">
        <v>70</v>
      </c>
      <c r="F568" t="s">
        <v>33</v>
      </c>
      <c r="G568" t="s">
        <v>9943</v>
      </c>
      <c r="H568" t="s">
        <v>9503</v>
      </c>
      <c r="I568" t="s">
        <v>10201</v>
      </c>
      <c r="J568" t="s">
        <v>10202</v>
      </c>
      <c r="K568" t="s">
        <v>36</v>
      </c>
      <c r="L568" t="s">
        <v>33</v>
      </c>
      <c r="M568">
        <v>10044023739</v>
      </c>
      <c r="N568" t="s">
        <v>1731</v>
      </c>
      <c r="P568" t="s">
        <v>38</v>
      </c>
      <c r="Q568">
        <v>43094476557077</v>
      </c>
      <c r="R568" t="s">
        <v>10203</v>
      </c>
      <c r="S568">
        <v>520</v>
      </c>
      <c r="T568" t="s">
        <v>40</v>
      </c>
      <c r="U568">
        <f>+IF(Tabla1[[#This Row],[MONEDA]]="PEN",Tabla1[[#This Row],[MONTO]],Tabla1[[#This Row],[MONTO]]*3.56)</f>
        <v>520</v>
      </c>
      <c r="X568" t="s">
        <v>41</v>
      </c>
      <c r="Y568" t="s">
        <v>51</v>
      </c>
      <c r="Z568" t="s">
        <v>43</v>
      </c>
      <c r="AA568" t="s">
        <v>10204</v>
      </c>
      <c r="AB568" t="s">
        <v>10205</v>
      </c>
      <c r="AC568" t="s">
        <v>10206</v>
      </c>
      <c r="AE568">
        <v>520</v>
      </c>
      <c r="AF568" t="s">
        <v>87</v>
      </c>
      <c r="AG568" t="s">
        <v>169</v>
      </c>
    </row>
    <row r="569" spans="1:33" hidden="1" x14ac:dyDescent="0.25">
      <c r="A569">
        <v>23730</v>
      </c>
      <c r="B569" t="s">
        <v>32</v>
      </c>
      <c r="C569">
        <v>1</v>
      </c>
      <c r="D569" t="s">
        <v>10985</v>
      </c>
      <c r="E569" t="s">
        <v>70</v>
      </c>
      <c r="F569" t="s">
        <v>33</v>
      </c>
      <c r="G569" t="s">
        <v>9943</v>
      </c>
      <c r="H569" t="s">
        <v>9503</v>
      </c>
      <c r="I569" t="s">
        <v>10986</v>
      </c>
      <c r="J569" t="s">
        <v>10987</v>
      </c>
      <c r="K569" t="s">
        <v>36</v>
      </c>
      <c r="L569" t="s">
        <v>33</v>
      </c>
      <c r="M569">
        <v>10044023739</v>
      </c>
      <c r="N569" t="s">
        <v>1731</v>
      </c>
      <c r="P569" t="s">
        <v>38</v>
      </c>
      <c r="Q569">
        <v>43094476557077</v>
      </c>
      <c r="R569" t="s">
        <v>10988</v>
      </c>
      <c r="S569">
        <v>390</v>
      </c>
      <c r="T569" t="s">
        <v>40</v>
      </c>
      <c r="U569">
        <f>+IF(Tabla1[[#This Row],[MONEDA]]="PEN",Tabla1[[#This Row],[MONTO]],Tabla1[[#This Row],[MONTO]]*3.56)</f>
        <v>390</v>
      </c>
      <c r="X569" t="s">
        <v>41</v>
      </c>
      <c r="Y569" t="s">
        <v>42</v>
      </c>
      <c r="Z569" t="s">
        <v>82</v>
      </c>
      <c r="AA569" t="s">
        <v>10989</v>
      </c>
      <c r="AB569" t="s">
        <v>10990</v>
      </c>
      <c r="AC569" t="s">
        <v>10991</v>
      </c>
      <c r="AD569" t="s">
        <v>10992</v>
      </c>
      <c r="AE569">
        <v>390</v>
      </c>
      <c r="AF569" t="s">
        <v>87</v>
      </c>
      <c r="AG569" t="s">
        <v>169</v>
      </c>
    </row>
    <row r="570" spans="1:33" hidden="1" x14ac:dyDescent="0.25">
      <c r="A570">
        <v>23732</v>
      </c>
      <c r="B570" t="s">
        <v>32</v>
      </c>
      <c r="C570">
        <v>1</v>
      </c>
      <c r="D570" t="s">
        <v>10993</v>
      </c>
      <c r="E570" t="s">
        <v>70</v>
      </c>
      <c r="F570" t="s">
        <v>33</v>
      </c>
      <c r="G570" t="s">
        <v>9943</v>
      </c>
      <c r="H570" t="s">
        <v>9503</v>
      </c>
      <c r="I570" t="s">
        <v>10986</v>
      </c>
      <c r="J570" t="s">
        <v>10994</v>
      </c>
      <c r="K570" t="s">
        <v>36</v>
      </c>
      <c r="L570" t="s">
        <v>33</v>
      </c>
      <c r="M570">
        <v>10044023739</v>
      </c>
      <c r="N570" t="s">
        <v>1731</v>
      </c>
      <c r="P570" t="s">
        <v>38</v>
      </c>
      <c r="Q570">
        <v>43094476557077</v>
      </c>
      <c r="R570" t="s">
        <v>10995</v>
      </c>
      <c r="S570">
        <v>450</v>
      </c>
      <c r="T570" t="s">
        <v>40</v>
      </c>
      <c r="U570">
        <f>+IF(Tabla1[[#This Row],[MONEDA]]="PEN",Tabla1[[#This Row],[MONTO]],Tabla1[[#This Row],[MONTO]]*3.56)</f>
        <v>450</v>
      </c>
      <c r="X570" t="s">
        <v>41</v>
      </c>
      <c r="Y570" t="s">
        <v>42</v>
      </c>
      <c r="Z570" t="s">
        <v>43</v>
      </c>
      <c r="AA570" t="s">
        <v>10996</v>
      </c>
      <c r="AB570" t="s">
        <v>10997</v>
      </c>
      <c r="AC570" t="s">
        <v>10998</v>
      </c>
      <c r="AD570" t="s">
        <v>10999</v>
      </c>
      <c r="AE570">
        <v>450</v>
      </c>
      <c r="AF570" t="s">
        <v>87</v>
      </c>
      <c r="AG570" t="s">
        <v>169</v>
      </c>
    </row>
    <row r="571" spans="1:33" x14ac:dyDescent="0.25">
      <c r="A571">
        <v>23109</v>
      </c>
      <c r="B571" t="s">
        <v>32</v>
      </c>
      <c r="C571">
        <v>1</v>
      </c>
      <c r="D571" t="s">
        <v>11332</v>
      </c>
      <c r="E571" t="s">
        <v>70</v>
      </c>
      <c r="F571" t="s">
        <v>90</v>
      </c>
      <c r="G571" t="s">
        <v>91</v>
      </c>
      <c r="H571" t="s">
        <v>72</v>
      </c>
      <c r="I571" t="s">
        <v>11333</v>
      </c>
      <c r="J571" t="s">
        <v>11334</v>
      </c>
      <c r="K571" t="s">
        <v>36</v>
      </c>
      <c r="L571" t="s">
        <v>33</v>
      </c>
      <c r="M571">
        <v>10044023739</v>
      </c>
      <c r="N571" t="s">
        <v>1731</v>
      </c>
      <c r="O571" t="s">
        <v>1747</v>
      </c>
      <c r="P571" t="s">
        <v>38</v>
      </c>
      <c r="Q571">
        <v>43094476557077</v>
      </c>
      <c r="R571" t="s">
        <v>11335</v>
      </c>
      <c r="S571">
        <v>240</v>
      </c>
      <c r="T571" t="s">
        <v>40</v>
      </c>
      <c r="U571">
        <f>+IF(Tabla1[[#This Row],[MONEDA]]="PEN",Tabla1[[#This Row],[MONTO]],Tabla1[[#This Row],[MONTO]]*3.56)</f>
        <v>240</v>
      </c>
      <c r="X571" t="s">
        <v>41</v>
      </c>
      <c r="Y571" t="s">
        <v>42</v>
      </c>
      <c r="Z571" t="s">
        <v>43</v>
      </c>
      <c r="AA571" t="s">
        <v>11336</v>
      </c>
      <c r="AB571" t="s">
        <v>11337</v>
      </c>
      <c r="AC571" t="s">
        <v>11338</v>
      </c>
      <c r="AD571" t="s">
        <v>11339</v>
      </c>
      <c r="AE571">
        <v>240</v>
      </c>
      <c r="AF571" t="s">
        <v>87</v>
      </c>
      <c r="AG571" t="s">
        <v>169</v>
      </c>
    </row>
    <row r="572" spans="1:33" x14ac:dyDescent="0.25">
      <c r="A572">
        <v>22604</v>
      </c>
      <c r="B572" t="s">
        <v>32</v>
      </c>
      <c r="C572">
        <v>1</v>
      </c>
      <c r="D572" t="s">
        <v>11822</v>
      </c>
      <c r="E572" t="s">
        <v>70</v>
      </c>
      <c r="F572" t="s">
        <v>90</v>
      </c>
      <c r="G572" t="s">
        <v>91</v>
      </c>
      <c r="H572" t="s">
        <v>9503</v>
      </c>
      <c r="I572" t="s">
        <v>11809</v>
      </c>
      <c r="J572" t="s">
        <v>11823</v>
      </c>
      <c r="K572" t="s">
        <v>36</v>
      </c>
      <c r="L572" t="s">
        <v>33</v>
      </c>
      <c r="M572">
        <v>10044023739</v>
      </c>
      <c r="N572" t="s">
        <v>1731</v>
      </c>
      <c r="O572" t="s">
        <v>1747</v>
      </c>
      <c r="P572" t="s">
        <v>38</v>
      </c>
      <c r="Q572">
        <v>43094476557077</v>
      </c>
      <c r="R572" t="s">
        <v>11824</v>
      </c>
      <c r="S572">
        <v>410</v>
      </c>
      <c r="T572" t="s">
        <v>40</v>
      </c>
      <c r="U572">
        <f>+IF(Tabla1[[#This Row],[MONEDA]]="PEN",Tabla1[[#This Row],[MONTO]],Tabla1[[#This Row],[MONTO]]*3.56)</f>
        <v>410</v>
      </c>
      <c r="X572" t="s">
        <v>41</v>
      </c>
      <c r="Y572" t="s">
        <v>42</v>
      </c>
      <c r="Z572" t="s">
        <v>43</v>
      </c>
      <c r="AA572" t="s">
        <v>11825</v>
      </c>
      <c r="AB572" t="s">
        <v>11826</v>
      </c>
      <c r="AC572" t="s">
        <v>11827</v>
      </c>
      <c r="AD572" t="s">
        <v>11828</v>
      </c>
      <c r="AE572">
        <v>410</v>
      </c>
      <c r="AF572" t="s">
        <v>87</v>
      </c>
      <c r="AG572" t="s">
        <v>169</v>
      </c>
    </row>
    <row r="573" spans="1:33" x14ac:dyDescent="0.25">
      <c r="A573">
        <v>21924</v>
      </c>
      <c r="B573" t="s">
        <v>32</v>
      </c>
      <c r="C573">
        <v>1</v>
      </c>
      <c r="D573" t="s">
        <v>12093</v>
      </c>
      <c r="E573" t="s">
        <v>70</v>
      </c>
      <c r="F573" t="s">
        <v>90</v>
      </c>
      <c r="G573" t="s">
        <v>91</v>
      </c>
      <c r="H573" t="s">
        <v>72</v>
      </c>
      <c r="I573" t="s">
        <v>12084</v>
      </c>
      <c r="J573" t="s">
        <v>12094</v>
      </c>
      <c r="K573" t="s">
        <v>36</v>
      </c>
      <c r="L573" t="s">
        <v>33</v>
      </c>
      <c r="M573">
        <v>10044023739</v>
      </c>
      <c r="N573" t="s">
        <v>1731</v>
      </c>
      <c r="O573" t="s">
        <v>1747</v>
      </c>
      <c r="P573" t="s">
        <v>38</v>
      </c>
      <c r="Q573">
        <v>43094476557077</v>
      </c>
      <c r="R573" t="s">
        <v>12095</v>
      </c>
      <c r="S573">
        <v>568</v>
      </c>
      <c r="T573" t="s">
        <v>40</v>
      </c>
      <c r="U573">
        <f>+IF(Tabla1[[#This Row],[MONEDA]]="PEN",Tabla1[[#This Row],[MONTO]],Tabla1[[#This Row],[MONTO]]*3.56)</f>
        <v>568</v>
      </c>
      <c r="X573" t="s">
        <v>41</v>
      </c>
      <c r="Y573" t="s">
        <v>42</v>
      </c>
      <c r="Z573" t="s">
        <v>43</v>
      </c>
      <c r="AA573" t="s">
        <v>12096</v>
      </c>
      <c r="AB573" t="s">
        <v>12097</v>
      </c>
      <c r="AC573" t="s">
        <v>12098</v>
      </c>
      <c r="AD573" t="s">
        <v>12099</v>
      </c>
      <c r="AE573">
        <v>568</v>
      </c>
      <c r="AF573" t="s">
        <v>87</v>
      </c>
      <c r="AG573" t="s">
        <v>169</v>
      </c>
    </row>
    <row r="574" spans="1:33" hidden="1" x14ac:dyDescent="0.25">
      <c r="A574">
        <v>21719</v>
      </c>
      <c r="B574" t="s">
        <v>32</v>
      </c>
      <c r="C574">
        <v>1</v>
      </c>
      <c r="D574" t="s">
        <v>12258</v>
      </c>
      <c r="E574" t="s">
        <v>70</v>
      </c>
      <c r="F574" t="s">
        <v>33</v>
      </c>
      <c r="G574" t="s">
        <v>9943</v>
      </c>
      <c r="H574" t="s">
        <v>72</v>
      </c>
      <c r="I574" t="s">
        <v>12259</v>
      </c>
      <c r="J574" t="s">
        <v>12260</v>
      </c>
      <c r="K574" t="s">
        <v>36</v>
      </c>
      <c r="L574" t="s">
        <v>33</v>
      </c>
      <c r="M574">
        <v>10044023739</v>
      </c>
      <c r="N574" t="s">
        <v>1731</v>
      </c>
      <c r="O574" t="s">
        <v>9404</v>
      </c>
      <c r="P574" t="s">
        <v>38</v>
      </c>
      <c r="Q574">
        <v>43094476557077</v>
      </c>
      <c r="R574" t="s">
        <v>12261</v>
      </c>
      <c r="S574">
        <v>1050</v>
      </c>
      <c r="T574" t="s">
        <v>40</v>
      </c>
      <c r="U574">
        <f>+IF(Tabla1[[#This Row],[MONEDA]]="PEN",Tabla1[[#This Row],[MONTO]],Tabla1[[#This Row],[MONTO]]*3.56)</f>
        <v>1050</v>
      </c>
      <c r="X574" t="s">
        <v>41</v>
      </c>
      <c r="Y574" t="s">
        <v>42</v>
      </c>
      <c r="Z574" t="s">
        <v>43</v>
      </c>
      <c r="AA574" t="s">
        <v>12262</v>
      </c>
      <c r="AB574" t="s">
        <v>12263</v>
      </c>
      <c r="AC574" t="s">
        <v>12264</v>
      </c>
      <c r="AD574" t="s">
        <v>12265</v>
      </c>
      <c r="AE574">
        <v>1050</v>
      </c>
      <c r="AF574" t="s">
        <v>87</v>
      </c>
      <c r="AG574" t="s">
        <v>169</v>
      </c>
    </row>
    <row r="575" spans="1:33" hidden="1" x14ac:dyDescent="0.25">
      <c r="A575">
        <v>24520</v>
      </c>
      <c r="B575" t="s">
        <v>32</v>
      </c>
      <c r="C575">
        <v>1</v>
      </c>
      <c r="D575" t="s">
        <v>10266</v>
      </c>
      <c r="E575" t="s">
        <v>45</v>
      </c>
      <c r="F575" t="s">
        <v>90</v>
      </c>
      <c r="G575" t="s">
        <v>91</v>
      </c>
      <c r="H575" t="s">
        <v>72</v>
      </c>
      <c r="I575" t="s">
        <v>10267</v>
      </c>
      <c r="J575" t="s">
        <v>10268</v>
      </c>
      <c r="K575" t="s">
        <v>36</v>
      </c>
      <c r="L575" t="s">
        <v>33</v>
      </c>
      <c r="M575">
        <v>10044023739</v>
      </c>
      <c r="N575" t="s">
        <v>1731</v>
      </c>
      <c r="P575" t="s">
        <v>38</v>
      </c>
      <c r="Q575">
        <v>43094476557077</v>
      </c>
      <c r="R575" t="s">
        <v>10269</v>
      </c>
      <c r="S575">
        <v>142</v>
      </c>
      <c r="T575" t="s">
        <v>40</v>
      </c>
      <c r="U575">
        <f>+IF(Tabla1[[#This Row],[MONEDA]]="PEN",Tabla1[[#This Row],[MONTO]],Tabla1[[#This Row],[MONTO]]*3.56)</f>
        <v>142</v>
      </c>
      <c r="V575" t="s">
        <v>190</v>
      </c>
      <c r="W575">
        <v>21301</v>
      </c>
      <c r="X575" t="s">
        <v>41</v>
      </c>
      <c r="Y575" t="s">
        <v>42</v>
      </c>
      <c r="Z575" t="s">
        <v>43</v>
      </c>
      <c r="AC575" t="s">
        <v>10270</v>
      </c>
      <c r="AD575" t="s">
        <v>10271</v>
      </c>
    </row>
    <row r="576" spans="1:33" hidden="1" x14ac:dyDescent="0.25">
      <c r="A576">
        <v>24380</v>
      </c>
      <c r="B576" t="s">
        <v>32</v>
      </c>
      <c r="C576">
        <v>2</v>
      </c>
      <c r="D576" t="s">
        <v>10396</v>
      </c>
      <c r="E576" t="s">
        <v>70</v>
      </c>
      <c r="F576" t="s">
        <v>1275</v>
      </c>
      <c r="G576" t="s">
        <v>10333</v>
      </c>
      <c r="H576" t="s">
        <v>3703</v>
      </c>
      <c r="I576" t="s">
        <v>10397</v>
      </c>
      <c r="J576" t="s">
        <v>10397</v>
      </c>
      <c r="K576" t="s">
        <v>36</v>
      </c>
      <c r="L576" t="s">
        <v>33</v>
      </c>
      <c r="M576">
        <v>10406252634</v>
      </c>
      <c r="N576" t="s">
        <v>10398</v>
      </c>
      <c r="O576" t="s">
        <v>10333</v>
      </c>
      <c r="R576" t="s">
        <v>10399</v>
      </c>
      <c r="S576">
        <v>50</v>
      </c>
      <c r="T576" t="s">
        <v>40</v>
      </c>
      <c r="U576">
        <f>+IF(Tabla1[[#This Row],[MONEDA]]="PEN",Tabla1[[#This Row],[MONTO]],Tabla1[[#This Row],[MONTO]]*3.56)</f>
        <v>50</v>
      </c>
      <c r="V576" t="s">
        <v>190</v>
      </c>
      <c r="W576">
        <v>22824</v>
      </c>
      <c r="X576" t="s">
        <v>828</v>
      </c>
      <c r="Y576" t="s">
        <v>42</v>
      </c>
      <c r="Z576" t="s">
        <v>82</v>
      </c>
      <c r="AA576" t="s">
        <v>10400</v>
      </c>
      <c r="AC576" t="s">
        <v>10401</v>
      </c>
      <c r="AD576" t="s">
        <v>10402</v>
      </c>
    </row>
    <row r="577" spans="1:33" hidden="1" x14ac:dyDescent="0.25">
      <c r="A577">
        <v>26302</v>
      </c>
      <c r="B577" t="s">
        <v>32</v>
      </c>
      <c r="C577">
        <v>2</v>
      </c>
      <c r="D577" t="s">
        <v>9341</v>
      </c>
      <c r="E577" t="s">
        <v>70</v>
      </c>
      <c r="F577" t="s">
        <v>33</v>
      </c>
      <c r="G577" t="s">
        <v>71</v>
      </c>
      <c r="H577" t="s">
        <v>72</v>
      </c>
      <c r="I577" t="s">
        <v>9337</v>
      </c>
      <c r="J577" t="s">
        <v>9342</v>
      </c>
      <c r="K577" t="s">
        <v>36</v>
      </c>
      <c r="L577" t="s">
        <v>33</v>
      </c>
      <c r="M577">
        <v>15428587577</v>
      </c>
      <c r="N577" t="s">
        <v>8559</v>
      </c>
      <c r="O577" t="s">
        <v>76</v>
      </c>
      <c r="P577" t="s">
        <v>38</v>
      </c>
      <c r="Q577">
        <v>43099395363068</v>
      </c>
      <c r="R577" t="s">
        <v>9343</v>
      </c>
      <c r="S577">
        <v>590</v>
      </c>
      <c r="T577" t="s">
        <v>40</v>
      </c>
      <c r="U577">
        <f>+IF(Tabla1[[#This Row],[MONEDA]]="PEN",Tabla1[[#This Row],[MONTO]],Tabla1[[#This Row],[MONTO]]*3.56)</f>
        <v>590</v>
      </c>
      <c r="X577" t="s">
        <v>81</v>
      </c>
      <c r="Y577" t="s">
        <v>42</v>
      </c>
      <c r="Z577" t="s">
        <v>82</v>
      </c>
      <c r="AA577" t="s">
        <v>9344</v>
      </c>
      <c r="AB577" t="s">
        <v>9345</v>
      </c>
      <c r="AC577" t="s">
        <v>9346</v>
      </c>
      <c r="AD577" t="s">
        <v>9347</v>
      </c>
      <c r="AE577">
        <v>590</v>
      </c>
      <c r="AF577" t="s">
        <v>87</v>
      </c>
      <c r="AG577" t="s">
        <v>169</v>
      </c>
    </row>
    <row r="578" spans="1:33" hidden="1" x14ac:dyDescent="0.25">
      <c r="A578">
        <v>21907</v>
      </c>
      <c r="B578" t="s">
        <v>32</v>
      </c>
      <c r="C578">
        <v>1</v>
      </c>
      <c r="D578" t="s">
        <v>12083</v>
      </c>
      <c r="E578" t="s">
        <v>70</v>
      </c>
      <c r="F578" t="s">
        <v>33</v>
      </c>
      <c r="G578" t="s">
        <v>71</v>
      </c>
      <c r="H578" t="s">
        <v>72</v>
      </c>
      <c r="I578" t="s">
        <v>12084</v>
      </c>
      <c r="J578" t="s">
        <v>12085</v>
      </c>
      <c r="K578" t="s">
        <v>36</v>
      </c>
      <c r="L578" t="s">
        <v>33</v>
      </c>
      <c r="M578">
        <v>20609462508</v>
      </c>
      <c r="N578" t="s">
        <v>12086</v>
      </c>
      <c r="O578" t="s">
        <v>76</v>
      </c>
      <c r="P578" t="s">
        <v>38</v>
      </c>
      <c r="Q578" t="s">
        <v>12087</v>
      </c>
      <c r="R578" t="s">
        <v>12088</v>
      </c>
      <c r="S578">
        <v>4381</v>
      </c>
      <c r="T578" t="s">
        <v>40</v>
      </c>
      <c r="U578">
        <f>+IF(Tabla1[[#This Row],[MONEDA]]="PEN",Tabla1[[#This Row],[MONTO]],Tabla1[[#This Row],[MONTO]]*3.56)</f>
        <v>4381</v>
      </c>
      <c r="X578" t="s">
        <v>81</v>
      </c>
      <c r="Y578" t="s">
        <v>42</v>
      </c>
      <c r="Z578" t="s">
        <v>43</v>
      </c>
      <c r="AA578" t="s">
        <v>12089</v>
      </c>
      <c r="AB578" t="s">
        <v>12090</v>
      </c>
      <c r="AC578" t="s">
        <v>12091</v>
      </c>
      <c r="AD578" t="s">
        <v>12092</v>
      </c>
      <c r="AE578">
        <v>4249.57</v>
      </c>
      <c r="AF578" t="s">
        <v>87</v>
      </c>
      <c r="AG578" t="s">
        <v>169</v>
      </c>
    </row>
    <row r="579" spans="1:33" hidden="1" x14ac:dyDescent="0.25">
      <c r="A579">
        <v>21619</v>
      </c>
      <c r="B579" t="s">
        <v>32</v>
      </c>
      <c r="C579">
        <v>1</v>
      </c>
      <c r="D579" t="s">
        <v>12347</v>
      </c>
      <c r="E579" t="s">
        <v>70</v>
      </c>
      <c r="F579" t="s">
        <v>33</v>
      </c>
      <c r="G579" t="s">
        <v>71</v>
      </c>
      <c r="H579" t="s">
        <v>72</v>
      </c>
      <c r="I579" t="s">
        <v>12320</v>
      </c>
      <c r="J579" t="s">
        <v>12348</v>
      </c>
      <c r="K579" t="s">
        <v>36</v>
      </c>
      <c r="L579" t="s">
        <v>33</v>
      </c>
      <c r="M579">
        <v>20609462508</v>
      </c>
      <c r="N579" t="s">
        <v>12086</v>
      </c>
      <c r="O579" t="s">
        <v>76</v>
      </c>
      <c r="P579" t="s">
        <v>38</v>
      </c>
      <c r="Q579" t="s">
        <v>12087</v>
      </c>
      <c r="R579" t="s">
        <v>12349</v>
      </c>
      <c r="S579">
        <v>2816</v>
      </c>
      <c r="T579" t="s">
        <v>40</v>
      </c>
      <c r="U579">
        <f>+IF(Tabla1[[#This Row],[MONEDA]]="PEN",Tabla1[[#This Row],[MONTO]],Tabla1[[#This Row],[MONTO]]*3.56)</f>
        <v>2816</v>
      </c>
      <c r="X579" t="s">
        <v>81</v>
      </c>
      <c r="Y579" t="s">
        <v>42</v>
      </c>
      <c r="Z579" t="s">
        <v>43</v>
      </c>
      <c r="AA579" t="s">
        <v>12350</v>
      </c>
      <c r="AB579" t="s">
        <v>12351</v>
      </c>
      <c r="AC579" t="s">
        <v>12352</v>
      </c>
      <c r="AD579" t="s">
        <v>12353</v>
      </c>
      <c r="AE579">
        <v>2731.52</v>
      </c>
      <c r="AF579" t="s">
        <v>87</v>
      </c>
      <c r="AG579" t="s">
        <v>169</v>
      </c>
    </row>
    <row r="580" spans="1:33" hidden="1" x14ac:dyDescent="0.25">
      <c r="A580">
        <v>30726</v>
      </c>
      <c r="B580" t="s">
        <v>32</v>
      </c>
      <c r="C580">
        <v>1</v>
      </c>
      <c r="D580" t="s">
        <v>6102</v>
      </c>
      <c r="E580" t="s">
        <v>70</v>
      </c>
      <c r="F580" t="s">
        <v>33</v>
      </c>
      <c r="G580" t="s">
        <v>71</v>
      </c>
      <c r="H580" t="s">
        <v>35</v>
      </c>
      <c r="I580" t="s">
        <v>6103</v>
      </c>
      <c r="J580" t="s">
        <v>6104</v>
      </c>
      <c r="K580" t="s">
        <v>36</v>
      </c>
      <c r="L580" t="s">
        <v>33</v>
      </c>
      <c r="M580">
        <v>10708915047</v>
      </c>
      <c r="N580" t="s">
        <v>6105</v>
      </c>
      <c r="O580" t="s">
        <v>76</v>
      </c>
      <c r="P580" t="s">
        <v>38</v>
      </c>
      <c r="Q580" t="s">
        <v>6106</v>
      </c>
      <c r="R580" t="s">
        <v>6107</v>
      </c>
      <c r="S580">
        <v>410</v>
      </c>
      <c r="T580" t="s">
        <v>40</v>
      </c>
      <c r="U580">
        <f>+IF(Tabla1[[#This Row],[MONEDA]]="PEN",Tabla1[[#This Row],[MONTO]],Tabla1[[#This Row],[MONTO]]*3.56)</f>
        <v>410</v>
      </c>
      <c r="X580" t="s">
        <v>81</v>
      </c>
      <c r="Y580" t="s">
        <v>42</v>
      </c>
      <c r="Z580" t="s">
        <v>43</v>
      </c>
      <c r="AA580" t="s">
        <v>6108</v>
      </c>
      <c r="AB580" t="s">
        <v>6109</v>
      </c>
      <c r="AC580" t="s">
        <v>6110</v>
      </c>
      <c r="AD580" t="s">
        <v>6111</v>
      </c>
      <c r="AE580">
        <v>410</v>
      </c>
      <c r="AF580" t="s">
        <v>87</v>
      </c>
      <c r="AG580" t="s">
        <v>169</v>
      </c>
    </row>
    <row r="581" spans="1:33" hidden="1" x14ac:dyDescent="0.25">
      <c r="A581">
        <v>32052</v>
      </c>
      <c r="B581" t="s">
        <v>32</v>
      </c>
      <c r="C581">
        <v>1</v>
      </c>
      <c r="D581" t="s">
        <v>5502</v>
      </c>
      <c r="E581" t="s">
        <v>70</v>
      </c>
      <c r="F581" t="s">
        <v>33</v>
      </c>
      <c r="G581" t="s">
        <v>71</v>
      </c>
      <c r="H581" t="s">
        <v>72</v>
      </c>
      <c r="I581" t="s">
        <v>5502</v>
      </c>
      <c r="J581" t="s">
        <v>5503</v>
      </c>
      <c r="K581" t="s">
        <v>36</v>
      </c>
      <c r="L581" t="s">
        <v>33</v>
      </c>
      <c r="M581">
        <v>20532628301</v>
      </c>
      <c r="N581" t="s">
        <v>5504</v>
      </c>
      <c r="O581" t="s">
        <v>76</v>
      </c>
      <c r="R581" t="s">
        <v>5505</v>
      </c>
      <c r="S581">
        <v>280</v>
      </c>
      <c r="T581" t="s">
        <v>40</v>
      </c>
      <c r="U581">
        <f>+IF(Tabla1[[#This Row],[MONEDA]]="PEN",Tabla1[[#This Row],[MONTO]],Tabla1[[#This Row],[MONTO]]*3.56)</f>
        <v>280</v>
      </c>
      <c r="V581" t="s">
        <v>190</v>
      </c>
      <c r="W581">
        <v>29730</v>
      </c>
      <c r="X581" t="s">
        <v>81</v>
      </c>
      <c r="Y581" t="s">
        <v>42</v>
      </c>
      <c r="Z581" t="s">
        <v>43</v>
      </c>
      <c r="AA581" t="s">
        <v>5506</v>
      </c>
      <c r="AC581" t="s">
        <v>5507</v>
      </c>
      <c r="AD581" t="s">
        <v>5508</v>
      </c>
    </row>
    <row r="582" spans="1:33" x14ac:dyDescent="0.25">
      <c r="A582">
        <v>27749</v>
      </c>
      <c r="B582" t="s">
        <v>32</v>
      </c>
      <c r="C582">
        <v>1</v>
      </c>
      <c r="D582" t="s">
        <v>8137</v>
      </c>
      <c r="E582" t="s">
        <v>70</v>
      </c>
      <c r="F582" t="s">
        <v>5328</v>
      </c>
      <c r="G582" t="s">
        <v>5329</v>
      </c>
      <c r="H582" t="s">
        <v>72</v>
      </c>
      <c r="I582" t="s">
        <v>8122</v>
      </c>
      <c r="J582" t="s">
        <v>8138</v>
      </c>
      <c r="K582" t="s">
        <v>36</v>
      </c>
      <c r="L582" t="s">
        <v>33</v>
      </c>
      <c r="M582">
        <v>20532628301</v>
      </c>
      <c r="N582" t="s">
        <v>5504</v>
      </c>
      <c r="O582" t="s">
        <v>6159</v>
      </c>
      <c r="P582" t="s">
        <v>38</v>
      </c>
      <c r="Q582">
        <v>4302357692003</v>
      </c>
      <c r="R582" t="s">
        <v>8139</v>
      </c>
      <c r="S582">
        <v>510</v>
      </c>
      <c r="T582" t="s">
        <v>40</v>
      </c>
      <c r="U582">
        <f>+IF(Tabla1[[#This Row],[MONEDA]]="PEN",Tabla1[[#This Row],[MONTO]],Tabla1[[#This Row],[MONTO]]*3.56)</f>
        <v>510</v>
      </c>
      <c r="X582" t="s">
        <v>81</v>
      </c>
      <c r="Y582" t="s">
        <v>42</v>
      </c>
      <c r="Z582" t="s">
        <v>43</v>
      </c>
      <c r="AA582" t="s">
        <v>8140</v>
      </c>
      <c r="AB582" t="s">
        <v>8141</v>
      </c>
      <c r="AC582" t="s">
        <v>8142</v>
      </c>
      <c r="AD582" t="s">
        <v>8143</v>
      </c>
      <c r="AE582">
        <v>510</v>
      </c>
      <c r="AF582" t="s">
        <v>87</v>
      </c>
      <c r="AG582" t="s">
        <v>169</v>
      </c>
    </row>
    <row r="583" spans="1:33" hidden="1" x14ac:dyDescent="0.25">
      <c r="A583">
        <v>45126</v>
      </c>
      <c r="B583" t="s">
        <v>32</v>
      </c>
      <c r="C583">
        <v>1</v>
      </c>
      <c r="D583" t="s">
        <v>254</v>
      </c>
      <c r="E583" t="s">
        <v>70</v>
      </c>
      <c r="F583" t="s">
        <v>33</v>
      </c>
      <c r="G583" t="s">
        <v>34</v>
      </c>
      <c r="H583" t="s">
        <v>35</v>
      </c>
      <c r="I583" t="s">
        <v>221</v>
      </c>
      <c r="J583" t="s">
        <v>255</v>
      </c>
      <c r="K583" t="s">
        <v>36</v>
      </c>
      <c r="L583" t="s">
        <v>33</v>
      </c>
      <c r="M583">
        <v>20507850091</v>
      </c>
      <c r="N583" t="s">
        <v>256</v>
      </c>
      <c r="P583" t="s">
        <v>38</v>
      </c>
      <c r="Q583" t="s">
        <v>257</v>
      </c>
      <c r="R583" t="s">
        <v>258</v>
      </c>
      <c r="S583">
        <v>1416</v>
      </c>
      <c r="T583" t="s">
        <v>40</v>
      </c>
      <c r="U583">
        <f>+IF(Tabla1[[#This Row],[MONEDA]]="PEN",Tabla1[[#This Row],[MONTO]],Tabla1[[#This Row],[MONTO]]*3.56)</f>
        <v>1416</v>
      </c>
      <c r="X583" t="s">
        <v>41</v>
      </c>
      <c r="Y583" t="s">
        <v>51</v>
      </c>
      <c r="Z583" t="s">
        <v>43</v>
      </c>
      <c r="AA583" t="s">
        <v>259</v>
      </c>
      <c r="AB583" t="s">
        <v>260</v>
      </c>
      <c r="AC583" t="s">
        <v>261</v>
      </c>
      <c r="AE583">
        <v>1416</v>
      </c>
      <c r="AF583" t="s">
        <v>87</v>
      </c>
      <c r="AG583" t="s">
        <v>169</v>
      </c>
    </row>
    <row r="584" spans="1:33" hidden="1" x14ac:dyDescent="0.25">
      <c r="A584">
        <v>45127</v>
      </c>
      <c r="B584" t="s">
        <v>32</v>
      </c>
      <c r="C584">
        <v>3</v>
      </c>
      <c r="D584" t="s">
        <v>262</v>
      </c>
      <c r="E584" t="s">
        <v>70</v>
      </c>
      <c r="F584" t="s">
        <v>33</v>
      </c>
      <c r="G584" t="s">
        <v>34</v>
      </c>
      <c r="H584" t="s">
        <v>35</v>
      </c>
      <c r="I584" t="s">
        <v>221</v>
      </c>
      <c r="J584" t="s">
        <v>263</v>
      </c>
      <c r="K584" t="s">
        <v>36</v>
      </c>
      <c r="L584" t="s">
        <v>33</v>
      </c>
      <c r="M584">
        <v>20507850091</v>
      </c>
      <c r="N584" t="s">
        <v>256</v>
      </c>
      <c r="P584" t="s">
        <v>38</v>
      </c>
      <c r="Q584" t="s">
        <v>257</v>
      </c>
      <c r="R584" t="s">
        <v>264</v>
      </c>
      <c r="S584">
        <v>1416</v>
      </c>
      <c r="T584" t="s">
        <v>40</v>
      </c>
      <c r="U584">
        <f>+IF(Tabla1[[#This Row],[MONEDA]]="PEN",Tabla1[[#This Row],[MONTO]],Tabla1[[#This Row],[MONTO]]*3.56)</f>
        <v>1416</v>
      </c>
      <c r="X584" t="s">
        <v>41</v>
      </c>
      <c r="Y584" t="s">
        <v>51</v>
      </c>
      <c r="Z584" t="s">
        <v>43</v>
      </c>
      <c r="AA584" t="s">
        <v>265</v>
      </c>
      <c r="AB584" t="s">
        <v>266</v>
      </c>
      <c r="AC584" t="s">
        <v>267</v>
      </c>
      <c r="AE584">
        <v>1416</v>
      </c>
      <c r="AF584" t="s">
        <v>87</v>
      </c>
      <c r="AG584" t="s">
        <v>169</v>
      </c>
    </row>
    <row r="585" spans="1:33" hidden="1" x14ac:dyDescent="0.25">
      <c r="A585">
        <v>45128</v>
      </c>
      <c r="B585" t="s">
        <v>32</v>
      </c>
      <c r="C585">
        <v>6</v>
      </c>
      <c r="D585" t="s">
        <v>268</v>
      </c>
      <c r="E585" t="s">
        <v>70</v>
      </c>
      <c r="F585" t="s">
        <v>33</v>
      </c>
      <c r="G585" t="s">
        <v>34</v>
      </c>
      <c r="H585" t="s">
        <v>35</v>
      </c>
      <c r="I585" t="s">
        <v>221</v>
      </c>
      <c r="J585" t="s">
        <v>269</v>
      </c>
      <c r="K585" t="s">
        <v>36</v>
      </c>
      <c r="L585" t="s">
        <v>33</v>
      </c>
      <c r="M585">
        <v>20507850091</v>
      </c>
      <c r="N585" t="s">
        <v>256</v>
      </c>
      <c r="P585" t="s">
        <v>38</v>
      </c>
      <c r="Q585" t="s">
        <v>257</v>
      </c>
      <c r="R585" t="s">
        <v>270</v>
      </c>
      <c r="S585">
        <v>2478</v>
      </c>
      <c r="T585" t="s">
        <v>40</v>
      </c>
      <c r="U585">
        <f>+IF(Tabla1[[#This Row],[MONEDA]]="PEN",Tabla1[[#This Row],[MONTO]],Tabla1[[#This Row],[MONTO]]*3.56)</f>
        <v>2478</v>
      </c>
      <c r="X585" t="s">
        <v>41</v>
      </c>
      <c r="Y585" t="s">
        <v>51</v>
      </c>
      <c r="Z585" t="s">
        <v>43</v>
      </c>
      <c r="AA585" t="s">
        <v>271</v>
      </c>
      <c r="AB585" t="s">
        <v>272</v>
      </c>
      <c r="AC585" t="s">
        <v>273</v>
      </c>
      <c r="AE585">
        <v>2478</v>
      </c>
      <c r="AF585" t="s">
        <v>87</v>
      </c>
      <c r="AG585" t="s">
        <v>169</v>
      </c>
    </row>
    <row r="586" spans="1:33" x14ac:dyDescent="0.25">
      <c r="A586">
        <v>42064</v>
      </c>
      <c r="B586" t="s">
        <v>32</v>
      </c>
      <c r="C586">
        <v>1</v>
      </c>
      <c r="D586" t="s">
        <v>1127</v>
      </c>
      <c r="E586" t="s">
        <v>70</v>
      </c>
      <c r="F586" t="s">
        <v>90</v>
      </c>
      <c r="G586" t="s">
        <v>91</v>
      </c>
      <c r="H586" t="s">
        <v>35</v>
      </c>
      <c r="I586" t="s">
        <v>1120</v>
      </c>
      <c r="J586" t="s">
        <v>1128</v>
      </c>
      <c r="K586" t="s">
        <v>36</v>
      </c>
      <c r="L586" t="s">
        <v>33</v>
      </c>
      <c r="M586">
        <v>20507850091</v>
      </c>
      <c r="N586" t="s">
        <v>256</v>
      </c>
      <c r="P586" t="s">
        <v>38</v>
      </c>
      <c r="Q586" t="s">
        <v>257</v>
      </c>
      <c r="R586" t="s">
        <v>1129</v>
      </c>
      <c r="S586">
        <v>3894</v>
      </c>
      <c r="T586" t="s">
        <v>40</v>
      </c>
      <c r="U586">
        <f>+IF(Tabla1[[#This Row],[MONEDA]]="PEN",Tabla1[[#This Row],[MONTO]],Tabla1[[#This Row],[MONTO]]*3.56)</f>
        <v>3894</v>
      </c>
      <c r="X586" t="s">
        <v>41</v>
      </c>
      <c r="Y586" t="s">
        <v>42</v>
      </c>
      <c r="Z586" t="s">
        <v>82</v>
      </c>
      <c r="AA586" t="s">
        <v>1130</v>
      </c>
      <c r="AB586" t="s">
        <v>1131</v>
      </c>
      <c r="AC586" t="s">
        <v>1132</v>
      </c>
      <c r="AD586" t="s">
        <v>1133</v>
      </c>
      <c r="AE586">
        <v>3894</v>
      </c>
      <c r="AF586" t="s">
        <v>87</v>
      </c>
      <c r="AG586" t="s">
        <v>169</v>
      </c>
    </row>
    <row r="587" spans="1:33" x14ac:dyDescent="0.25">
      <c r="A587">
        <v>42069</v>
      </c>
      <c r="B587" t="s">
        <v>32</v>
      </c>
      <c r="C587">
        <v>4</v>
      </c>
      <c r="D587" t="s">
        <v>1134</v>
      </c>
      <c r="E587" t="s">
        <v>70</v>
      </c>
      <c r="F587" t="s">
        <v>90</v>
      </c>
      <c r="G587" t="s">
        <v>91</v>
      </c>
      <c r="H587" t="s">
        <v>35</v>
      </c>
      <c r="I587" t="s">
        <v>1120</v>
      </c>
      <c r="J587" t="s">
        <v>1135</v>
      </c>
      <c r="K587" t="s">
        <v>36</v>
      </c>
      <c r="L587" t="s">
        <v>33</v>
      </c>
      <c r="M587">
        <v>20507850091</v>
      </c>
      <c r="N587" t="s">
        <v>256</v>
      </c>
      <c r="P587" t="s">
        <v>38</v>
      </c>
      <c r="Q587" t="s">
        <v>257</v>
      </c>
      <c r="R587" t="s">
        <v>1136</v>
      </c>
      <c r="S587">
        <v>2478</v>
      </c>
      <c r="T587" t="s">
        <v>40</v>
      </c>
      <c r="U587">
        <f>+IF(Tabla1[[#This Row],[MONEDA]]="PEN",Tabla1[[#This Row],[MONTO]],Tabla1[[#This Row],[MONTO]]*3.56)</f>
        <v>2478</v>
      </c>
      <c r="X587" t="s">
        <v>41</v>
      </c>
      <c r="Y587" t="s">
        <v>42</v>
      </c>
      <c r="Z587" t="s">
        <v>82</v>
      </c>
      <c r="AA587" t="s">
        <v>1137</v>
      </c>
      <c r="AB587" t="s">
        <v>1138</v>
      </c>
      <c r="AC587" t="s">
        <v>1139</v>
      </c>
      <c r="AD587" t="s">
        <v>1140</v>
      </c>
      <c r="AE587">
        <v>2478</v>
      </c>
      <c r="AF587" t="s">
        <v>87</v>
      </c>
      <c r="AG587" t="s">
        <v>169</v>
      </c>
    </row>
    <row r="588" spans="1:33" x14ac:dyDescent="0.25">
      <c r="A588">
        <v>42073</v>
      </c>
      <c r="B588" t="s">
        <v>32</v>
      </c>
      <c r="C588">
        <v>4</v>
      </c>
      <c r="D588" t="s">
        <v>1141</v>
      </c>
      <c r="E588" t="s">
        <v>70</v>
      </c>
      <c r="F588" t="s">
        <v>90</v>
      </c>
      <c r="G588" t="s">
        <v>91</v>
      </c>
      <c r="H588" t="s">
        <v>35</v>
      </c>
      <c r="I588" t="s">
        <v>1120</v>
      </c>
      <c r="J588" t="s">
        <v>1142</v>
      </c>
      <c r="K588" t="s">
        <v>36</v>
      </c>
      <c r="L588" t="s">
        <v>33</v>
      </c>
      <c r="M588">
        <v>20507850091</v>
      </c>
      <c r="N588" t="s">
        <v>256</v>
      </c>
      <c r="P588" t="s">
        <v>38</v>
      </c>
      <c r="Q588" t="s">
        <v>257</v>
      </c>
      <c r="R588" t="s">
        <v>1143</v>
      </c>
      <c r="S588">
        <v>1416</v>
      </c>
      <c r="T588" t="s">
        <v>40</v>
      </c>
      <c r="U588">
        <f>+IF(Tabla1[[#This Row],[MONEDA]]="PEN",Tabla1[[#This Row],[MONTO]],Tabla1[[#This Row],[MONTO]]*3.56)</f>
        <v>1416</v>
      </c>
      <c r="X588" t="s">
        <v>41</v>
      </c>
      <c r="Y588" t="s">
        <v>42</v>
      </c>
      <c r="Z588" t="s">
        <v>82</v>
      </c>
      <c r="AA588" t="s">
        <v>1144</v>
      </c>
      <c r="AB588" t="s">
        <v>1145</v>
      </c>
      <c r="AC588" t="s">
        <v>1146</v>
      </c>
      <c r="AD588" t="s">
        <v>1147</v>
      </c>
      <c r="AE588">
        <v>1416</v>
      </c>
      <c r="AF588" t="s">
        <v>87</v>
      </c>
      <c r="AG588" t="s">
        <v>169</v>
      </c>
    </row>
    <row r="589" spans="1:33" x14ac:dyDescent="0.25">
      <c r="A589">
        <v>42074</v>
      </c>
      <c r="B589" t="s">
        <v>32</v>
      </c>
      <c r="C589">
        <v>1</v>
      </c>
      <c r="D589" t="s">
        <v>1148</v>
      </c>
      <c r="E589" t="s">
        <v>70</v>
      </c>
      <c r="F589" t="s">
        <v>90</v>
      </c>
      <c r="G589" t="s">
        <v>91</v>
      </c>
      <c r="H589" t="s">
        <v>35</v>
      </c>
      <c r="I589" t="s">
        <v>1120</v>
      </c>
      <c r="J589" t="s">
        <v>1149</v>
      </c>
      <c r="K589" t="s">
        <v>36</v>
      </c>
      <c r="L589" t="s">
        <v>33</v>
      </c>
      <c r="M589">
        <v>20507850091</v>
      </c>
      <c r="N589" t="s">
        <v>256</v>
      </c>
      <c r="P589" t="s">
        <v>38</v>
      </c>
      <c r="Q589" t="s">
        <v>257</v>
      </c>
      <c r="R589" t="s">
        <v>1150</v>
      </c>
      <c r="S589">
        <v>1416</v>
      </c>
      <c r="T589" t="s">
        <v>40</v>
      </c>
      <c r="U589">
        <f>+IF(Tabla1[[#This Row],[MONEDA]]="PEN",Tabla1[[#This Row],[MONTO]],Tabla1[[#This Row],[MONTO]]*3.56)</f>
        <v>1416</v>
      </c>
      <c r="X589" t="s">
        <v>41</v>
      </c>
      <c r="Y589" t="s">
        <v>42</v>
      </c>
      <c r="Z589" t="s">
        <v>82</v>
      </c>
      <c r="AA589" t="s">
        <v>1151</v>
      </c>
      <c r="AB589" t="s">
        <v>1152</v>
      </c>
      <c r="AC589" t="s">
        <v>1153</v>
      </c>
      <c r="AD589" t="s">
        <v>1154</v>
      </c>
      <c r="AE589">
        <v>1416</v>
      </c>
      <c r="AF589" t="s">
        <v>87</v>
      </c>
      <c r="AG589" t="s">
        <v>169</v>
      </c>
    </row>
    <row r="590" spans="1:33" x14ac:dyDescent="0.25">
      <c r="A590">
        <v>39102</v>
      </c>
      <c r="B590" t="s">
        <v>32</v>
      </c>
      <c r="C590">
        <v>3</v>
      </c>
      <c r="D590" t="s">
        <v>2581</v>
      </c>
      <c r="E590" t="s">
        <v>70</v>
      </c>
      <c r="F590" t="s">
        <v>90</v>
      </c>
      <c r="G590" t="s">
        <v>91</v>
      </c>
      <c r="H590" t="s">
        <v>35</v>
      </c>
      <c r="I590" t="s">
        <v>2567</v>
      </c>
      <c r="J590" t="s">
        <v>2582</v>
      </c>
      <c r="K590" t="s">
        <v>36</v>
      </c>
      <c r="L590" t="s">
        <v>33</v>
      </c>
      <c r="M590">
        <v>20507850091</v>
      </c>
      <c r="N590" t="s">
        <v>256</v>
      </c>
      <c r="P590" t="s">
        <v>38</v>
      </c>
      <c r="Q590" t="s">
        <v>257</v>
      </c>
      <c r="R590" t="s">
        <v>2583</v>
      </c>
      <c r="S590">
        <v>3894</v>
      </c>
      <c r="T590" t="s">
        <v>40</v>
      </c>
      <c r="U590">
        <f>+IF(Tabla1[[#This Row],[MONEDA]]="PEN",Tabla1[[#This Row],[MONTO]],Tabla1[[#This Row],[MONTO]]*3.56)</f>
        <v>3894</v>
      </c>
      <c r="X590" t="s">
        <v>41</v>
      </c>
      <c r="Y590" t="s">
        <v>42</v>
      </c>
      <c r="Z590" t="s">
        <v>82</v>
      </c>
      <c r="AA590" t="s">
        <v>2584</v>
      </c>
      <c r="AB590" t="s">
        <v>2585</v>
      </c>
      <c r="AC590" t="s">
        <v>2586</v>
      </c>
      <c r="AD590" t="s">
        <v>2587</v>
      </c>
      <c r="AE590">
        <v>3894</v>
      </c>
      <c r="AF590" t="s">
        <v>87</v>
      </c>
      <c r="AG590" t="s">
        <v>169</v>
      </c>
    </row>
    <row r="591" spans="1:33" x14ac:dyDescent="0.25">
      <c r="A591">
        <v>39103</v>
      </c>
      <c r="B591" t="s">
        <v>32</v>
      </c>
      <c r="C591">
        <v>5</v>
      </c>
      <c r="D591" t="s">
        <v>2588</v>
      </c>
      <c r="E591" t="s">
        <v>70</v>
      </c>
      <c r="F591" t="s">
        <v>90</v>
      </c>
      <c r="G591" t="s">
        <v>91</v>
      </c>
      <c r="H591" t="s">
        <v>35</v>
      </c>
      <c r="I591" t="s">
        <v>2567</v>
      </c>
      <c r="J591" t="s">
        <v>2589</v>
      </c>
      <c r="K591" t="s">
        <v>36</v>
      </c>
      <c r="L591" t="s">
        <v>33</v>
      </c>
      <c r="M591">
        <v>20507850091</v>
      </c>
      <c r="N591" t="s">
        <v>256</v>
      </c>
      <c r="P591" t="s">
        <v>38</v>
      </c>
      <c r="Q591" t="s">
        <v>257</v>
      </c>
      <c r="R591" t="s">
        <v>2590</v>
      </c>
      <c r="S591">
        <v>2478</v>
      </c>
      <c r="T591" t="s">
        <v>40</v>
      </c>
      <c r="U591">
        <f>+IF(Tabla1[[#This Row],[MONEDA]]="PEN",Tabla1[[#This Row],[MONTO]],Tabla1[[#This Row],[MONTO]]*3.56)</f>
        <v>2478</v>
      </c>
      <c r="X591" t="s">
        <v>41</v>
      </c>
      <c r="Y591" t="s">
        <v>42</v>
      </c>
      <c r="Z591" t="s">
        <v>82</v>
      </c>
      <c r="AA591" t="s">
        <v>2591</v>
      </c>
      <c r="AB591" t="s">
        <v>2592</v>
      </c>
      <c r="AC591" t="s">
        <v>2593</v>
      </c>
      <c r="AD591" t="s">
        <v>2594</v>
      </c>
      <c r="AE591">
        <v>2478</v>
      </c>
      <c r="AG591" t="s">
        <v>169</v>
      </c>
    </row>
    <row r="592" spans="1:33" x14ac:dyDescent="0.25">
      <c r="A592">
        <v>39104</v>
      </c>
      <c r="B592" t="s">
        <v>32</v>
      </c>
      <c r="C592">
        <v>5</v>
      </c>
      <c r="D592" t="s">
        <v>2595</v>
      </c>
      <c r="E592" t="s">
        <v>70</v>
      </c>
      <c r="F592" t="s">
        <v>90</v>
      </c>
      <c r="G592" t="s">
        <v>91</v>
      </c>
      <c r="H592" t="s">
        <v>35</v>
      </c>
      <c r="I592" t="s">
        <v>2567</v>
      </c>
      <c r="J592" t="s">
        <v>2596</v>
      </c>
      <c r="K592" t="s">
        <v>36</v>
      </c>
      <c r="L592" t="s">
        <v>33</v>
      </c>
      <c r="M592">
        <v>20507850091</v>
      </c>
      <c r="N592" t="s">
        <v>256</v>
      </c>
      <c r="P592" t="s">
        <v>38</v>
      </c>
      <c r="Q592" t="s">
        <v>257</v>
      </c>
      <c r="R592" t="s">
        <v>2597</v>
      </c>
      <c r="S592">
        <v>1416</v>
      </c>
      <c r="T592" t="s">
        <v>40</v>
      </c>
      <c r="U592">
        <f>+IF(Tabla1[[#This Row],[MONEDA]]="PEN",Tabla1[[#This Row],[MONTO]],Tabla1[[#This Row],[MONTO]]*3.56)</f>
        <v>1416</v>
      </c>
      <c r="X592" t="s">
        <v>41</v>
      </c>
      <c r="Y592" t="s">
        <v>42</v>
      </c>
      <c r="Z592" t="s">
        <v>82</v>
      </c>
      <c r="AA592" t="s">
        <v>2165</v>
      </c>
      <c r="AB592" t="s">
        <v>2598</v>
      </c>
      <c r="AC592" t="s">
        <v>2599</v>
      </c>
      <c r="AD592" t="s">
        <v>2600</v>
      </c>
      <c r="AE592">
        <v>1416</v>
      </c>
      <c r="AG592" t="s">
        <v>169</v>
      </c>
    </row>
    <row r="593" spans="1:33" x14ac:dyDescent="0.25">
      <c r="A593">
        <v>39105</v>
      </c>
      <c r="B593" t="s">
        <v>32</v>
      </c>
      <c r="C593">
        <v>6</v>
      </c>
      <c r="D593" t="s">
        <v>2601</v>
      </c>
      <c r="E593" t="s">
        <v>70</v>
      </c>
      <c r="F593" t="s">
        <v>90</v>
      </c>
      <c r="G593" t="s">
        <v>91</v>
      </c>
      <c r="H593" t="s">
        <v>35</v>
      </c>
      <c r="I593" t="s">
        <v>2567</v>
      </c>
      <c r="J593" t="s">
        <v>2602</v>
      </c>
      <c r="K593" t="s">
        <v>36</v>
      </c>
      <c r="L593" t="s">
        <v>33</v>
      </c>
      <c r="M593">
        <v>20507850091</v>
      </c>
      <c r="N593" t="s">
        <v>256</v>
      </c>
      <c r="P593" t="s">
        <v>38</v>
      </c>
      <c r="Q593" t="s">
        <v>257</v>
      </c>
      <c r="R593" t="s">
        <v>2603</v>
      </c>
      <c r="S593">
        <v>1416</v>
      </c>
      <c r="T593" t="s">
        <v>40</v>
      </c>
      <c r="U593">
        <f>+IF(Tabla1[[#This Row],[MONEDA]]="PEN",Tabla1[[#This Row],[MONTO]],Tabla1[[#This Row],[MONTO]]*3.56)</f>
        <v>1416</v>
      </c>
      <c r="X593" t="s">
        <v>41</v>
      </c>
      <c r="Y593" t="s">
        <v>42</v>
      </c>
      <c r="Z593" t="s">
        <v>82</v>
      </c>
      <c r="AA593" t="s">
        <v>2604</v>
      </c>
      <c r="AB593" t="s">
        <v>2605</v>
      </c>
      <c r="AC593" t="s">
        <v>2606</v>
      </c>
      <c r="AD593" t="s">
        <v>2607</v>
      </c>
      <c r="AE593">
        <v>1416</v>
      </c>
      <c r="AF593" t="s">
        <v>87</v>
      </c>
      <c r="AG593" t="s">
        <v>169</v>
      </c>
    </row>
    <row r="594" spans="1:33" x14ac:dyDescent="0.25">
      <c r="A594">
        <v>37201</v>
      </c>
      <c r="B594" t="s">
        <v>32</v>
      </c>
      <c r="C594">
        <v>1</v>
      </c>
      <c r="D594" t="s">
        <v>3286</v>
      </c>
      <c r="E594" t="s">
        <v>70</v>
      </c>
      <c r="F594" t="s">
        <v>90</v>
      </c>
      <c r="G594" t="s">
        <v>91</v>
      </c>
      <c r="H594" t="s">
        <v>35</v>
      </c>
      <c r="I594" t="s">
        <v>3287</v>
      </c>
      <c r="J594" t="s">
        <v>3288</v>
      </c>
      <c r="K594" t="s">
        <v>36</v>
      </c>
      <c r="L594" t="s">
        <v>33</v>
      </c>
      <c r="M594">
        <v>20507850091</v>
      </c>
      <c r="N594" t="s">
        <v>256</v>
      </c>
      <c r="P594" t="s">
        <v>38</v>
      </c>
      <c r="Q594" t="s">
        <v>257</v>
      </c>
      <c r="R594" t="s">
        <v>3289</v>
      </c>
      <c r="S594">
        <v>3894</v>
      </c>
      <c r="T594" t="s">
        <v>40</v>
      </c>
      <c r="U594">
        <f>+IF(Tabla1[[#This Row],[MONEDA]]="PEN",Tabla1[[#This Row],[MONTO]],Tabla1[[#This Row],[MONTO]]*3.56)</f>
        <v>3894</v>
      </c>
      <c r="X594" t="s">
        <v>41</v>
      </c>
      <c r="Y594" t="s">
        <v>42</v>
      </c>
      <c r="Z594" t="s">
        <v>82</v>
      </c>
      <c r="AA594" t="s">
        <v>3290</v>
      </c>
      <c r="AB594" t="s">
        <v>3291</v>
      </c>
      <c r="AC594" t="s">
        <v>3292</v>
      </c>
      <c r="AD594" t="s">
        <v>3293</v>
      </c>
      <c r="AE594">
        <v>3894</v>
      </c>
      <c r="AF594" t="s">
        <v>87</v>
      </c>
      <c r="AG594" t="s">
        <v>169</v>
      </c>
    </row>
    <row r="595" spans="1:33" x14ac:dyDescent="0.25">
      <c r="A595">
        <v>35929</v>
      </c>
      <c r="B595" t="s">
        <v>32</v>
      </c>
      <c r="C595">
        <v>1</v>
      </c>
      <c r="D595" t="s">
        <v>4038</v>
      </c>
      <c r="E595" t="s">
        <v>70</v>
      </c>
      <c r="F595" t="s">
        <v>90</v>
      </c>
      <c r="G595" t="s">
        <v>91</v>
      </c>
      <c r="H595" t="s">
        <v>35</v>
      </c>
      <c r="I595" t="s">
        <v>4013</v>
      </c>
      <c r="J595" t="s">
        <v>4039</v>
      </c>
      <c r="K595" t="s">
        <v>36</v>
      </c>
      <c r="L595" t="s">
        <v>33</v>
      </c>
      <c r="M595">
        <v>20507850091</v>
      </c>
      <c r="N595" t="s">
        <v>256</v>
      </c>
      <c r="P595" t="s">
        <v>38</v>
      </c>
      <c r="Q595" t="s">
        <v>257</v>
      </c>
      <c r="R595" t="s">
        <v>4040</v>
      </c>
      <c r="S595">
        <v>2478</v>
      </c>
      <c r="T595" t="s">
        <v>40</v>
      </c>
      <c r="U595">
        <f>+IF(Tabla1[[#This Row],[MONEDA]]="PEN",Tabla1[[#This Row],[MONTO]],Tabla1[[#This Row],[MONTO]]*3.56)</f>
        <v>2478</v>
      </c>
      <c r="X595" t="s">
        <v>41</v>
      </c>
      <c r="Y595" t="s">
        <v>42</v>
      </c>
      <c r="Z595" t="s">
        <v>82</v>
      </c>
      <c r="AA595" t="s">
        <v>4041</v>
      </c>
      <c r="AB595" t="s">
        <v>4042</v>
      </c>
      <c r="AC595" t="s">
        <v>4043</v>
      </c>
      <c r="AD595" t="s">
        <v>4044</v>
      </c>
      <c r="AE595">
        <v>2478</v>
      </c>
      <c r="AF595" t="s">
        <v>87</v>
      </c>
      <c r="AG595" t="s">
        <v>169</v>
      </c>
    </row>
    <row r="596" spans="1:33" x14ac:dyDescent="0.25">
      <c r="A596">
        <v>36010</v>
      </c>
      <c r="B596" t="s">
        <v>32</v>
      </c>
      <c r="C596">
        <v>1</v>
      </c>
      <c r="D596" t="s">
        <v>4045</v>
      </c>
      <c r="E596" t="s">
        <v>70</v>
      </c>
      <c r="F596" t="s">
        <v>90</v>
      </c>
      <c r="G596" t="s">
        <v>91</v>
      </c>
      <c r="H596" t="s">
        <v>35</v>
      </c>
      <c r="I596" t="s">
        <v>4013</v>
      </c>
      <c r="J596" t="s">
        <v>4046</v>
      </c>
      <c r="K596" t="s">
        <v>36</v>
      </c>
      <c r="L596" t="s">
        <v>33</v>
      </c>
      <c r="M596">
        <v>20507850091</v>
      </c>
      <c r="N596" t="s">
        <v>256</v>
      </c>
      <c r="P596" t="s">
        <v>38</v>
      </c>
      <c r="Q596" t="s">
        <v>257</v>
      </c>
      <c r="R596" t="s">
        <v>4047</v>
      </c>
      <c r="S596">
        <v>1416</v>
      </c>
      <c r="T596" t="s">
        <v>40</v>
      </c>
      <c r="U596">
        <f>+IF(Tabla1[[#This Row],[MONEDA]]="PEN",Tabla1[[#This Row],[MONTO]],Tabla1[[#This Row],[MONTO]]*3.56)</f>
        <v>1416</v>
      </c>
      <c r="X596" t="s">
        <v>41</v>
      </c>
      <c r="Y596" t="s">
        <v>42</v>
      </c>
      <c r="Z596" t="s">
        <v>82</v>
      </c>
      <c r="AA596" t="s">
        <v>4048</v>
      </c>
      <c r="AB596" t="s">
        <v>4049</v>
      </c>
      <c r="AC596" t="s">
        <v>4050</v>
      </c>
      <c r="AD596" t="s">
        <v>4051</v>
      </c>
      <c r="AE596">
        <v>1416</v>
      </c>
      <c r="AF596" t="s">
        <v>87</v>
      </c>
      <c r="AG596" t="s">
        <v>169</v>
      </c>
    </row>
    <row r="597" spans="1:33" x14ac:dyDescent="0.25">
      <c r="A597">
        <v>36012</v>
      </c>
      <c r="B597" t="s">
        <v>32</v>
      </c>
      <c r="C597">
        <v>1</v>
      </c>
      <c r="D597" t="s">
        <v>4052</v>
      </c>
      <c r="E597" t="s">
        <v>70</v>
      </c>
      <c r="F597" t="s">
        <v>90</v>
      </c>
      <c r="G597" t="s">
        <v>91</v>
      </c>
      <c r="H597" t="s">
        <v>35</v>
      </c>
      <c r="I597" t="s">
        <v>4013</v>
      </c>
      <c r="J597" t="s">
        <v>4053</v>
      </c>
      <c r="K597" t="s">
        <v>36</v>
      </c>
      <c r="L597" t="s">
        <v>33</v>
      </c>
      <c r="M597">
        <v>20507850091</v>
      </c>
      <c r="N597" t="s">
        <v>256</v>
      </c>
      <c r="P597" t="s">
        <v>38</v>
      </c>
      <c r="Q597" t="s">
        <v>257</v>
      </c>
      <c r="R597" t="s">
        <v>4054</v>
      </c>
      <c r="S597">
        <v>1416</v>
      </c>
      <c r="T597" t="s">
        <v>40</v>
      </c>
      <c r="U597">
        <f>+IF(Tabla1[[#This Row],[MONEDA]]="PEN",Tabla1[[#This Row],[MONTO]],Tabla1[[#This Row],[MONTO]]*3.56)</f>
        <v>1416</v>
      </c>
      <c r="X597" t="s">
        <v>41</v>
      </c>
      <c r="Y597" t="s">
        <v>42</v>
      </c>
      <c r="Z597" t="s">
        <v>82</v>
      </c>
      <c r="AA597" t="s">
        <v>4055</v>
      </c>
      <c r="AB597" t="s">
        <v>4056</v>
      </c>
      <c r="AC597" t="s">
        <v>4057</v>
      </c>
      <c r="AD597" t="s">
        <v>4058</v>
      </c>
      <c r="AE597">
        <v>1416</v>
      </c>
      <c r="AF597" t="s">
        <v>87</v>
      </c>
      <c r="AG597" t="s">
        <v>169</v>
      </c>
    </row>
    <row r="598" spans="1:33" x14ac:dyDescent="0.25">
      <c r="A598">
        <v>32714</v>
      </c>
      <c r="B598" t="s">
        <v>32</v>
      </c>
      <c r="C598">
        <v>3</v>
      </c>
      <c r="D598" t="s">
        <v>4697</v>
      </c>
      <c r="E598" t="s">
        <v>70</v>
      </c>
      <c r="F598" t="s">
        <v>90</v>
      </c>
      <c r="G598" t="s">
        <v>91</v>
      </c>
      <c r="H598" t="s">
        <v>72</v>
      </c>
      <c r="I598" t="s">
        <v>4698</v>
      </c>
      <c r="J598" t="s">
        <v>4699</v>
      </c>
      <c r="K598" t="s">
        <v>36</v>
      </c>
      <c r="L598" t="s">
        <v>33</v>
      </c>
      <c r="M598">
        <v>20507850091</v>
      </c>
      <c r="N598" t="s">
        <v>256</v>
      </c>
      <c r="P598" t="s">
        <v>38</v>
      </c>
      <c r="Q598" t="s">
        <v>257</v>
      </c>
      <c r="R598" t="s">
        <v>4700</v>
      </c>
      <c r="S598">
        <v>3894</v>
      </c>
      <c r="T598" t="s">
        <v>40</v>
      </c>
      <c r="U598">
        <f>+IF(Tabla1[[#This Row],[MONEDA]]="PEN",Tabla1[[#This Row],[MONTO]],Tabla1[[#This Row],[MONTO]]*3.56)</f>
        <v>3894</v>
      </c>
      <c r="X598" t="s">
        <v>41</v>
      </c>
      <c r="Y598" t="s">
        <v>42</v>
      </c>
      <c r="Z598" t="s">
        <v>43</v>
      </c>
      <c r="AA598" t="s">
        <v>4701</v>
      </c>
      <c r="AB598" t="s">
        <v>4702</v>
      </c>
      <c r="AC598" t="s">
        <v>4703</v>
      </c>
      <c r="AD598" t="s">
        <v>4704</v>
      </c>
      <c r="AE598">
        <v>3504.6</v>
      </c>
      <c r="AF598" t="s">
        <v>87</v>
      </c>
      <c r="AG598" t="s">
        <v>169</v>
      </c>
    </row>
    <row r="599" spans="1:33" x14ac:dyDescent="0.25">
      <c r="A599">
        <v>33863</v>
      </c>
      <c r="B599" t="s">
        <v>32</v>
      </c>
      <c r="C599">
        <v>4</v>
      </c>
      <c r="D599" t="s">
        <v>4705</v>
      </c>
      <c r="E599" t="s">
        <v>70</v>
      </c>
      <c r="F599" t="s">
        <v>90</v>
      </c>
      <c r="G599" t="s">
        <v>91</v>
      </c>
      <c r="H599" t="s">
        <v>72</v>
      </c>
      <c r="I599" t="s">
        <v>4698</v>
      </c>
      <c r="J599" t="s">
        <v>4706</v>
      </c>
      <c r="K599" t="s">
        <v>36</v>
      </c>
      <c r="L599" t="s">
        <v>33</v>
      </c>
      <c r="M599">
        <v>20507850091</v>
      </c>
      <c r="N599" t="s">
        <v>256</v>
      </c>
      <c r="P599" t="s">
        <v>38</v>
      </c>
      <c r="Q599" t="s">
        <v>257</v>
      </c>
      <c r="R599" t="s">
        <v>4040</v>
      </c>
      <c r="S599">
        <v>2478</v>
      </c>
      <c r="T599" t="s">
        <v>40</v>
      </c>
      <c r="U599">
        <f>+IF(Tabla1[[#This Row],[MONEDA]]="PEN",Tabla1[[#This Row],[MONTO]],Tabla1[[#This Row],[MONTO]]*3.56)</f>
        <v>2478</v>
      </c>
      <c r="X599" t="s">
        <v>41</v>
      </c>
      <c r="Y599" t="s">
        <v>42</v>
      </c>
      <c r="Z599" t="s">
        <v>82</v>
      </c>
      <c r="AA599" t="s">
        <v>4707</v>
      </c>
      <c r="AB599" t="s">
        <v>4708</v>
      </c>
      <c r="AC599" t="s">
        <v>4709</v>
      </c>
      <c r="AD599" t="s">
        <v>4710</v>
      </c>
      <c r="AE599">
        <v>2230.1999999999998</v>
      </c>
      <c r="AF599" t="s">
        <v>87</v>
      </c>
      <c r="AG599" t="s">
        <v>169</v>
      </c>
    </row>
    <row r="600" spans="1:33" x14ac:dyDescent="0.25">
      <c r="A600">
        <v>33866</v>
      </c>
      <c r="B600" t="s">
        <v>32</v>
      </c>
      <c r="C600">
        <v>5</v>
      </c>
      <c r="D600" t="s">
        <v>4734</v>
      </c>
      <c r="E600" t="s">
        <v>70</v>
      </c>
      <c r="F600" t="s">
        <v>90</v>
      </c>
      <c r="G600" t="s">
        <v>91</v>
      </c>
      <c r="H600" t="s">
        <v>35</v>
      </c>
      <c r="I600" t="s">
        <v>4735</v>
      </c>
      <c r="J600" t="s">
        <v>4736</v>
      </c>
      <c r="K600" t="s">
        <v>36</v>
      </c>
      <c r="L600" t="s">
        <v>33</v>
      </c>
      <c r="M600">
        <v>20507850091</v>
      </c>
      <c r="N600" t="s">
        <v>256</v>
      </c>
      <c r="P600" t="s">
        <v>38</v>
      </c>
      <c r="Q600" t="s">
        <v>257</v>
      </c>
      <c r="R600" t="s">
        <v>4737</v>
      </c>
      <c r="S600">
        <v>1416</v>
      </c>
      <c r="T600" t="s">
        <v>40</v>
      </c>
      <c r="U600">
        <f>+IF(Tabla1[[#This Row],[MONEDA]]="PEN",Tabla1[[#This Row],[MONTO]],Tabla1[[#This Row],[MONTO]]*3.56)</f>
        <v>1416</v>
      </c>
      <c r="X600" t="s">
        <v>41</v>
      </c>
      <c r="Y600" t="s">
        <v>42</v>
      </c>
      <c r="Z600" t="s">
        <v>43</v>
      </c>
      <c r="AA600" t="s">
        <v>4738</v>
      </c>
      <c r="AB600" t="s">
        <v>4739</v>
      </c>
      <c r="AC600" t="s">
        <v>4740</v>
      </c>
      <c r="AD600" t="s">
        <v>4741</v>
      </c>
      <c r="AE600">
        <v>1274.4000000000001</v>
      </c>
      <c r="AF600" t="s">
        <v>87</v>
      </c>
      <c r="AG600" t="s">
        <v>169</v>
      </c>
    </row>
    <row r="601" spans="1:33" x14ac:dyDescent="0.25">
      <c r="A601">
        <v>33872</v>
      </c>
      <c r="B601" t="s">
        <v>32</v>
      </c>
      <c r="C601">
        <v>1</v>
      </c>
      <c r="D601" t="s">
        <v>4742</v>
      </c>
      <c r="E601" t="s">
        <v>70</v>
      </c>
      <c r="F601" t="s">
        <v>90</v>
      </c>
      <c r="G601" t="s">
        <v>91</v>
      </c>
      <c r="H601" t="s">
        <v>35</v>
      </c>
      <c r="I601" t="s">
        <v>4735</v>
      </c>
      <c r="J601" t="s">
        <v>4743</v>
      </c>
      <c r="K601" t="s">
        <v>36</v>
      </c>
      <c r="L601" t="s">
        <v>33</v>
      </c>
      <c r="M601">
        <v>20507850091</v>
      </c>
      <c r="N601" t="s">
        <v>256</v>
      </c>
      <c r="P601" t="s">
        <v>38</v>
      </c>
      <c r="Q601" t="s">
        <v>257</v>
      </c>
      <c r="R601" t="s">
        <v>4744</v>
      </c>
      <c r="S601">
        <v>1416</v>
      </c>
      <c r="T601" t="s">
        <v>40</v>
      </c>
      <c r="U601">
        <f>+IF(Tabla1[[#This Row],[MONEDA]]="PEN",Tabla1[[#This Row],[MONTO]],Tabla1[[#This Row],[MONTO]]*3.56)</f>
        <v>1416</v>
      </c>
      <c r="X601" t="s">
        <v>41</v>
      </c>
      <c r="Y601" t="s">
        <v>42</v>
      </c>
      <c r="Z601" t="s">
        <v>43</v>
      </c>
      <c r="AA601" t="s">
        <v>4745</v>
      </c>
      <c r="AB601" t="s">
        <v>4746</v>
      </c>
      <c r="AC601" t="s">
        <v>4747</v>
      </c>
      <c r="AD601" t="s">
        <v>4748</v>
      </c>
      <c r="AE601">
        <v>1274.4000000000001</v>
      </c>
      <c r="AF601" t="s">
        <v>87</v>
      </c>
      <c r="AG601" t="s">
        <v>169</v>
      </c>
    </row>
    <row r="602" spans="1:33" x14ac:dyDescent="0.25">
      <c r="A602">
        <v>33865</v>
      </c>
      <c r="B602" t="s">
        <v>32</v>
      </c>
      <c r="C602">
        <v>4</v>
      </c>
      <c r="D602" t="s">
        <v>4756</v>
      </c>
      <c r="E602" t="s">
        <v>70</v>
      </c>
      <c r="F602" t="s">
        <v>90</v>
      </c>
      <c r="G602" t="s">
        <v>91</v>
      </c>
      <c r="H602" t="s">
        <v>35</v>
      </c>
      <c r="I602" t="s">
        <v>4757</v>
      </c>
      <c r="J602" t="s">
        <v>4758</v>
      </c>
      <c r="K602" t="s">
        <v>36</v>
      </c>
      <c r="L602" t="s">
        <v>33</v>
      </c>
      <c r="M602">
        <v>20507850091</v>
      </c>
      <c r="N602" t="s">
        <v>256</v>
      </c>
      <c r="P602" t="s">
        <v>38</v>
      </c>
      <c r="Q602" t="s">
        <v>257</v>
      </c>
      <c r="R602" t="s">
        <v>4759</v>
      </c>
      <c r="S602">
        <v>1416</v>
      </c>
      <c r="T602" t="s">
        <v>40</v>
      </c>
      <c r="U602">
        <f>+IF(Tabla1[[#This Row],[MONEDA]]="PEN",Tabla1[[#This Row],[MONTO]],Tabla1[[#This Row],[MONTO]]*3.56)</f>
        <v>1416</v>
      </c>
      <c r="X602" t="s">
        <v>41</v>
      </c>
      <c r="Y602" t="s">
        <v>42</v>
      </c>
      <c r="Z602" t="s">
        <v>43</v>
      </c>
      <c r="AA602" t="s">
        <v>4760</v>
      </c>
      <c r="AB602" t="s">
        <v>4761</v>
      </c>
      <c r="AC602" t="s">
        <v>4762</v>
      </c>
      <c r="AD602" t="s">
        <v>4763</v>
      </c>
      <c r="AE602">
        <v>1274.4000000000001</v>
      </c>
      <c r="AF602" t="s">
        <v>87</v>
      </c>
      <c r="AG602" t="s">
        <v>169</v>
      </c>
    </row>
    <row r="603" spans="1:33" x14ac:dyDescent="0.25">
      <c r="A603">
        <v>29773</v>
      </c>
      <c r="B603" t="s">
        <v>32</v>
      </c>
      <c r="C603">
        <v>6</v>
      </c>
      <c r="D603" t="s">
        <v>6796</v>
      </c>
      <c r="E603" t="s">
        <v>70</v>
      </c>
      <c r="F603" t="s">
        <v>90</v>
      </c>
      <c r="G603" t="s">
        <v>91</v>
      </c>
      <c r="H603" t="s">
        <v>72</v>
      </c>
      <c r="I603" t="s">
        <v>6768</v>
      </c>
      <c r="J603" t="s">
        <v>6797</v>
      </c>
      <c r="K603" t="s">
        <v>36</v>
      </c>
      <c r="L603" t="s">
        <v>33</v>
      </c>
      <c r="M603">
        <v>20507850091</v>
      </c>
      <c r="N603" t="s">
        <v>256</v>
      </c>
      <c r="P603" t="s">
        <v>38</v>
      </c>
      <c r="Q603" t="s">
        <v>257</v>
      </c>
      <c r="R603" t="s">
        <v>6798</v>
      </c>
      <c r="S603">
        <v>3300</v>
      </c>
      <c r="T603" t="s">
        <v>40</v>
      </c>
      <c r="U603">
        <f>+IF(Tabla1[[#This Row],[MONEDA]]="PEN",Tabla1[[#This Row],[MONTO]],Tabla1[[#This Row],[MONTO]]*3.56)</f>
        <v>3300</v>
      </c>
      <c r="X603" t="s">
        <v>41</v>
      </c>
      <c r="Y603" t="s">
        <v>42</v>
      </c>
      <c r="Z603" t="s">
        <v>43</v>
      </c>
      <c r="AA603" t="s">
        <v>6799</v>
      </c>
      <c r="AB603" t="s">
        <v>6800</v>
      </c>
      <c r="AC603" t="s">
        <v>6801</v>
      </c>
      <c r="AD603" t="s">
        <v>6802</v>
      </c>
      <c r="AE603">
        <v>3504.6</v>
      </c>
      <c r="AF603" t="s">
        <v>87</v>
      </c>
      <c r="AG603" t="s">
        <v>169</v>
      </c>
    </row>
    <row r="604" spans="1:33" x14ac:dyDescent="0.25">
      <c r="A604">
        <v>29774</v>
      </c>
      <c r="B604" t="s">
        <v>32</v>
      </c>
      <c r="C604">
        <v>5</v>
      </c>
      <c r="D604" t="s">
        <v>6803</v>
      </c>
      <c r="E604" t="s">
        <v>70</v>
      </c>
      <c r="F604" t="s">
        <v>90</v>
      </c>
      <c r="G604" t="s">
        <v>91</v>
      </c>
      <c r="H604" t="s">
        <v>72</v>
      </c>
      <c r="I604" t="s">
        <v>6768</v>
      </c>
      <c r="J604" t="s">
        <v>6804</v>
      </c>
      <c r="K604" t="s">
        <v>36</v>
      </c>
      <c r="L604" t="s">
        <v>33</v>
      </c>
      <c r="M604">
        <v>20507850091</v>
      </c>
      <c r="N604" t="s">
        <v>256</v>
      </c>
      <c r="P604" t="s">
        <v>38</v>
      </c>
      <c r="Q604" t="s">
        <v>257</v>
      </c>
      <c r="R604" t="s">
        <v>6805</v>
      </c>
      <c r="S604">
        <v>2100</v>
      </c>
      <c r="T604" t="s">
        <v>40</v>
      </c>
      <c r="U604">
        <f>+IF(Tabla1[[#This Row],[MONEDA]]="PEN",Tabla1[[#This Row],[MONTO]],Tabla1[[#This Row],[MONTO]]*3.56)</f>
        <v>2100</v>
      </c>
      <c r="X604" t="s">
        <v>41</v>
      </c>
      <c r="Y604" t="s">
        <v>42</v>
      </c>
      <c r="Z604" t="s">
        <v>43</v>
      </c>
      <c r="AA604" t="s">
        <v>6806</v>
      </c>
      <c r="AB604" t="s">
        <v>6807</v>
      </c>
      <c r="AC604" t="s">
        <v>6808</v>
      </c>
      <c r="AD604" t="s">
        <v>6809</v>
      </c>
      <c r="AE604">
        <v>2230.1999999999998</v>
      </c>
      <c r="AF604" t="s">
        <v>87</v>
      </c>
      <c r="AG604" t="s">
        <v>169</v>
      </c>
    </row>
    <row r="605" spans="1:33" x14ac:dyDescent="0.25">
      <c r="A605">
        <v>29776</v>
      </c>
      <c r="B605" t="s">
        <v>32</v>
      </c>
      <c r="C605">
        <v>5</v>
      </c>
      <c r="D605" t="s">
        <v>6810</v>
      </c>
      <c r="E605" t="s">
        <v>70</v>
      </c>
      <c r="F605" t="s">
        <v>90</v>
      </c>
      <c r="G605" t="s">
        <v>91</v>
      </c>
      <c r="H605" t="s">
        <v>72</v>
      </c>
      <c r="I605" t="s">
        <v>6768</v>
      </c>
      <c r="J605" t="s">
        <v>6811</v>
      </c>
      <c r="K605" t="s">
        <v>36</v>
      </c>
      <c r="L605" t="s">
        <v>33</v>
      </c>
      <c r="M605">
        <v>20507850091</v>
      </c>
      <c r="N605" t="s">
        <v>256</v>
      </c>
      <c r="P605" t="s">
        <v>38</v>
      </c>
      <c r="Q605" t="s">
        <v>257</v>
      </c>
      <c r="R605" t="s">
        <v>6812</v>
      </c>
      <c r="S605">
        <v>1200</v>
      </c>
      <c r="T605" t="s">
        <v>40</v>
      </c>
      <c r="U605">
        <f>+IF(Tabla1[[#This Row],[MONEDA]]="PEN",Tabla1[[#This Row],[MONTO]],Tabla1[[#This Row],[MONTO]]*3.56)</f>
        <v>1200</v>
      </c>
      <c r="X605" t="s">
        <v>41</v>
      </c>
      <c r="Y605" t="s">
        <v>42</v>
      </c>
      <c r="Z605" t="s">
        <v>43</v>
      </c>
      <c r="AA605" t="s">
        <v>6813</v>
      </c>
      <c r="AB605" t="s">
        <v>6814</v>
      </c>
      <c r="AC605" t="s">
        <v>6815</v>
      </c>
      <c r="AD605" t="s">
        <v>6816</v>
      </c>
      <c r="AE605">
        <v>1274.4000000000001</v>
      </c>
      <c r="AF605" t="s">
        <v>87</v>
      </c>
      <c r="AG605" t="s">
        <v>169</v>
      </c>
    </row>
    <row r="606" spans="1:33" x14ac:dyDescent="0.25">
      <c r="A606">
        <v>29777</v>
      </c>
      <c r="B606" t="s">
        <v>32</v>
      </c>
      <c r="C606">
        <v>6</v>
      </c>
      <c r="D606" t="s">
        <v>6817</v>
      </c>
      <c r="E606" t="s">
        <v>70</v>
      </c>
      <c r="F606" t="s">
        <v>90</v>
      </c>
      <c r="G606" t="s">
        <v>91</v>
      </c>
      <c r="H606" t="s">
        <v>72</v>
      </c>
      <c r="I606" t="s">
        <v>6768</v>
      </c>
      <c r="J606" t="s">
        <v>6818</v>
      </c>
      <c r="K606" t="s">
        <v>36</v>
      </c>
      <c r="L606" t="s">
        <v>33</v>
      </c>
      <c r="M606">
        <v>20507850091</v>
      </c>
      <c r="N606" t="s">
        <v>256</v>
      </c>
      <c r="P606" t="s">
        <v>38</v>
      </c>
      <c r="Q606" t="s">
        <v>257</v>
      </c>
      <c r="R606" t="s">
        <v>6819</v>
      </c>
      <c r="S606">
        <v>1200</v>
      </c>
      <c r="T606" t="s">
        <v>40</v>
      </c>
      <c r="U606">
        <f>+IF(Tabla1[[#This Row],[MONEDA]]="PEN",Tabla1[[#This Row],[MONTO]],Tabla1[[#This Row],[MONTO]]*3.56)</f>
        <v>1200</v>
      </c>
      <c r="X606" t="s">
        <v>41</v>
      </c>
      <c r="Y606" t="s">
        <v>42</v>
      </c>
      <c r="Z606" t="s">
        <v>43</v>
      </c>
      <c r="AA606" t="s">
        <v>6820</v>
      </c>
      <c r="AB606" t="s">
        <v>6821</v>
      </c>
      <c r="AC606" t="s">
        <v>6822</v>
      </c>
      <c r="AD606" t="s">
        <v>6823</v>
      </c>
      <c r="AE606">
        <v>1274.4000000000001</v>
      </c>
      <c r="AF606" t="s">
        <v>87</v>
      </c>
      <c r="AG606" t="s">
        <v>169</v>
      </c>
    </row>
    <row r="607" spans="1:33" x14ac:dyDescent="0.25">
      <c r="A607">
        <v>29686</v>
      </c>
      <c r="B607" t="s">
        <v>32</v>
      </c>
      <c r="C607">
        <v>1</v>
      </c>
      <c r="D607" t="s">
        <v>6862</v>
      </c>
      <c r="E607" t="s">
        <v>70</v>
      </c>
      <c r="F607" t="s">
        <v>5328</v>
      </c>
      <c r="G607" t="s">
        <v>5329</v>
      </c>
      <c r="H607" t="s">
        <v>72</v>
      </c>
      <c r="I607" t="s">
        <v>6863</v>
      </c>
      <c r="J607" t="s">
        <v>6864</v>
      </c>
      <c r="K607" t="s">
        <v>36</v>
      </c>
      <c r="L607" t="s">
        <v>33</v>
      </c>
      <c r="M607">
        <v>20507850091</v>
      </c>
      <c r="N607" t="s">
        <v>256</v>
      </c>
      <c r="O607" t="s">
        <v>6159</v>
      </c>
      <c r="P607" t="s">
        <v>38</v>
      </c>
      <c r="Q607" t="s">
        <v>257</v>
      </c>
      <c r="R607" t="s">
        <v>6865</v>
      </c>
      <c r="S607">
        <v>1416</v>
      </c>
      <c r="T607" t="s">
        <v>40</v>
      </c>
      <c r="U607">
        <f>+IF(Tabla1[[#This Row],[MONEDA]]="PEN",Tabla1[[#This Row],[MONTO]],Tabla1[[#This Row],[MONTO]]*3.56)</f>
        <v>1416</v>
      </c>
      <c r="X607" t="s">
        <v>81</v>
      </c>
      <c r="Y607" t="s">
        <v>42</v>
      </c>
      <c r="Z607" t="s">
        <v>43</v>
      </c>
      <c r="AA607" t="s">
        <v>6866</v>
      </c>
      <c r="AB607" t="s">
        <v>6867</v>
      </c>
      <c r="AC607" t="s">
        <v>6868</v>
      </c>
      <c r="AD607" t="s">
        <v>6869</v>
      </c>
      <c r="AE607">
        <v>1274.4000000000001</v>
      </c>
      <c r="AF607" t="s">
        <v>87</v>
      </c>
      <c r="AG607" t="s">
        <v>169</v>
      </c>
    </row>
    <row r="608" spans="1:33" x14ac:dyDescent="0.25">
      <c r="A608">
        <v>28312</v>
      </c>
      <c r="B608" t="s">
        <v>32</v>
      </c>
      <c r="C608">
        <v>1</v>
      </c>
      <c r="D608" t="s">
        <v>7604</v>
      </c>
      <c r="E608" t="s">
        <v>70</v>
      </c>
      <c r="F608" t="s">
        <v>90</v>
      </c>
      <c r="G608" t="s">
        <v>91</v>
      </c>
      <c r="H608" t="s">
        <v>72</v>
      </c>
      <c r="I608" t="s">
        <v>7531</v>
      </c>
      <c r="J608" t="s">
        <v>7605</v>
      </c>
      <c r="K608" t="s">
        <v>36</v>
      </c>
      <c r="L608" t="s">
        <v>33</v>
      </c>
      <c r="M608">
        <v>20507850091</v>
      </c>
      <c r="N608" t="s">
        <v>256</v>
      </c>
      <c r="P608" t="s">
        <v>38</v>
      </c>
      <c r="Q608" t="s">
        <v>257</v>
      </c>
      <c r="R608" t="s">
        <v>7606</v>
      </c>
      <c r="S608">
        <v>3300</v>
      </c>
      <c r="T608" t="s">
        <v>40</v>
      </c>
      <c r="U608">
        <f>+IF(Tabla1[[#This Row],[MONEDA]]="PEN",Tabla1[[#This Row],[MONTO]],Tabla1[[#This Row],[MONTO]]*3.56)</f>
        <v>3300</v>
      </c>
      <c r="X608" t="s">
        <v>41</v>
      </c>
      <c r="Y608" t="s">
        <v>42</v>
      </c>
      <c r="Z608" t="s">
        <v>43</v>
      </c>
      <c r="AA608" t="s">
        <v>7607</v>
      </c>
      <c r="AB608" t="s">
        <v>7608</v>
      </c>
      <c r="AC608" t="s">
        <v>7609</v>
      </c>
      <c r="AD608" t="s">
        <v>7610</v>
      </c>
      <c r="AE608">
        <v>3504.6</v>
      </c>
      <c r="AF608" t="s">
        <v>87</v>
      </c>
      <c r="AG608" t="s">
        <v>169</v>
      </c>
    </row>
    <row r="609" spans="1:33" x14ac:dyDescent="0.25">
      <c r="A609">
        <v>28314</v>
      </c>
      <c r="B609" t="s">
        <v>32</v>
      </c>
      <c r="C609">
        <v>1</v>
      </c>
      <c r="D609" t="s">
        <v>7611</v>
      </c>
      <c r="E609" t="s">
        <v>70</v>
      </c>
      <c r="F609" t="s">
        <v>90</v>
      </c>
      <c r="G609" t="s">
        <v>91</v>
      </c>
      <c r="H609" t="s">
        <v>72</v>
      </c>
      <c r="I609" t="s">
        <v>7531</v>
      </c>
      <c r="J609" t="s">
        <v>7612</v>
      </c>
      <c r="K609" t="s">
        <v>36</v>
      </c>
      <c r="L609" t="s">
        <v>33</v>
      </c>
      <c r="M609">
        <v>20507850091</v>
      </c>
      <c r="N609" t="s">
        <v>256</v>
      </c>
      <c r="P609" t="s">
        <v>38</v>
      </c>
      <c r="Q609" t="s">
        <v>257</v>
      </c>
      <c r="R609" t="s">
        <v>7613</v>
      </c>
      <c r="S609">
        <v>2100</v>
      </c>
      <c r="T609" t="s">
        <v>40</v>
      </c>
      <c r="U609">
        <f>+IF(Tabla1[[#This Row],[MONEDA]]="PEN",Tabla1[[#This Row],[MONTO]],Tabla1[[#This Row],[MONTO]]*3.56)</f>
        <v>2100</v>
      </c>
      <c r="X609" t="s">
        <v>41</v>
      </c>
      <c r="Y609" t="s">
        <v>42</v>
      </c>
      <c r="Z609" t="s">
        <v>43</v>
      </c>
      <c r="AA609" t="s">
        <v>7614</v>
      </c>
      <c r="AB609" t="s">
        <v>7615</v>
      </c>
      <c r="AC609" t="s">
        <v>7616</v>
      </c>
      <c r="AD609" t="s">
        <v>7617</v>
      </c>
      <c r="AE609">
        <v>2230.1999999999998</v>
      </c>
      <c r="AF609" t="s">
        <v>87</v>
      </c>
      <c r="AG609" t="s">
        <v>169</v>
      </c>
    </row>
    <row r="610" spans="1:33" x14ac:dyDescent="0.25">
      <c r="A610">
        <v>28315</v>
      </c>
      <c r="B610" t="s">
        <v>32</v>
      </c>
      <c r="C610">
        <v>1</v>
      </c>
      <c r="D610" t="s">
        <v>7618</v>
      </c>
      <c r="E610" t="s">
        <v>70</v>
      </c>
      <c r="F610" t="s">
        <v>90</v>
      </c>
      <c r="G610" t="s">
        <v>91</v>
      </c>
      <c r="H610" t="s">
        <v>72</v>
      </c>
      <c r="I610" t="s">
        <v>7531</v>
      </c>
      <c r="J610" t="s">
        <v>7619</v>
      </c>
      <c r="K610" t="s">
        <v>36</v>
      </c>
      <c r="L610" t="s">
        <v>33</v>
      </c>
      <c r="M610">
        <v>20507850091</v>
      </c>
      <c r="N610" t="s">
        <v>256</v>
      </c>
      <c r="P610" t="s">
        <v>38</v>
      </c>
      <c r="Q610" t="s">
        <v>257</v>
      </c>
      <c r="R610" t="s">
        <v>7620</v>
      </c>
      <c r="S610">
        <v>1200</v>
      </c>
      <c r="T610" t="s">
        <v>40</v>
      </c>
      <c r="U610">
        <f>+IF(Tabla1[[#This Row],[MONEDA]]="PEN",Tabla1[[#This Row],[MONTO]],Tabla1[[#This Row],[MONTO]]*3.56)</f>
        <v>1200</v>
      </c>
      <c r="X610" t="s">
        <v>41</v>
      </c>
      <c r="Y610" t="s">
        <v>42</v>
      </c>
      <c r="Z610" t="s">
        <v>43</v>
      </c>
      <c r="AA610" t="s">
        <v>7621</v>
      </c>
      <c r="AB610" t="s">
        <v>7622</v>
      </c>
      <c r="AC610" t="s">
        <v>7623</v>
      </c>
      <c r="AD610" t="s">
        <v>7624</v>
      </c>
      <c r="AE610">
        <v>1274.4000000000001</v>
      </c>
      <c r="AF610" t="s">
        <v>87</v>
      </c>
      <c r="AG610" t="s">
        <v>169</v>
      </c>
    </row>
    <row r="611" spans="1:33" x14ac:dyDescent="0.25">
      <c r="A611">
        <v>28317</v>
      </c>
      <c r="B611" t="s">
        <v>32</v>
      </c>
      <c r="C611">
        <v>1</v>
      </c>
      <c r="D611" t="s">
        <v>7625</v>
      </c>
      <c r="E611" t="s">
        <v>70</v>
      </c>
      <c r="F611" t="s">
        <v>90</v>
      </c>
      <c r="G611" t="s">
        <v>91</v>
      </c>
      <c r="H611" t="s">
        <v>72</v>
      </c>
      <c r="I611" t="s">
        <v>7531</v>
      </c>
      <c r="J611" t="s">
        <v>7626</v>
      </c>
      <c r="K611" t="s">
        <v>36</v>
      </c>
      <c r="L611" t="s">
        <v>33</v>
      </c>
      <c r="M611">
        <v>20507850091</v>
      </c>
      <c r="N611" t="s">
        <v>256</v>
      </c>
      <c r="P611" t="s">
        <v>38</v>
      </c>
      <c r="Q611" t="s">
        <v>257</v>
      </c>
      <c r="R611" t="s">
        <v>7627</v>
      </c>
      <c r="S611">
        <v>1200</v>
      </c>
      <c r="T611" t="s">
        <v>40</v>
      </c>
      <c r="U611">
        <f>+IF(Tabla1[[#This Row],[MONEDA]]="PEN",Tabla1[[#This Row],[MONTO]],Tabla1[[#This Row],[MONTO]]*3.56)</f>
        <v>1200</v>
      </c>
      <c r="X611" t="s">
        <v>41</v>
      </c>
      <c r="Y611" t="s">
        <v>42</v>
      </c>
      <c r="Z611" t="s">
        <v>43</v>
      </c>
      <c r="AA611" t="s">
        <v>7628</v>
      </c>
      <c r="AB611" t="s">
        <v>7629</v>
      </c>
      <c r="AC611" t="s">
        <v>7630</v>
      </c>
      <c r="AD611" t="s">
        <v>7631</v>
      </c>
      <c r="AE611">
        <v>1274.4000000000001</v>
      </c>
      <c r="AF611" t="s">
        <v>87</v>
      </c>
      <c r="AG611" t="s">
        <v>169</v>
      </c>
    </row>
    <row r="612" spans="1:33" x14ac:dyDescent="0.25">
      <c r="A612">
        <v>27876</v>
      </c>
      <c r="B612" t="s">
        <v>32</v>
      </c>
      <c r="C612">
        <v>1</v>
      </c>
      <c r="D612" t="s">
        <v>8077</v>
      </c>
      <c r="E612" t="s">
        <v>70</v>
      </c>
      <c r="F612" t="s">
        <v>90</v>
      </c>
      <c r="G612" t="s">
        <v>91</v>
      </c>
      <c r="H612" t="s">
        <v>72</v>
      </c>
      <c r="I612" t="s">
        <v>8078</v>
      </c>
      <c r="J612" t="s">
        <v>8079</v>
      </c>
      <c r="K612" t="s">
        <v>36</v>
      </c>
      <c r="L612" t="s">
        <v>33</v>
      </c>
      <c r="M612">
        <v>20507850091</v>
      </c>
      <c r="N612" t="s">
        <v>256</v>
      </c>
      <c r="P612" t="s">
        <v>38</v>
      </c>
      <c r="Q612" t="s">
        <v>257</v>
      </c>
      <c r="R612" t="s">
        <v>8080</v>
      </c>
      <c r="S612">
        <v>3300</v>
      </c>
      <c r="T612" t="s">
        <v>40</v>
      </c>
      <c r="U612">
        <f>+IF(Tabla1[[#This Row],[MONEDA]]="PEN",Tabla1[[#This Row],[MONTO]],Tabla1[[#This Row],[MONTO]]*3.56)</f>
        <v>3300</v>
      </c>
      <c r="X612" t="s">
        <v>41</v>
      </c>
      <c r="Y612" t="s">
        <v>42</v>
      </c>
      <c r="Z612" t="s">
        <v>82</v>
      </c>
      <c r="AA612" t="s">
        <v>8081</v>
      </c>
      <c r="AB612" t="s">
        <v>8082</v>
      </c>
      <c r="AC612" t="s">
        <v>8083</v>
      </c>
      <c r="AD612" t="s">
        <v>8084</v>
      </c>
      <c r="AE612">
        <v>3504.6</v>
      </c>
      <c r="AF612" t="s">
        <v>87</v>
      </c>
      <c r="AG612" t="s">
        <v>169</v>
      </c>
    </row>
    <row r="613" spans="1:33" x14ac:dyDescent="0.25">
      <c r="A613">
        <v>27857</v>
      </c>
      <c r="B613" t="s">
        <v>32</v>
      </c>
      <c r="C613">
        <v>1</v>
      </c>
      <c r="D613" t="s">
        <v>8115</v>
      </c>
      <c r="E613" t="s">
        <v>70</v>
      </c>
      <c r="F613" t="s">
        <v>90</v>
      </c>
      <c r="G613" t="s">
        <v>91</v>
      </c>
      <c r="H613" t="s">
        <v>72</v>
      </c>
      <c r="I613" t="s">
        <v>8107</v>
      </c>
      <c r="J613" t="s">
        <v>8116</v>
      </c>
      <c r="K613" t="s">
        <v>36</v>
      </c>
      <c r="L613" t="s">
        <v>33</v>
      </c>
      <c r="M613">
        <v>20507850091</v>
      </c>
      <c r="N613" t="s">
        <v>256</v>
      </c>
      <c r="P613" t="s">
        <v>38</v>
      </c>
      <c r="Q613" t="s">
        <v>257</v>
      </c>
      <c r="R613" t="s">
        <v>8117</v>
      </c>
      <c r="S613">
        <v>2100</v>
      </c>
      <c r="T613" t="s">
        <v>40</v>
      </c>
      <c r="U613">
        <f>+IF(Tabla1[[#This Row],[MONEDA]]="PEN",Tabla1[[#This Row],[MONTO]],Tabla1[[#This Row],[MONTO]]*3.56)</f>
        <v>2100</v>
      </c>
      <c r="X613" t="s">
        <v>41</v>
      </c>
      <c r="Y613" t="s">
        <v>42</v>
      </c>
      <c r="Z613" t="s">
        <v>43</v>
      </c>
      <c r="AA613" t="s">
        <v>8118</v>
      </c>
      <c r="AB613" t="s">
        <v>8119</v>
      </c>
      <c r="AC613" t="s">
        <v>8120</v>
      </c>
      <c r="AD613" t="s">
        <v>8121</v>
      </c>
      <c r="AE613">
        <v>2230.1999999999998</v>
      </c>
      <c r="AF613" t="s">
        <v>87</v>
      </c>
      <c r="AG613" t="s">
        <v>169</v>
      </c>
    </row>
    <row r="614" spans="1:33" x14ac:dyDescent="0.25">
      <c r="A614">
        <v>27258</v>
      </c>
      <c r="B614" t="s">
        <v>32</v>
      </c>
      <c r="C614">
        <v>1</v>
      </c>
      <c r="D614" t="s">
        <v>8426</v>
      </c>
      <c r="E614" t="s">
        <v>70</v>
      </c>
      <c r="F614" t="s">
        <v>90</v>
      </c>
      <c r="G614" t="s">
        <v>91</v>
      </c>
      <c r="H614" t="s">
        <v>72</v>
      </c>
      <c r="I614" t="s">
        <v>8412</v>
      </c>
      <c r="J614" t="s">
        <v>8427</v>
      </c>
      <c r="K614" t="s">
        <v>36</v>
      </c>
      <c r="L614" t="s">
        <v>33</v>
      </c>
      <c r="M614">
        <v>20507850091</v>
      </c>
      <c r="N614" t="s">
        <v>256</v>
      </c>
      <c r="P614" t="s">
        <v>38</v>
      </c>
      <c r="Q614" t="s">
        <v>257</v>
      </c>
      <c r="R614" t="s">
        <v>8428</v>
      </c>
      <c r="S614">
        <v>1416</v>
      </c>
      <c r="T614" t="s">
        <v>40</v>
      </c>
      <c r="U614">
        <f>+IF(Tabla1[[#This Row],[MONEDA]]="PEN",Tabla1[[#This Row],[MONTO]],Tabla1[[#This Row],[MONTO]]*3.56)</f>
        <v>1416</v>
      </c>
      <c r="X614" t="s">
        <v>41</v>
      </c>
      <c r="Y614" t="s">
        <v>42</v>
      </c>
      <c r="Z614" t="s">
        <v>43</v>
      </c>
      <c r="AA614" t="s">
        <v>8429</v>
      </c>
      <c r="AB614" t="s">
        <v>8430</v>
      </c>
      <c r="AC614" t="s">
        <v>8431</v>
      </c>
      <c r="AD614" t="s">
        <v>8432</v>
      </c>
      <c r="AE614">
        <v>1274.4000000000001</v>
      </c>
      <c r="AF614" t="s">
        <v>87</v>
      </c>
      <c r="AG614" t="s">
        <v>169</v>
      </c>
    </row>
    <row r="615" spans="1:33" x14ac:dyDescent="0.25">
      <c r="A615">
        <v>27259</v>
      </c>
      <c r="B615" t="s">
        <v>32</v>
      </c>
      <c r="C615">
        <v>1</v>
      </c>
      <c r="D615" t="s">
        <v>8433</v>
      </c>
      <c r="E615" t="s">
        <v>70</v>
      </c>
      <c r="F615" t="s">
        <v>90</v>
      </c>
      <c r="G615" t="s">
        <v>91</v>
      </c>
      <c r="H615" t="s">
        <v>72</v>
      </c>
      <c r="I615" t="s">
        <v>8412</v>
      </c>
      <c r="J615" t="s">
        <v>8434</v>
      </c>
      <c r="K615" t="s">
        <v>36</v>
      </c>
      <c r="L615" t="s">
        <v>33</v>
      </c>
      <c r="M615">
        <v>20507850091</v>
      </c>
      <c r="N615" t="s">
        <v>256</v>
      </c>
      <c r="P615" t="s">
        <v>38</v>
      </c>
      <c r="Q615" t="s">
        <v>257</v>
      </c>
      <c r="R615" t="s">
        <v>8435</v>
      </c>
      <c r="S615">
        <v>1416</v>
      </c>
      <c r="T615" t="s">
        <v>40</v>
      </c>
      <c r="U615">
        <f>+IF(Tabla1[[#This Row],[MONEDA]]="PEN",Tabla1[[#This Row],[MONTO]],Tabla1[[#This Row],[MONTO]]*3.56)</f>
        <v>1416</v>
      </c>
      <c r="X615" t="s">
        <v>41</v>
      </c>
      <c r="Y615" t="s">
        <v>42</v>
      </c>
      <c r="Z615" t="s">
        <v>43</v>
      </c>
      <c r="AA615" t="s">
        <v>8436</v>
      </c>
      <c r="AB615" t="s">
        <v>8437</v>
      </c>
      <c r="AC615" t="s">
        <v>8438</v>
      </c>
      <c r="AD615" t="s">
        <v>8439</v>
      </c>
      <c r="AE615">
        <v>1274.4000000000001</v>
      </c>
      <c r="AF615" t="s">
        <v>87</v>
      </c>
      <c r="AG615" t="s">
        <v>169</v>
      </c>
    </row>
    <row r="616" spans="1:33" x14ac:dyDescent="0.25">
      <c r="A616">
        <v>24050</v>
      </c>
      <c r="B616" t="s">
        <v>32</v>
      </c>
      <c r="C616">
        <v>1</v>
      </c>
      <c r="D616" t="s">
        <v>10568</v>
      </c>
      <c r="E616" t="s">
        <v>70</v>
      </c>
      <c r="F616" t="s">
        <v>90</v>
      </c>
      <c r="G616" t="s">
        <v>91</v>
      </c>
      <c r="H616" t="s">
        <v>72</v>
      </c>
      <c r="I616" t="s">
        <v>10569</v>
      </c>
      <c r="J616" t="s">
        <v>10570</v>
      </c>
      <c r="K616" t="s">
        <v>36</v>
      </c>
      <c r="L616" t="s">
        <v>33</v>
      </c>
      <c r="M616">
        <v>20507850091</v>
      </c>
      <c r="N616" t="s">
        <v>256</v>
      </c>
      <c r="P616" t="s">
        <v>38</v>
      </c>
      <c r="Q616" t="s">
        <v>257</v>
      </c>
      <c r="R616" t="s">
        <v>10571</v>
      </c>
      <c r="S616">
        <v>3894</v>
      </c>
      <c r="T616" t="s">
        <v>40</v>
      </c>
      <c r="U616">
        <f>+IF(Tabla1[[#This Row],[MONEDA]]="PEN",Tabla1[[#This Row],[MONTO]],Tabla1[[#This Row],[MONTO]]*3.56)</f>
        <v>3894</v>
      </c>
      <c r="X616" t="s">
        <v>41</v>
      </c>
      <c r="Y616" t="s">
        <v>42</v>
      </c>
      <c r="Z616" t="s">
        <v>43</v>
      </c>
      <c r="AA616" t="s">
        <v>10572</v>
      </c>
      <c r="AB616" t="s">
        <v>10573</v>
      </c>
      <c r="AC616" t="s">
        <v>10574</v>
      </c>
      <c r="AD616" t="s">
        <v>10575</v>
      </c>
      <c r="AE616">
        <v>3504.6</v>
      </c>
      <c r="AF616" t="s">
        <v>87</v>
      </c>
      <c r="AG616" t="s">
        <v>169</v>
      </c>
    </row>
    <row r="617" spans="1:33" x14ac:dyDescent="0.25">
      <c r="A617">
        <v>24051</v>
      </c>
      <c r="B617" t="s">
        <v>32</v>
      </c>
      <c r="C617">
        <v>1</v>
      </c>
      <c r="D617" t="s">
        <v>10576</v>
      </c>
      <c r="E617" t="s">
        <v>70</v>
      </c>
      <c r="F617" t="s">
        <v>90</v>
      </c>
      <c r="G617" t="s">
        <v>91</v>
      </c>
      <c r="H617" t="s">
        <v>72</v>
      </c>
      <c r="I617" t="s">
        <v>10569</v>
      </c>
      <c r="J617" t="s">
        <v>10577</v>
      </c>
      <c r="K617" t="s">
        <v>36</v>
      </c>
      <c r="L617" t="s">
        <v>33</v>
      </c>
      <c r="M617">
        <v>20507850091</v>
      </c>
      <c r="N617" t="s">
        <v>256</v>
      </c>
      <c r="P617" t="s">
        <v>38</v>
      </c>
      <c r="Q617" t="s">
        <v>257</v>
      </c>
      <c r="R617" t="s">
        <v>10578</v>
      </c>
      <c r="S617">
        <v>1416</v>
      </c>
      <c r="T617" t="s">
        <v>40</v>
      </c>
      <c r="U617">
        <f>+IF(Tabla1[[#This Row],[MONEDA]]="PEN",Tabla1[[#This Row],[MONTO]],Tabla1[[#This Row],[MONTO]]*3.56)</f>
        <v>1416</v>
      </c>
      <c r="X617" t="s">
        <v>41</v>
      </c>
      <c r="Y617" t="s">
        <v>42</v>
      </c>
      <c r="Z617" t="s">
        <v>82</v>
      </c>
      <c r="AA617" t="s">
        <v>10579</v>
      </c>
      <c r="AB617" t="s">
        <v>10580</v>
      </c>
      <c r="AC617" t="s">
        <v>10581</v>
      </c>
      <c r="AD617" t="s">
        <v>10582</v>
      </c>
      <c r="AE617">
        <v>1274.4000000000001</v>
      </c>
      <c r="AF617" t="s">
        <v>87</v>
      </c>
      <c r="AG617" t="s">
        <v>169</v>
      </c>
    </row>
    <row r="618" spans="1:33" x14ac:dyDescent="0.25">
      <c r="A618">
        <v>24052</v>
      </c>
      <c r="B618" t="s">
        <v>32</v>
      </c>
      <c r="C618">
        <v>1</v>
      </c>
      <c r="D618" t="s">
        <v>10583</v>
      </c>
      <c r="E618" t="s">
        <v>70</v>
      </c>
      <c r="F618" t="s">
        <v>90</v>
      </c>
      <c r="G618" t="s">
        <v>91</v>
      </c>
      <c r="H618" t="s">
        <v>72</v>
      </c>
      <c r="I618" t="s">
        <v>10569</v>
      </c>
      <c r="J618" t="s">
        <v>10584</v>
      </c>
      <c r="K618" t="s">
        <v>36</v>
      </c>
      <c r="L618" t="s">
        <v>33</v>
      </c>
      <c r="M618">
        <v>20507850091</v>
      </c>
      <c r="N618" t="s">
        <v>256</v>
      </c>
      <c r="P618" t="s">
        <v>38</v>
      </c>
      <c r="Q618" t="s">
        <v>257</v>
      </c>
      <c r="R618" t="s">
        <v>10585</v>
      </c>
      <c r="S618">
        <v>2478</v>
      </c>
      <c r="T618" t="s">
        <v>40</v>
      </c>
      <c r="U618">
        <f>+IF(Tabla1[[#This Row],[MONEDA]]="PEN",Tabla1[[#This Row],[MONTO]],Tabla1[[#This Row],[MONTO]]*3.56)</f>
        <v>2478</v>
      </c>
      <c r="X618" t="s">
        <v>41</v>
      </c>
      <c r="Y618" t="s">
        <v>42</v>
      </c>
      <c r="Z618" t="s">
        <v>82</v>
      </c>
      <c r="AA618" t="s">
        <v>10586</v>
      </c>
      <c r="AB618" t="s">
        <v>10587</v>
      </c>
      <c r="AC618" t="s">
        <v>10588</v>
      </c>
      <c r="AD618" t="s">
        <v>10589</v>
      </c>
      <c r="AE618">
        <v>2230.1999999999998</v>
      </c>
      <c r="AF618" t="s">
        <v>87</v>
      </c>
      <c r="AG618" t="s">
        <v>169</v>
      </c>
    </row>
    <row r="619" spans="1:33" x14ac:dyDescent="0.25">
      <c r="A619">
        <v>24053</v>
      </c>
      <c r="B619" t="s">
        <v>32</v>
      </c>
      <c r="C619">
        <v>1</v>
      </c>
      <c r="D619" t="s">
        <v>10737</v>
      </c>
      <c r="E619" t="s">
        <v>70</v>
      </c>
      <c r="F619" t="s">
        <v>90</v>
      </c>
      <c r="G619" t="s">
        <v>91</v>
      </c>
      <c r="H619" t="s">
        <v>72</v>
      </c>
      <c r="I619" t="s">
        <v>10738</v>
      </c>
      <c r="J619" t="s">
        <v>10739</v>
      </c>
      <c r="K619" t="s">
        <v>36</v>
      </c>
      <c r="L619" t="s">
        <v>33</v>
      </c>
      <c r="M619">
        <v>20507850091</v>
      </c>
      <c r="N619" t="s">
        <v>256</v>
      </c>
      <c r="P619" t="s">
        <v>38</v>
      </c>
      <c r="Q619" t="s">
        <v>257</v>
      </c>
      <c r="R619" t="s">
        <v>10740</v>
      </c>
      <c r="S619">
        <v>1416</v>
      </c>
      <c r="T619" t="s">
        <v>40</v>
      </c>
      <c r="U619">
        <f>+IF(Tabla1[[#This Row],[MONEDA]]="PEN",Tabla1[[#This Row],[MONTO]],Tabla1[[#This Row],[MONTO]]*3.56)</f>
        <v>1416</v>
      </c>
      <c r="X619" t="s">
        <v>41</v>
      </c>
      <c r="Y619" t="s">
        <v>42</v>
      </c>
      <c r="Z619" t="s">
        <v>43</v>
      </c>
      <c r="AA619" t="s">
        <v>10741</v>
      </c>
      <c r="AB619" t="s">
        <v>10742</v>
      </c>
      <c r="AC619" t="s">
        <v>10743</v>
      </c>
      <c r="AD619" t="s">
        <v>10744</v>
      </c>
      <c r="AE619">
        <v>1274.4000000000001</v>
      </c>
      <c r="AF619" t="s">
        <v>87</v>
      </c>
      <c r="AG619" t="s">
        <v>169</v>
      </c>
    </row>
    <row r="620" spans="1:33" hidden="1" x14ac:dyDescent="0.25">
      <c r="A620">
        <v>22034</v>
      </c>
      <c r="B620" t="s">
        <v>32</v>
      </c>
      <c r="C620">
        <v>1</v>
      </c>
      <c r="D620" t="s">
        <v>12060</v>
      </c>
      <c r="E620" t="s">
        <v>70</v>
      </c>
      <c r="F620" t="s">
        <v>33</v>
      </c>
      <c r="G620" t="s">
        <v>9943</v>
      </c>
      <c r="H620" t="s">
        <v>9503</v>
      </c>
      <c r="I620" t="s">
        <v>12061</v>
      </c>
      <c r="J620" t="s">
        <v>12062</v>
      </c>
      <c r="K620" t="s">
        <v>36</v>
      </c>
      <c r="L620" t="s">
        <v>33</v>
      </c>
      <c r="M620">
        <v>20507850091</v>
      </c>
      <c r="N620" t="s">
        <v>256</v>
      </c>
      <c r="O620" t="s">
        <v>9404</v>
      </c>
      <c r="P620" t="s">
        <v>38</v>
      </c>
      <c r="Q620" t="s">
        <v>257</v>
      </c>
      <c r="R620" t="s">
        <v>12063</v>
      </c>
      <c r="S620">
        <v>2478</v>
      </c>
      <c r="T620" t="s">
        <v>40</v>
      </c>
      <c r="U620">
        <f>+IF(Tabla1[[#This Row],[MONEDA]]="PEN",Tabla1[[#This Row],[MONTO]],Tabla1[[#This Row],[MONTO]]*3.56)</f>
        <v>2478</v>
      </c>
      <c r="X620" t="s">
        <v>41</v>
      </c>
      <c r="Y620" t="s">
        <v>42</v>
      </c>
      <c r="Z620" t="s">
        <v>43</v>
      </c>
      <c r="AA620" t="s">
        <v>12064</v>
      </c>
      <c r="AB620" t="s">
        <v>12065</v>
      </c>
      <c r="AC620" t="s">
        <v>12066</v>
      </c>
      <c r="AD620" t="s">
        <v>12067</v>
      </c>
      <c r="AE620">
        <v>2230.1999999999998</v>
      </c>
      <c r="AF620" t="s">
        <v>87</v>
      </c>
      <c r="AG620" t="s">
        <v>169</v>
      </c>
    </row>
    <row r="621" spans="1:33" hidden="1" x14ac:dyDescent="0.25">
      <c r="A621">
        <v>22036</v>
      </c>
      <c r="B621" t="s">
        <v>32</v>
      </c>
      <c r="C621">
        <v>1</v>
      </c>
      <c r="D621" t="s">
        <v>12068</v>
      </c>
      <c r="E621" t="s">
        <v>70</v>
      </c>
      <c r="F621" t="s">
        <v>33</v>
      </c>
      <c r="G621" t="s">
        <v>9943</v>
      </c>
      <c r="H621" t="s">
        <v>9503</v>
      </c>
      <c r="I621" t="s">
        <v>12061</v>
      </c>
      <c r="J621" t="s">
        <v>12069</v>
      </c>
      <c r="K621" t="s">
        <v>36</v>
      </c>
      <c r="L621" t="s">
        <v>33</v>
      </c>
      <c r="M621">
        <v>20507850091</v>
      </c>
      <c r="N621" t="s">
        <v>256</v>
      </c>
      <c r="O621" t="s">
        <v>9404</v>
      </c>
      <c r="P621" t="s">
        <v>38</v>
      </c>
      <c r="Q621" t="s">
        <v>257</v>
      </c>
      <c r="R621" t="s">
        <v>12070</v>
      </c>
      <c r="S621">
        <v>1416</v>
      </c>
      <c r="T621" t="s">
        <v>40</v>
      </c>
      <c r="U621">
        <f>+IF(Tabla1[[#This Row],[MONEDA]]="PEN",Tabla1[[#This Row],[MONTO]],Tabla1[[#This Row],[MONTO]]*3.56)</f>
        <v>1416</v>
      </c>
      <c r="X621" t="s">
        <v>41</v>
      </c>
      <c r="Y621" t="s">
        <v>42</v>
      </c>
      <c r="Z621" t="s">
        <v>43</v>
      </c>
      <c r="AA621" t="s">
        <v>12071</v>
      </c>
      <c r="AB621" t="s">
        <v>12072</v>
      </c>
      <c r="AC621" t="s">
        <v>12073</v>
      </c>
      <c r="AD621" t="s">
        <v>12074</v>
      </c>
      <c r="AE621">
        <v>1274.4000000000001</v>
      </c>
      <c r="AF621" t="s">
        <v>87</v>
      </c>
      <c r="AG621" t="s">
        <v>169</v>
      </c>
    </row>
    <row r="622" spans="1:33" x14ac:dyDescent="0.25">
      <c r="A622">
        <v>21271</v>
      </c>
      <c r="B622" t="s">
        <v>32</v>
      </c>
      <c r="C622">
        <v>1</v>
      </c>
      <c r="D622" t="s">
        <v>12583</v>
      </c>
      <c r="E622" t="s">
        <v>70</v>
      </c>
      <c r="F622" t="s">
        <v>90</v>
      </c>
      <c r="G622" t="s">
        <v>91</v>
      </c>
      <c r="H622" t="s">
        <v>72</v>
      </c>
      <c r="I622" t="s">
        <v>12584</v>
      </c>
      <c r="J622" t="s">
        <v>12585</v>
      </c>
      <c r="K622" t="s">
        <v>36</v>
      </c>
      <c r="L622" t="s">
        <v>33</v>
      </c>
      <c r="M622">
        <v>20507850091</v>
      </c>
      <c r="N622" t="s">
        <v>256</v>
      </c>
      <c r="O622" t="s">
        <v>1747</v>
      </c>
      <c r="P622" t="s">
        <v>38</v>
      </c>
      <c r="Q622" t="s">
        <v>257</v>
      </c>
      <c r="R622" t="s">
        <v>12586</v>
      </c>
      <c r="S622">
        <v>4189</v>
      </c>
      <c r="T622" t="s">
        <v>40</v>
      </c>
      <c r="U622">
        <f>+IF(Tabla1[[#This Row],[MONEDA]]="PEN",Tabla1[[#This Row],[MONTO]],Tabla1[[#This Row],[MONTO]]*3.56)</f>
        <v>4189</v>
      </c>
      <c r="X622" t="s">
        <v>41</v>
      </c>
      <c r="Y622" t="s">
        <v>42</v>
      </c>
      <c r="Z622" t="s">
        <v>43</v>
      </c>
      <c r="AA622" t="s">
        <v>12587</v>
      </c>
      <c r="AB622" t="s">
        <v>12588</v>
      </c>
      <c r="AC622" t="s">
        <v>12589</v>
      </c>
      <c r="AD622" t="s">
        <v>12590</v>
      </c>
      <c r="AE622">
        <v>3770.1</v>
      </c>
      <c r="AF622" t="s">
        <v>87</v>
      </c>
      <c r="AG622" t="s">
        <v>169</v>
      </c>
    </row>
    <row r="623" spans="1:33" hidden="1" x14ac:dyDescent="0.25">
      <c r="A623">
        <v>30884</v>
      </c>
      <c r="B623" t="s">
        <v>32</v>
      </c>
      <c r="C623">
        <v>3</v>
      </c>
      <c r="D623" t="s">
        <v>6189</v>
      </c>
      <c r="E623" t="s">
        <v>70</v>
      </c>
      <c r="F623" t="s">
        <v>33</v>
      </c>
      <c r="G623" t="s">
        <v>71</v>
      </c>
      <c r="H623" t="s">
        <v>72</v>
      </c>
      <c r="I623" t="s">
        <v>6161</v>
      </c>
      <c r="J623" t="s">
        <v>6190</v>
      </c>
      <c r="K623" t="s">
        <v>36</v>
      </c>
      <c r="L623" t="s">
        <v>33</v>
      </c>
      <c r="M623">
        <v>20341257167</v>
      </c>
      <c r="N623" t="s">
        <v>6191</v>
      </c>
      <c r="O623" t="s">
        <v>76</v>
      </c>
      <c r="P623" t="s">
        <v>77</v>
      </c>
      <c r="Q623">
        <v>1911017725159</v>
      </c>
      <c r="R623" t="s">
        <v>6192</v>
      </c>
      <c r="S623">
        <v>42078.1</v>
      </c>
      <c r="T623" t="s">
        <v>80</v>
      </c>
      <c r="U623">
        <f>+IF(Tabla1[[#This Row],[MONEDA]]="PEN",Tabla1[[#This Row],[MONTO]],Tabla1[[#This Row],[MONTO]]*3.56)</f>
        <v>149798.03599999999</v>
      </c>
      <c r="X623" t="s">
        <v>81</v>
      </c>
      <c r="Y623" t="s">
        <v>42</v>
      </c>
      <c r="Z623" t="s">
        <v>43</v>
      </c>
      <c r="AA623" t="s">
        <v>6193</v>
      </c>
      <c r="AB623" t="s">
        <v>6194</v>
      </c>
      <c r="AC623" t="s">
        <v>6195</v>
      </c>
      <c r="AD623" t="s">
        <v>6196</v>
      </c>
      <c r="AE623">
        <v>42078.1</v>
      </c>
      <c r="AF623" t="s">
        <v>87</v>
      </c>
      <c r="AG623" t="s">
        <v>88</v>
      </c>
    </row>
    <row r="624" spans="1:33" hidden="1" x14ac:dyDescent="0.25">
      <c r="A624">
        <v>28043</v>
      </c>
      <c r="B624" t="s">
        <v>32</v>
      </c>
      <c r="C624">
        <v>1</v>
      </c>
      <c r="D624" t="s">
        <v>7917</v>
      </c>
      <c r="E624" t="s">
        <v>70</v>
      </c>
      <c r="F624" t="s">
        <v>33</v>
      </c>
      <c r="G624" t="s">
        <v>71</v>
      </c>
      <c r="H624" t="s">
        <v>72</v>
      </c>
      <c r="I624" t="s">
        <v>7918</v>
      </c>
      <c r="J624" t="s">
        <v>7919</v>
      </c>
      <c r="K624" t="s">
        <v>36</v>
      </c>
      <c r="L624" t="s">
        <v>33</v>
      </c>
      <c r="M624">
        <v>20341257167</v>
      </c>
      <c r="N624" t="s">
        <v>6191</v>
      </c>
      <c r="O624" t="s">
        <v>76</v>
      </c>
      <c r="P624" t="s">
        <v>77</v>
      </c>
      <c r="Q624">
        <v>1911017725159</v>
      </c>
      <c r="R624" t="s">
        <v>7920</v>
      </c>
      <c r="S624">
        <v>1740.44</v>
      </c>
      <c r="T624" t="s">
        <v>80</v>
      </c>
      <c r="U624">
        <f>+IF(Tabla1[[#This Row],[MONEDA]]="PEN",Tabla1[[#This Row],[MONTO]],Tabla1[[#This Row],[MONTO]]*3.56)</f>
        <v>6195.9664000000002</v>
      </c>
      <c r="X624" t="s">
        <v>81</v>
      </c>
      <c r="Y624" t="s">
        <v>42</v>
      </c>
      <c r="Z624" t="s">
        <v>43</v>
      </c>
      <c r="AA624" t="s">
        <v>7921</v>
      </c>
      <c r="AB624" t="s">
        <v>7922</v>
      </c>
      <c r="AC624" t="s">
        <v>7923</v>
      </c>
      <c r="AD624" t="s">
        <v>7924</v>
      </c>
      <c r="AE624">
        <v>1740.44</v>
      </c>
      <c r="AF624" t="s">
        <v>87</v>
      </c>
      <c r="AG624" t="s">
        <v>88</v>
      </c>
    </row>
    <row r="625" spans="1:33" hidden="1" x14ac:dyDescent="0.25">
      <c r="A625">
        <v>23046</v>
      </c>
      <c r="B625" t="s">
        <v>32</v>
      </c>
      <c r="C625">
        <v>6</v>
      </c>
      <c r="D625" t="s">
        <v>11580</v>
      </c>
      <c r="E625" t="s">
        <v>70</v>
      </c>
      <c r="F625" t="s">
        <v>33</v>
      </c>
      <c r="G625" t="s">
        <v>9422</v>
      </c>
      <c r="H625" t="s">
        <v>72</v>
      </c>
      <c r="I625" t="s">
        <v>11573</v>
      </c>
      <c r="J625" t="s">
        <v>11581</v>
      </c>
      <c r="K625" t="s">
        <v>36</v>
      </c>
      <c r="L625" t="s">
        <v>33</v>
      </c>
      <c r="M625">
        <v>20341257167</v>
      </c>
      <c r="N625" t="s">
        <v>6191</v>
      </c>
      <c r="O625" t="s">
        <v>9423</v>
      </c>
      <c r="P625" t="s">
        <v>38</v>
      </c>
      <c r="Q625">
        <v>1910212594013</v>
      </c>
      <c r="R625" t="s">
        <v>11582</v>
      </c>
      <c r="S625">
        <v>37741.07</v>
      </c>
      <c r="T625" t="s">
        <v>40</v>
      </c>
      <c r="U625">
        <f>+IF(Tabla1[[#This Row],[MONEDA]]="PEN",Tabla1[[#This Row],[MONTO]],Tabla1[[#This Row],[MONTO]]*3.56)</f>
        <v>37741.07</v>
      </c>
      <c r="X625" t="s">
        <v>81</v>
      </c>
      <c r="Y625" t="s">
        <v>51</v>
      </c>
      <c r="Z625" t="s">
        <v>43</v>
      </c>
      <c r="AA625" t="s">
        <v>11583</v>
      </c>
      <c r="AB625" t="s">
        <v>11584</v>
      </c>
      <c r="AC625" t="s">
        <v>11585</v>
      </c>
      <c r="AE625">
        <v>37741.07</v>
      </c>
      <c r="AF625" t="s">
        <v>87</v>
      </c>
      <c r="AG625" t="s">
        <v>169</v>
      </c>
    </row>
    <row r="626" spans="1:33" hidden="1" x14ac:dyDescent="0.25">
      <c r="A626">
        <v>43239</v>
      </c>
      <c r="B626" t="s">
        <v>32</v>
      </c>
      <c r="C626">
        <v>1</v>
      </c>
      <c r="D626" t="s">
        <v>374</v>
      </c>
      <c r="E626" t="s">
        <v>70</v>
      </c>
      <c r="F626" t="s">
        <v>33</v>
      </c>
      <c r="G626" t="s">
        <v>71</v>
      </c>
      <c r="H626" t="s">
        <v>35</v>
      </c>
      <c r="I626" t="s">
        <v>368</v>
      </c>
      <c r="J626" t="s">
        <v>375</v>
      </c>
      <c r="K626" t="s">
        <v>36</v>
      </c>
      <c r="L626" t="s">
        <v>33</v>
      </c>
      <c r="M626">
        <v>20519847907</v>
      </c>
      <c r="N626" t="s">
        <v>376</v>
      </c>
      <c r="O626" t="s">
        <v>76</v>
      </c>
      <c r="P626" t="s">
        <v>38</v>
      </c>
      <c r="Q626" t="s">
        <v>377</v>
      </c>
      <c r="R626" t="s">
        <v>378</v>
      </c>
      <c r="S626">
        <v>25141.759999999998</v>
      </c>
      <c r="T626" t="s">
        <v>40</v>
      </c>
      <c r="U626">
        <f>+IF(Tabla1[[#This Row],[MONEDA]]="PEN",Tabla1[[#This Row],[MONTO]],Tabla1[[#This Row],[MONTO]]*3.56)</f>
        <v>25141.759999999998</v>
      </c>
      <c r="X626" t="s">
        <v>81</v>
      </c>
      <c r="Y626" t="s">
        <v>51</v>
      </c>
      <c r="Z626" t="s">
        <v>43</v>
      </c>
      <c r="AA626" t="s">
        <v>379</v>
      </c>
      <c r="AB626" t="s">
        <v>380</v>
      </c>
      <c r="AC626" t="s">
        <v>381</v>
      </c>
      <c r="AE626">
        <v>24387.51</v>
      </c>
      <c r="AF626" t="s">
        <v>87</v>
      </c>
      <c r="AG626" t="s">
        <v>169</v>
      </c>
    </row>
    <row r="627" spans="1:33" hidden="1" x14ac:dyDescent="0.25">
      <c r="A627">
        <v>41088</v>
      </c>
      <c r="B627" t="s">
        <v>32</v>
      </c>
      <c r="C627">
        <v>2</v>
      </c>
      <c r="D627" t="s">
        <v>1379</v>
      </c>
      <c r="E627" t="s">
        <v>70</v>
      </c>
      <c r="F627" t="s">
        <v>33</v>
      </c>
      <c r="G627" t="s">
        <v>71</v>
      </c>
      <c r="H627" t="s">
        <v>35</v>
      </c>
      <c r="I627" t="s">
        <v>1380</v>
      </c>
      <c r="J627" t="s">
        <v>1381</v>
      </c>
      <c r="K627" t="s">
        <v>36</v>
      </c>
      <c r="L627" t="s">
        <v>33</v>
      </c>
      <c r="M627">
        <v>20519847907</v>
      </c>
      <c r="N627" t="s">
        <v>376</v>
      </c>
      <c r="O627" t="s">
        <v>76</v>
      </c>
      <c r="P627" t="s">
        <v>38</v>
      </c>
      <c r="Q627" t="s">
        <v>377</v>
      </c>
      <c r="R627" t="s">
        <v>1382</v>
      </c>
      <c r="S627">
        <v>19297.7</v>
      </c>
      <c r="T627" t="s">
        <v>40</v>
      </c>
      <c r="U627">
        <f>+IF(Tabla1[[#This Row],[MONEDA]]="PEN",Tabla1[[#This Row],[MONTO]],Tabla1[[#This Row],[MONTO]]*3.56)</f>
        <v>19297.7</v>
      </c>
      <c r="X627" t="s">
        <v>81</v>
      </c>
      <c r="Y627" t="s">
        <v>42</v>
      </c>
      <c r="Z627" t="s">
        <v>82</v>
      </c>
      <c r="AA627" t="s">
        <v>1383</v>
      </c>
      <c r="AB627" t="s">
        <v>1384</v>
      </c>
      <c r="AC627" t="s">
        <v>1385</v>
      </c>
      <c r="AD627" t="s">
        <v>1386</v>
      </c>
      <c r="AE627">
        <v>18718.77</v>
      </c>
      <c r="AF627" t="s">
        <v>87</v>
      </c>
      <c r="AG627" t="s">
        <v>169</v>
      </c>
    </row>
    <row r="628" spans="1:33" hidden="1" x14ac:dyDescent="0.25">
      <c r="A628">
        <v>40809</v>
      </c>
      <c r="B628" t="s">
        <v>32</v>
      </c>
      <c r="C628">
        <v>1</v>
      </c>
      <c r="D628" t="s">
        <v>1861</v>
      </c>
      <c r="E628" t="s">
        <v>70</v>
      </c>
      <c r="F628" t="s">
        <v>33</v>
      </c>
      <c r="G628" t="s">
        <v>71</v>
      </c>
      <c r="H628" t="s">
        <v>35</v>
      </c>
      <c r="I628" t="s">
        <v>1862</v>
      </c>
      <c r="J628" t="s">
        <v>1863</v>
      </c>
      <c r="K628" t="s">
        <v>36</v>
      </c>
      <c r="L628" t="s">
        <v>33</v>
      </c>
      <c r="M628">
        <v>20519847907</v>
      </c>
      <c r="N628" t="s">
        <v>376</v>
      </c>
      <c r="O628" t="s">
        <v>76</v>
      </c>
      <c r="P628" t="s">
        <v>38</v>
      </c>
      <c r="Q628" t="s">
        <v>377</v>
      </c>
      <c r="R628" t="s">
        <v>1864</v>
      </c>
      <c r="S628">
        <v>21420.54</v>
      </c>
      <c r="T628" t="s">
        <v>40</v>
      </c>
      <c r="U628">
        <f>+IF(Tabla1[[#This Row],[MONEDA]]="PEN",Tabla1[[#This Row],[MONTO]],Tabla1[[#This Row],[MONTO]]*3.56)</f>
        <v>21420.54</v>
      </c>
      <c r="X628" t="s">
        <v>81</v>
      </c>
      <c r="Y628" t="s">
        <v>42</v>
      </c>
      <c r="Z628" t="s">
        <v>82</v>
      </c>
      <c r="AA628" t="s">
        <v>1123</v>
      </c>
      <c r="AB628" t="s">
        <v>1865</v>
      </c>
      <c r="AC628" t="s">
        <v>1866</v>
      </c>
      <c r="AD628" t="s">
        <v>1867</v>
      </c>
      <c r="AE628">
        <v>20777.919999999998</v>
      </c>
      <c r="AF628" t="s">
        <v>87</v>
      </c>
      <c r="AG628" t="s">
        <v>169</v>
      </c>
    </row>
    <row r="629" spans="1:33" hidden="1" x14ac:dyDescent="0.25">
      <c r="A629">
        <v>39418</v>
      </c>
      <c r="B629" t="s">
        <v>32</v>
      </c>
      <c r="C629">
        <v>1</v>
      </c>
      <c r="D629" t="s">
        <v>2277</v>
      </c>
      <c r="E629" t="s">
        <v>70</v>
      </c>
      <c r="F629" t="s">
        <v>33</v>
      </c>
      <c r="G629" t="s">
        <v>71</v>
      </c>
      <c r="H629" t="s">
        <v>35</v>
      </c>
      <c r="I629" t="s">
        <v>2278</v>
      </c>
      <c r="J629" t="s">
        <v>2279</v>
      </c>
      <c r="K629" t="s">
        <v>36</v>
      </c>
      <c r="L629" t="s">
        <v>33</v>
      </c>
      <c r="M629">
        <v>20519847907</v>
      </c>
      <c r="N629" t="s">
        <v>376</v>
      </c>
      <c r="O629" t="s">
        <v>76</v>
      </c>
      <c r="P629" t="s">
        <v>38</v>
      </c>
      <c r="Q629" t="s">
        <v>377</v>
      </c>
      <c r="R629" t="s">
        <v>2280</v>
      </c>
      <c r="S629">
        <v>22333.9</v>
      </c>
      <c r="T629" t="s">
        <v>40</v>
      </c>
      <c r="U629">
        <f>+IF(Tabla1[[#This Row],[MONEDA]]="PEN",Tabla1[[#This Row],[MONTO]],Tabla1[[#This Row],[MONTO]]*3.56)</f>
        <v>22333.9</v>
      </c>
      <c r="X629" t="s">
        <v>81</v>
      </c>
      <c r="Y629" t="s">
        <v>42</v>
      </c>
      <c r="Z629" t="s">
        <v>82</v>
      </c>
      <c r="AA629" t="s">
        <v>2281</v>
      </c>
      <c r="AB629" t="s">
        <v>2282</v>
      </c>
      <c r="AC629" t="s">
        <v>2283</v>
      </c>
      <c r="AD629" t="s">
        <v>2284</v>
      </c>
      <c r="AE629">
        <v>21663.88</v>
      </c>
      <c r="AF629" t="s">
        <v>87</v>
      </c>
      <c r="AG629" t="s">
        <v>169</v>
      </c>
    </row>
    <row r="630" spans="1:33" hidden="1" x14ac:dyDescent="0.25">
      <c r="A630">
        <v>37898</v>
      </c>
      <c r="B630" t="s">
        <v>32</v>
      </c>
      <c r="C630">
        <v>1</v>
      </c>
      <c r="D630" t="s">
        <v>3028</v>
      </c>
      <c r="E630" t="s">
        <v>70</v>
      </c>
      <c r="F630" t="s">
        <v>33</v>
      </c>
      <c r="G630" t="s">
        <v>71</v>
      </c>
      <c r="H630" t="s">
        <v>35</v>
      </c>
      <c r="I630" t="s">
        <v>3010</v>
      </c>
      <c r="J630" t="s">
        <v>3029</v>
      </c>
      <c r="K630" t="s">
        <v>36</v>
      </c>
      <c r="L630" t="s">
        <v>33</v>
      </c>
      <c r="M630">
        <v>20519847907</v>
      </c>
      <c r="N630" t="s">
        <v>376</v>
      </c>
      <c r="O630" t="s">
        <v>76</v>
      </c>
      <c r="P630" t="s">
        <v>38</v>
      </c>
      <c r="Q630" t="s">
        <v>377</v>
      </c>
      <c r="R630" t="s">
        <v>3030</v>
      </c>
      <c r="S630">
        <v>11404.28</v>
      </c>
      <c r="T630" t="s">
        <v>40</v>
      </c>
      <c r="U630">
        <f>+IF(Tabla1[[#This Row],[MONEDA]]="PEN",Tabla1[[#This Row],[MONTO]],Tabla1[[#This Row],[MONTO]]*3.56)</f>
        <v>11404.28</v>
      </c>
      <c r="X630" t="s">
        <v>81</v>
      </c>
      <c r="Y630" t="s">
        <v>42</v>
      </c>
      <c r="Z630" t="s">
        <v>82</v>
      </c>
      <c r="AA630" t="s">
        <v>3031</v>
      </c>
      <c r="AB630" t="s">
        <v>3032</v>
      </c>
      <c r="AC630" t="s">
        <v>3033</v>
      </c>
      <c r="AD630" t="s">
        <v>3034</v>
      </c>
      <c r="AE630">
        <v>11062.15</v>
      </c>
      <c r="AF630" t="s">
        <v>87</v>
      </c>
      <c r="AG630" t="s">
        <v>169</v>
      </c>
    </row>
    <row r="631" spans="1:33" hidden="1" x14ac:dyDescent="0.25">
      <c r="A631">
        <v>37822</v>
      </c>
      <c r="B631" t="s">
        <v>32</v>
      </c>
      <c r="C631">
        <v>1</v>
      </c>
      <c r="D631" t="s">
        <v>3035</v>
      </c>
      <c r="E631" t="s">
        <v>70</v>
      </c>
      <c r="F631" t="s">
        <v>33</v>
      </c>
      <c r="G631" t="s">
        <v>71</v>
      </c>
      <c r="H631" t="s">
        <v>35</v>
      </c>
      <c r="I631" t="s">
        <v>3036</v>
      </c>
      <c r="J631" t="s">
        <v>3037</v>
      </c>
      <c r="K631" t="s">
        <v>36</v>
      </c>
      <c r="L631" t="s">
        <v>33</v>
      </c>
      <c r="M631">
        <v>20519847907</v>
      </c>
      <c r="N631" t="s">
        <v>376</v>
      </c>
      <c r="O631" t="s">
        <v>76</v>
      </c>
      <c r="P631" t="s">
        <v>38</v>
      </c>
      <c r="Q631" t="s">
        <v>377</v>
      </c>
      <c r="R631" t="s">
        <v>3038</v>
      </c>
      <c r="S631">
        <v>14460.22</v>
      </c>
      <c r="T631" t="s">
        <v>40</v>
      </c>
      <c r="U631">
        <f>+IF(Tabla1[[#This Row],[MONEDA]]="PEN",Tabla1[[#This Row],[MONTO]],Tabla1[[#This Row],[MONTO]]*3.56)</f>
        <v>14460.22</v>
      </c>
      <c r="X631" t="s">
        <v>81</v>
      </c>
      <c r="Y631" t="s">
        <v>42</v>
      </c>
      <c r="Z631" t="s">
        <v>82</v>
      </c>
      <c r="AA631" t="s">
        <v>3039</v>
      </c>
      <c r="AB631" t="s">
        <v>3040</v>
      </c>
      <c r="AC631" t="s">
        <v>3041</v>
      </c>
      <c r="AD631" t="s">
        <v>3042</v>
      </c>
      <c r="AE631">
        <v>14026.41</v>
      </c>
      <c r="AF631" t="s">
        <v>87</v>
      </c>
      <c r="AG631" t="s">
        <v>169</v>
      </c>
    </row>
    <row r="632" spans="1:33" hidden="1" x14ac:dyDescent="0.25">
      <c r="A632">
        <v>36089</v>
      </c>
      <c r="B632" t="s">
        <v>32</v>
      </c>
      <c r="C632">
        <v>1</v>
      </c>
      <c r="D632" t="s">
        <v>3995</v>
      </c>
      <c r="E632" t="s">
        <v>70</v>
      </c>
      <c r="F632" t="s">
        <v>33</v>
      </c>
      <c r="G632" t="s">
        <v>71</v>
      </c>
      <c r="H632" t="s">
        <v>72</v>
      </c>
      <c r="I632" t="s">
        <v>3973</v>
      </c>
      <c r="J632" t="s">
        <v>3996</v>
      </c>
      <c r="K632" t="s">
        <v>36</v>
      </c>
      <c r="L632" t="s">
        <v>33</v>
      </c>
      <c r="M632">
        <v>20519847907</v>
      </c>
      <c r="N632" t="s">
        <v>376</v>
      </c>
      <c r="O632" t="s">
        <v>76</v>
      </c>
      <c r="P632" t="s">
        <v>38</v>
      </c>
      <c r="Q632" t="s">
        <v>377</v>
      </c>
      <c r="R632" t="s">
        <v>3997</v>
      </c>
      <c r="S632">
        <v>15674.1</v>
      </c>
      <c r="T632" t="s">
        <v>40</v>
      </c>
      <c r="U632">
        <f>+IF(Tabla1[[#This Row],[MONEDA]]="PEN",Tabla1[[#This Row],[MONTO]],Tabla1[[#This Row],[MONTO]]*3.56)</f>
        <v>15674.1</v>
      </c>
      <c r="X632" t="s">
        <v>81</v>
      </c>
      <c r="Y632" t="s">
        <v>42</v>
      </c>
      <c r="Z632" t="s">
        <v>82</v>
      </c>
      <c r="AA632" t="s">
        <v>3998</v>
      </c>
      <c r="AB632" t="s">
        <v>3999</v>
      </c>
      <c r="AC632" t="s">
        <v>4000</v>
      </c>
      <c r="AD632" t="s">
        <v>4001</v>
      </c>
      <c r="AE632">
        <v>15203.88</v>
      </c>
      <c r="AF632" t="s">
        <v>87</v>
      </c>
      <c r="AG632" t="s">
        <v>169</v>
      </c>
    </row>
    <row r="633" spans="1:33" hidden="1" x14ac:dyDescent="0.25">
      <c r="A633">
        <v>32968</v>
      </c>
      <c r="B633" t="s">
        <v>32</v>
      </c>
      <c r="C633">
        <v>2</v>
      </c>
      <c r="D633" t="s">
        <v>4896</v>
      </c>
      <c r="E633" t="s">
        <v>70</v>
      </c>
      <c r="F633" t="s">
        <v>33</v>
      </c>
      <c r="G633" t="s">
        <v>71</v>
      </c>
      <c r="H633" t="s">
        <v>72</v>
      </c>
      <c r="I633" t="s">
        <v>4897</v>
      </c>
      <c r="J633" t="s">
        <v>4898</v>
      </c>
      <c r="K633" t="s">
        <v>36</v>
      </c>
      <c r="L633" t="s">
        <v>33</v>
      </c>
      <c r="M633">
        <v>20519847907</v>
      </c>
      <c r="N633" t="s">
        <v>376</v>
      </c>
      <c r="O633" t="s">
        <v>76</v>
      </c>
      <c r="P633" t="s">
        <v>38</v>
      </c>
      <c r="Q633" t="s">
        <v>377</v>
      </c>
      <c r="R633" t="s">
        <v>4899</v>
      </c>
      <c r="S633">
        <v>8017.01</v>
      </c>
      <c r="T633" t="s">
        <v>40</v>
      </c>
      <c r="U633">
        <f>+IF(Tabla1[[#This Row],[MONEDA]]="PEN",Tabla1[[#This Row],[MONTO]],Tabla1[[#This Row],[MONTO]]*3.56)</f>
        <v>8017.01</v>
      </c>
      <c r="X633" t="s">
        <v>81</v>
      </c>
      <c r="Y633" t="s">
        <v>42</v>
      </c>
      <c r="Z633" t="s">
        <v>43</v>
      </c>
      <c r="AA633" t="s">
        <v>4900</v>
      </c>
      <c r="AB633" t="s">
        <v>4901</v>
      </c>
      <c r="AC633" t="s">
        <v>4902</v>
      </c>
      <c r="AD633" t="s">
        <v>4903</v>
      </c>
      <c r="AE633">
        <v>7776.5</v>
      </c>
      <c r="AF633" t="s">
        <v>87</v>
      </c>
      <c r="AG633" t="s">
        <v>169</v>
      </c>
    </row>
    <row r="634" spans="1:33" hidden="1" x14ac:dyDescent="0.25">
      <c r="A634">
        <v>33283</v>
      </c>
      <c r="B634" t="s">
        <v>32</v>
      </c>
      <c r="C634">
        <v>1</v>
      </c>
      <c r="D634" t="s">
        <v>4922</v>
      </c>
      <c r="E634" t="s">
        <v>70</v>
      </c>
      <c r="F634" t="s">
        <v>33</v>
      </c>
      <c r="G634" t="s">
        <v>71</v>
      </c>
      <c r="H634" t="s">
        <v>72</v>
      </c>
      <c r="I634" t="s">
        <v>4897</v>
      </c>
      <c r="J634" t="s">
        <v>4923</v>
      </c>
      <c r="K634" t="s">
        <v>36</v>
      </c>
      <c r="L634" t="s">
        <v>33</v>
      </c>
      <c r="M634">
        <v>20519847907</v>
      </c>
      <c r="N634" t="s">
        <v>376</v>
      </c>
      <c r="O634" t="s">
        <v>76</v>
      </c>
      <c r="P634" t="s">
        <v>38</v>
      </c>
      <c r="Q634" t="s">
        <v>377</v>
      </c>
      <c r="R634" t="s">
        <v>4924</v>
      </c>
      <c r="S634">
        <v>11272.13</v>
      </c>
      <c r="T634" t="s">
        <v>40</v>
      </c>
      <c r="U634">
        <f>+IF(Tabla1[[#This Row],[MONEDA]]="PEN",Tabla1[[#This Row],[MONTO]],Tabla1[[#This Row],[MONTO]]*3.56)</f>
        <v>11272.13</v>
      </c>
      <c r="X634" t="s">
        <v>81</v>
      </c>
      <c r="Y634" t="s">
        <v>42</v>
      </c>
      <c r="Z634" t="s">
        <v>43</v>
      </c>
      <c r="AA634" t="s">
        <v>4925</v>
      </c>
      <c r="AB634" t="s">
        <v>4926</v>
      </c>
      <c r="AC634" t="s">
        <v>4927</v>
      </c>
      <c r="AD634" t="s">
        <v>4928</v>
      </c>
      <c r="AE634">
        <v>10933.97</v>
      </c>
      <c r="AG634" t="s">
        <v>169</v>
      </c>
    </row>
    <row r="635" spans="1:33" hidden="1" x14ac:dyDescent="0.25">
      <c r="A635">
        <v>31509</v>
      </c>
      <c r="B635" t="s">
        <v>32</v>
      </c>
      <c r="C635">
        <v>1</v>
      </c>
      <c r="D635" t="s">
        <v>5337</v>
      </c>
      <c r="E635" t="s">
        <v>70</v>
      </c>
      <c r="F635" t="s">
        <v>33</v>
      </c>
      <c r="G635" t="s">
        <v>71</v>
      </c>
      <c r="H635" t="s">
        <v>72</v>
      </c>
      <c r="I635" t="s">
        <v>5338</v>
      </c>
      <c r="J635" t="s">
        <v>5339</v>
      </c>
      <c r="K635" t="s">
        <v>36</v>
      </c>
      <c r="L635" t="s">
        <v>33</v>
      </c>
      <c r="M635">
        <v>20519847907</v>
      </c>
      <c r="N635" t="s">
        <v>376</v>
      </c>
      <c r="O635" t="s">
        <v>76</v>
      </c>
      <c r="P635" t="s">
        <v>38</v>
      </c>
      <c r="Q635" t="s">
        <v>377</v>
      </c>
      <c r="R635" t="s">
        <v>5340</v>
      </c>
      <c r="S635">
        <v>10049.25</v>
      </c>
      <c r="T635" t="s">
        <v>40</v>
      </c>
      <c r="U635">
        <f>+IF(Tabla1[[#This Row],[MONEDA]]="PEN",Tabla1[[#This Row],[MONTO]],Tabla1[[#This Row],[MONTO]]*3.56)</f>
        <v>10049.25</v>
      </c>
      <c r="X635" t="s">
        <v>81</v>
      </c>
      <c r="Y635" t="s">
        <v>42</v>
      </c>
      <c r="Z635" t="s">
        <v>82</v>
      </c>
      <c r="AA635" t="s">
        <v>5341</v>
      </c>
      <c r="AB635" t="s">
        <v>5342</v>
      </c>
      <c r="AC635" t="s">
        <v>5343</v>
      </c>
      <c r="AD635" t="s">
        <v>5344</v>
      </c>
      <c r="AE635">
        <v>9747.77</v>
      </c>
      <c r="AG635" t="s">
        <v>169</v>
      </c>
    </row>
    <row r="636" spans="1:33" hidden="1" x14ac:dyDescent="0.25">
      <c r="A636">
        <v>31425</v>
      </c>
      <c r="B636" t="s">
        <v>32</v>
      </c>
      <c r="C636">
        <v>1</v>
      </c>
      <c r="D636" t="s">
        <v>5600</v>
      </c>
      <c r="E636" t="s">
        <v>70</v>
      </c>
      <c r="F636" t="s">
        <v>33</v>
      </c>
      <c r="G636" t="s">
        <v>71</v>
      </c>
      <c r="H636" t="s">
        <v>72</v>
      </c>
      <c r="I636" t="s">
        <v>5601</v>
      </c>
      <c r="J636" t="s">
        <v>5602</v>
      </c>
      <c r="K636" t="s">
        <v>36</v>
      </c>
      <c r="L636" t="s">
        <v>33</v>
      </c>
      <c r="M636">
        <v>20519847907</v>
      </c>
      <c r="N636" t="s">
        <v>376</v>
      </c>
      <c r="O636" t="s">
        <v>76</v>
      </c>
      <c r="P636" t="s">
        <v>38</v>
      </c>
      <c r="Q636" t="s">
        <v>377</v>
      </c>
      <c r="R636" t="s">
        <v>5603</v>
      </c>
      <c r="S636">
        <v>7380.31</v>
      </c>
      <c r="T636" t="s">
        <v>40</v>
      </c>
      <c r="U636">
        <f>+IF(Tabla1[[#This Row],[MONEDA]]="PEN",Tabla1[[#This Row],[MONTO]],Tabla1[[#This Row],[MONTO]]*3.56)</f>
        <v>7380.31</v>
      </c>
      <c r="X636" t="s">
        <v>81</v>
      </c>
      <c r="Y636" t="s">
        <v>42</v>
      </c>
      <c r="Z636" t="s">
        <v>43</v>
      </c>
      <c r="AA636" t="s">
        <v>5604</v>
      </c>
      <c r="AB636" t="s">
        <v>5605</v>
      </c>
      <c r="AC636" t="s">
        <v>5606</v>
      </c>
      <c r="AD636" t="s">
        <v>5607</v>
      </c>
      <c r="AE636">
        <v>7158.9</v>
      </c>
      <c r="AF636" t="s">
        <v>87</v>
      </c>
      <c r="AG636" t="s">
        <v>169</v>
      </c>
    </row>
    <row r="637" spans="1:33" hidden="1" x14ac:dyDescent="0.25">
      <c r="A637">
        <v>29823</v>
      </c>
      <c r="B637" t="s">
        <v>32</v>
      </c>
      <c r="C637">
        <v>1</v>
      </c>
      <c r="D637" t="s">
        <v>6378</v>
      </c>
      <c r="E637" t="s">
        <v>70</v>
      </c>
      <c r="F637" t="s">
        <v>33</v>
      </c>
      <c r="G637" t="s">
        <v>71</v>
      </c>
      <c r="H637" t="s">
        <v>72</v>
      </c>
      <c r="I637" t="s">
        <v>6379</v>
      </c>
      <c r="J637" t="s">
        <v>6380</v>
      </c>
      <c r="K637" t="s">
        <v>36</v>
      </c>
      <c r="L637" t="s">
        <v>33</v>
      </c>
      <c r="M637">
        <v>20519847907</v>
      </c>
      <c r="N637" t="s">
        <v>376</v>
      </c>
      <c r="O637" t="s">
        <v>76</v>
      </c>
      <c r="P637" t="s">
        <v>38</v>
      </c>
      <c r="Q637" t="s">
        <v>377</v>
      </c>
      <c r="R637" t="s">
        <v>6381</v>
      </c>
      <c r="S637">
        <v>13300.79</v>
      </c>
      <c r="T637" t="s">
        <v>40</v>
      </c>
      <c r="U637">
        <f>+IF(Tabla1[[#This Row],[MONEDA]]="PEN",Tabla1[[#This Row],[MONTO]],Tabla1[[#This Row],[MONTO]]*3.56)</f>
        <v>13300.79</v>
      </c>
      <c r="X637" t="s">
        <v>81</v>
      </c>
      <c r="Y637" t="s">
        <v>42</v>
      </c>
      <c r="Z637" t="s">
        <v>82</v>
      </c>
      <c r="AA637" t="s">
        <v>6382</v>
      </c>
      <c r="AB637" t="s">
        <v>6383</v>
      </c>
      <c r="AC637" t="s">
        <v>6384</v>
      </c>
      <c r="AD637" t="s">
        <v>6385</v>
      </c>
      <c r="AE637">
        <v>12901.77</v>
      </c>
      <c r="AF637" t="s">
        <v>87</v>
      </c>
      <c r="AG637" t="s">
        <v>169</v>
      </c>
    </row>
    <row r="638" spans="1:33" hidden="1" x14ac:dyDescent="0.25">
      <c r="A638">
        <v>29200</v>
      </c>
      <c r="B638" t="s">
        <v>32</v>
      </c>
      <c r="C638">
        <v>1</v>
      </c>
      <c r="D638" t="s">
        <v>7062</v>
      </c>
      <c r="E638" t="s">
        <v>70</v>
      </c>
      <c r="F638" t="s">
        <v>33</v>
      </c>
      <c r="G638" t="s">
        <v>71</v>
      </c>
      <c r="H638" t="s">
        <v>72</v>
      </c>
      <c r="I638" t="s">
        <v>7048</v>
      </c>
      <c r="J638" t="s">
        <v>7063</v>
      </c>
      <c r="K638" t="s">
        <v>36</v>
      </c>
      <c r="L638" t="s">
        <v>33</v>
      </c>
      <c r="M638">
        <v>20519847907</v>
      </c>
      <c r="N638" t="s">
        <v>376</v>
      </c>
      <c r="O638" t="s">
        <v>76</v>
      </c>
      <c r="P638" t="s">
        <v>38</v>
      </c>
      <c r="Q638" t="s">
        <v>377</v>
      </c>
      <c r="R638" t="s">
        <v>7064</v>
      </c>
      <c r="S638">
        <v>10461.280000000001</v>
      </c>
      <c r="T638" t="s">
        <v>40</v>
      </c>
      <c r="U638">
        <f>+IF(Tabla1[[#This Row],[MONEDA]]="PEN",Tabla1[[#This Row],[MONTO]],Tabla1[[#This Row],[MONTO]]*3.56)</f>
        <v>10461.280000000001</v>
      </c>
      <c r="X638" t="s">
        <v>81</v>
      </c>
      <c r="Y638" t="s">
        <v>42</v>
      </c>
      <c r="Z638" t="s">
        <v>43</v>
      </c>
      <c r="AA638" t="s">
        <v>7065</v>
      </c>
      <c r="AB638" t="s">
        <v>7066</v>
      </c>
      <c r="AC638" t="s">
        <v>7067</v>
      </c>
      <c r="AD638" t="s">
        <v>7068</v>
      </c>
      <c r="AE638">
        <v>10147.44</v>
      </c>
      <c r="AF638" t="s">
        <v>87</v>
      </c>
      <c r="AG638" t="s">
        <v>169</v>
      </c>
    </row>
    <row r="639" spans="1:33" hidden="1" x14ac:dyDescent="0.25">
      <c r="A639">
        <v>28254</v>
      </c>
      <c r="B639" t="s">
        <v>32</v>
      </c>
      <c r="C639">
        <v>1</v>
      </c>
      <c r="D639" t="s">
        <v>7859</v>
      </c>
      <c r="E639" t="s">
        <v>70</v>
      </c>
      <c r="F639" t="s">
        <v>33</v>
      </c>
      <c r="G639" t="s">
        <v>71</v>
      </c>
      <c r="H639" t="s">
        <v>72</v>
      </c>
      <c r="I639" t="s">
        <v>7852</v>
      </c>
      <c r="J639" t="s">
        <v>7860</v>
      </c>
      <c r="K639" t="s">
        <v>36</v>
      </c>
      <c r="L639" t="s">
        <v>33</v>
      </c>
      <c r="M639">
        <v>20519847907</v>
      </c>
      <c r="N639" t="s">
        <v>376</v>
      </c>
      <c r="O639" t="s">
        <v>76</v>
      </c>
      <c r="P639" t="s">
        <v>38</v>
      </c>
      <c r="Q639" t="s">
        <v>377</v>
      </c>
      <c r="R639" t="s">
        <v>7861</v>
      </c>
      <c r="S639">
        <v>7967.04</v>
      </c>
      <c r="T639" t="s">
        <v>40</v>
      </c>
      <c r="U639">
        <f>+IF(Tabla1[[#This Row],[MONEDA]]="PEN",Tabla1[[#This Row],[MONTO]],Tabla1[[#This Row],[MONTO]]*3.56)</f>
        <v>7967.04</v>
      </c>
      <c r="X639" t="s">
        <v>81</v>
      </c>
      <c r="Y639" t="s">
        <v>42</v>
      </c>
      <c r="Z639" t="s">
        <v>43</v>
      </c>
      <c r="AA639" t="s">
        <v>7862</v>
      </c>
      <c r="AB639" t="s">
        <v>7863</v>
      </c>
      <c r="AC639" t="s">
        <v>7864</v>
      </c>
      <c r="AD639" t="s">
        <v>7865</v>
      </c>
      <c r="AE639">
        <v>7728.03</v>
      </c>
      <c r="AF639" t="s">
        <v>87</v>
      </c>
      <c r="AG639" t="s">
        <v>169</v>
      </c>
    </row>
    <row r="640" spans="1:33" hidden="1" x14ac:dyDescent="0.25">
      <c r="A640">
        <v>27543</v>
      </c>
      <c r="B640" t="s">
        <v>32</v>
      </c>
      <c r="C640">
        <v>2</v>
      </c>
      <c r="D640" t="s">
        <v>8326</v>
      </c>
      <c r="E640" t="s">
        <v>70</v>
      </c>
      <c r="F640" t="s">
        <v>33</v>
      </c>
      <c r="G640" t="s">
        <v>71</v>
      </c>
      <c r="H640" t="s">
        <v>72</v>
      </c>
      <c r="I640" t="s">
        <v>8311</v>
      </c>
      <c r="J640" t="s">
        <v>8327</v>
      </c>
      <c r="K640" t="s">
        <v>36</v>
      </c>
      <c r="L640" t="s">
        <v>33</v>
      </c>
      <c r="M640">
        <v>20519847907</v>
      </c>
      <c r="N640" t="s">
        <v>376</v>
      </c>
      <c r="O640" t="s">
        <v>76</v>
      </c>
      <c r="P640" t="s">
        <v>38</v>
      </c>
      <c r="Q640" t="s">
        <v>377</v>
      </c>
      <c r="R640" t="s">
        <v>8328</v>
      </c>
      <c r="S640">
        <v>12572.77</v>
      </c>
      <c r="T640" t="s">
        <v>40</v>
      </c>
      <c r="U640">
        <f>+IF(Tabla1[[#This Row],[MONEDA]]="PEN",Tabla1[[#This Row],[MONTO]],Tabla1[[#This Row],[MONTO]]*3.56)</f>
        <v>12572.77</v>
      </c>
      <c r="X640" t="s">
        <v>81</v>
      </c>
      <c r="Y640" t="s">
        <v>42</v>
      </c>
      <c r="Z640" t="s">
        <v>43</v>
      </c>
      <c r="AA640" t="s">
        <v>8329</v>
      </c>
      <c r="AB640" t="s">
        <v>8330</v>
      </c>
      <c r="AC640" t="s">
        <v>8331</v>
      </c>
      <c r="AD640" t="s">
        <v>8332</v>
      </c>
      <c r="AE640">
        <v>12195.59</v>
      </c>
      <c r="AF640" t="s">
        <v>87</v>
      </c>
      <c r="AG640" t="s">
        <v>169</v>
      </c>
    </row>
    <row r="641" spans="1:33" hidden="1" x14ac:dyDescent="0.25">
      <c r="A641">
        <v>27035</v>
      </c>
      <c r="B641" t="s">
        <v>32</v>
      </c>
      <c r="C641">
        <v>2</v>
      </c>
      <c r="D641" t="s">
        <v>8710</v>
      </c>
      <c r="E641" t="s">
        <v>70</v>
      </c>
      <c r="F641" t="s">
        <v>33</v>
      </c>
      <c r="G641" t="s">
        <v>71</v>
      </c>
      <c r="H641" t="s">
        <v>72</v>
      </c>
      <c r="I641" t="s">
        <v>8711</v>
      </c>
      <c r="J641" t="s">
        <v>8712</v>
      </c>
      <c r="K641" t="s">
        <v>36</v>
      </c>
      <c r="L641" t="s">
        <v>33</v>
      </c>
      <c r="M641">
        <v>20519847907</v>
      </c>
      <c r="N641" t="s">
        <v>376</v>
      </c>
      <c r="O641" t="s">
        <v>76</v>
      </c>
      <c r="P641" t="s">
        <v>38</v>
      </c>
      <c r="Q641" t="s">
        <v>377</v>
      </c>
      <c r="R641" t="s">
        <v>8713</v>
      </c>
      <c r="S641">
        <v>9019.2199999999993</v>
      </c>
      <c r="T641" t="s">
        <v>40</v>
      </c>
      <c r="U641">
        <f>+IF(Tabla1[[#This Row],[MONEDA]]="PEN",Tabla1[[#This Row],[MONTO]],Tabla1[[#This Row],[MONTO]]*3.56)</f>
        <v>9019.2199999999993</v>
      </c>
      <c r="X641" t="s">
        <v>81</v>
      </c>
      <c r="Y641" t="s">
        <v>42</v>
      </c>
      <c r="Z641" t="s">
        <v>43</v>
      </c>
      <c r="AA641" t="s">
        <v>8714</v>
      </c>
      <c r="AB641" t="s">
        <v>8715</v>
      </c>
      <c r="AC641" t="s">
        <v>8716</v>
      </c>
      <c r="AD641" t="s">
        <v>8717</v>
      </c>
      <c r="AE641">
        <v>8748.64</v>
      </c>
      <c r="AF641" t="s">
        <v>87</v>
      </c>
      <c r="AG641" t="s">
        <v>169</v>
      </c>
    </row>
    <row r="642" spans="1:33" hidden="1" x14ac:dyDescent="0.25">
      <c r="A642">
        <v>26837</v>
      </c>
      <c r="B642" t="s">
        <v>32</v>
      </c>
      <c r="C642">
        <v>1</v>
      </c>
      <c r="D642" t="s">
        <v>8906</v>
      </c>
      <c r="E642" t="s">
        <v>70</v>
      </c>
      <c r="F642" t="s">
        <v>33</v>
      </c>
      <c r="G642" t="s">
        <v>71</v>
      </c>
      <c r="H642" t="s">
        <v>72</v>
      </c>
      <c r="I642" t="s">
        <v>8907</v>
      </c>
      <c r="J642" t="s">
        <v>8908</v>
      </c>
      <c r="K642" t="s">
        <v>36</v>
      </c>
      <c r="L642" t="s">
        <v>33</v>
      </c>
      <c r="M642">
        <v>20519847907</v>
      </c>
      <c r="N642" t="s">
        <v>376</v>
      </c>
      <c r="O642" t="s">
        <v>76</v>
      </c>
      <c r="P642" t="s">
        <v>38</v>
      </c>
      <c r="Q642" t="s">
        <v>377</v>
      </c>
      <c r="R642" t="s">
        <v>8909</v>
      </c>
      <c r="S642">
        <v>9260.59</v>
      </c>
      <c r="T642" t="s">
        <v>40</v>
      </c>
      <c r="U642">
        <f>+IF(Tabla1[[#This Row],[MONEDA]]="PEN",Tabla1[[#This Row],[MONTO]],Tabla1[[#This Row],[MONTO]]*3.56)</f>
        <v>9260.59</v>
      </c>
      <c r="X642" t="s">
        <v>81</v>
      </c>
      <c r="Y642" t="s">
        <v>42</v>
      </c>
      <c r="Z642" t="s">
        <v>43</v>
      </c>
      <c r="AA642" t="s">
        <v>8910</v>
      </c>
      <c r="AB642" t="s">
        <v>8911</v>
      </c>
      <c r="AC642" t="s">
        <v>8912</v>
      </c>
      <c r="AD642" t="s">
        <v>8913</v>
      </c>
      <c r="AE642">
        <v>8982.77</v>
      </c>
      <c r="AF642" t="s">
        <v>87</v>
      </c>
      <c r="AG642" t="s">
        <v>169</v>
      </c>
    </row>
    <row r="643" spans="1:33" hidden="1" x14ac:dyDescent="0.25">
      <c r="A643">
        <v>26735</v>
      </c>
      <c r="B643" t="s">
        <v>32</v>
      </c>
      <c r="C643">
        <v>1</v>
      </c>
      <c r="D643" t="s">
        <v>9094</v>
      </c>
      <c r="E643" t="s">
        <v>70</v>
      </c>
      <c r="F643" t="s">
        <v>33</v>
      </c>
      <c r="G643" t="s">
        <v>71</v>
      </c>
      <c r="H643" t="s">
        <v>72</v>
      </c>
      <c r="I643" t="s">
        <v>9095</v>
      </c>
      <c r="J643" t="s">
        <v>9096</v>
      </c>
      <c r="K643" t="s">
        <v>36</v>
      </c>
      <c r="L643" t="s">
        <v>33</v>
      </c>
      <c r="M643">
        <v>20519847907</v>
      </c>
      <c r="N643" t="s">
        <v>376</v>
      </c>
      <c r="O643" t="s">
        <v>76</v>
      </c>
      <c r="R643" t="s">
        <v>9097</v>
      </c>
      <c r="S643">
        <v>60</v>
      </c>
      <c r="T643" t="s">
        <v>40</v>
      </c>
      <c r="U643">
        <f>+IF(Tabla1[[#This Row],[MONEDA]]="PEN",Tabla1[[#This Row],[MONTO]],Tabla1[[#This Row],[MONTO]]*3.56)</f>
        <v>60</v>
      </c>
      <c r="V643" t="s">
        <v>190</v>
      </c>
      <c r="W643">
        <v>25908</v>
      </c>
      <c r="X643" t="s">
        <v>81</v>
      </c>
      <c r="Y643" t="s">
        <v>42</v>
      </c>
      <c r="Z643" t="s">
        <v>82</v>
      </c>
      <c r="AA643" t="s">
        <v>9077</v>
      </c>
      <c r="AC643" t="s">
        <v>9098</v>
      </c>
      <c r="AD643" t="s">
        <v>9099</v>
      </c>
    </row>
    <row r="644" spans="1:33" hidden="1" x14ac:dyDescent="0.25">
      <c r="A644">
        <v>25910</v>
      </c>
      <c r="B644" t="s">
        <v>32</v>
      </c>
      <c r="C644">
        <v>1</v>
      </c>
      <c r="D644" t="s">
        <v>9553</v>
      </c>
      <c r="E644" t="s">
        <v>70</v>
      </c>
      <c r="F644" t="s">
        <v>33</v>
      </c>
      <c r="G644" t="s">
        <v>71</v>
      </c>
      <c r="H644" t="s">
        <v>72</v>
      </c>
      <c r="I644" t="s">
        <v>9519</v>
      </c>
      <c r="J644" t="s">
        <v>9554</v>
      </c>
      <c r="K644" t="s">
        <v>36</v>
      </c>
      <c r="L644" t="s">
        <v>33</v>
      </c>
      <c r="M644">
        <v>20519847907</v>
      </c>
      <c r="N644" t="s">
        <v>376</v>
      </c>
      <c r="O644" t="s">
        <v>76</v>
      </c>
      <c r="P644" t="s">
        <v>38</v>
      </c>
      <c r="Q644" t="s">
        <v>377</v>
      </c>
      <c r="R644" t="s">
        <v>9555</v>
      </c>
      <c r="S644">
        <v>6689.63</v>
      </c>
      <c r="T644" t="s">
        <v>40</v>
      </c>
      <c r="U644">
        <f>+IF(Tabla1[[#This Row],[MONEDA]]="PEN",Tabla1[[#This Row],[MONTO]],Tabla1[[#This Row],[MONTO]]*3.56)</f>
        <v>6689.63</v>
      </c>
      <c r="X644" t="s">
        <v>81</v>
      </c>
      <c r="Y644" t="s">
        <v>42</v>
      </c>
      <c r="Z644" t="s">
        <v>82</v>
      </c>
      <c r="AA644" t="s">
        <v>9556</v>
      </c>
      <c r="AB644" t="s">
        <v>9557</v>
      </c>
      <c r="AC644" t="s">
        <v>9558</v>
      </c>
      <c r="AD644" t="s">
        <v>9559</v>
      </c>
      <c r="AE644">
        <v>6488.94</v>
      </c>
      <c r="AF644" t="s">
        <v>87</v>
      </c>
      <c r="AG644" t="s">
        <v>169</v>
      </c>
    </row>
    <row r="645" spans="1:33" hidden="1" x14ac:dyDescent="0.25">
      <c r="A645">
        <v>25316</v>
      </c>
      <c r="B645" t="s">
        <v>32</v>
      </c>
      <c r="C645">
        <v>1</v>
      </c>
      <c r="D645" t="s">
        <v>9905</v>
      </c>
      <c r="E645" t="s">
        <v>70</v>
      </c>
      <c r="F645" t="s">
        <v>33</v>
      </c>
      <c r="G645" t="s">
        <v>71</v>
      </c>
      <c r="H645" t="s">
        <v>72</v>
      </c>
      <c r="I645" t="s">
        <v>9906</v>
      </c>
      <c r="J645" t="s">
        <v>9907</v>
      </c>
      <c r="K645" t="s">
        <v>36</v>
      </c>
      <c r="L645" t="s">
        <v>33</v>
      </c>
      <c r="M645">
        <v>20519847907</v>
      </c>
      <c r="N645" t="s">
        <v>376</v>
      </c>
      <c r="O645" t="s">
        <v>76</v>
      </c>
      <c r="P645" t="s">
        <v>38</v>
      </c>
      <c r="Q645" t="s">
        <v>377</v>
      </c>
      <c r="R645" t="s">
        <v>9908</v>
      </c>
      <c r="S645">
        <v>13223.66</v>
      </c>
      <c r="T645" t="s">
        <v>40</v>
      </c>
      <c r="U645">
        <f>+IF(Tabla1[[#This Row],[MONEDA]]="PEN",Tabla1[[#This Row],[MONTO]],Tabla1[[#This Row],[MONTO]]*3.56)</f>
        <v>13223.66</v>
      </c>
      <c r="X645" t="s">
        <v>81</v>
      </c>
      <c r="Y645" t="s">
        <v>42</v>
      </c>
      <c r="Z645" t="s">
        <v>82</v>
      </c>
      <c r="AA645" t="s">
        <v>9909</v>
      </c>
      <c r="AB645" t="s">
        <v>9910</v>
      </c>
      <c r="AC645" t="s">
        <v>9911</v>
      </c>
      <c r="AD645" t="s">
        <v>9912</v>
      </c>
      <c r="AE645">
        <v>12826.95</v>
      </c>
      <c r="AF645" t="s">
        <v>87</v>
      </c>
      <c r="AG645" t="s">
        <v>169</v>
      </c>
    </row>
    <row r="646" spans="1:33" hidden="1" x14ac:dyDescent="0.25">
      <c r="A646">
        <v>24772</v>
      </c>
      <c r="B646" t="s">
        <v>32</v>
      </c>
      <c r="C646">
        <v>1</v>
      </c>
      <c r="D646" t="s">
        <v>10083</v>
      </c>
      <c r="E646" t="s">
        <v>70</v>
      </c>
      <c r="F646" t="s">
        <v>33</v>
      </c>
      <c r="G646" t="s">
        <v>71</v>
      </c>
      <c r="H646" t="s">
        <v>72</v>
      </c>
      <c r="I646" t="s">
        <v>10076</v>
      </c>
      <c r="J646" t="s">
        <v>10084</v>
      </c>
      <c r="K646" t="s">
        <v>36</v>
      </c>
      <c r="L646" t="s">
        <v>33</v>
      </c>
      <c r="M646">
        <v>20519847907</v>
      </c>
      <c r="N646" t="s">
        <v>376</v>
      </c>
      <c r="O646" t="s">
        <v>76</v>
      </c>
      <c r="P646" t="s">
        <v>38</v>
      </c>
      <c r="Q646" t="s">
        <v>377</v>
      </c>
      <c r="R646" t="s">
        <v>10085</v>
      </c>
      <c r="S646">
        <v>7762.74</v>
      </c>
      <c r="T646" t="s">
        <v>40</v>
      </c>
      <c r="U646">
        <f>+IF(Tabla1[[#This Row],[MONEDA]]="PEN",Tabla1[[#This Row],[MONTO]],Tabla1[[#This Row],[MONTO]]*3.56)</f>
        <v>7762.74</v>
      </c>
      <c r="X646" t="s">
        <v>81</v>
      </c>
      <c r="Y646" t="s">
        <v>42</v>
      </c>
      <c r="Z646" t="s">
        <v>82</v>
      </c>
      <c r="AA646" t="s">
        <v>10086</v>
      </c>
      <c r="AB646" t="s">
        <v>10087</v>
      </c>
      <c r="AC646" t="s">
        <v>10088</v>
      </c>
      <c r="AD646" t="s">
        <v>10089</v>
      </c>
      <c r="AE646">
        <v>7529.86</v>
      </c>
      <c r="AF646" t="s">
        <v>87</v>
      </c>
      <c r="AG646" t="s">
        <v>169</v>
      </c>
    </row>
    <row r="647" spans="1:33" hidden="1" x14ac:dyDescent="0.25">
      <c r="A647">
        <v>24371</v>
      </c>
      <c r="B647" t="s">
        <v>32</v>
      </c>
      <c r="C647">
        <v>1</v>
      </c>
      <c r="D647" t="s">
        <v>10426</v>
      </c>
      <c r="E647" t="s">
        <v>70</v>
      </c>
      <c r="F647" t="s">
        <v>33</v>
      </c>
      <c r="G647" t="s">
        <v>71</v>
      </c>
      <c r="H647" t="s">
        <v>72</v>
      </c>
      <c r="I647" t="s">
        <v>10427</v>
      </c>
      <c r="J647" t="s">
        <v>10428</v>
      </c>
      <c r="K647" t="s">
        <v>36</v>
      </c>
      <c r="L647" t="s">
        <v>33</v>
      </c>
      <c r="M647">
        <v>20519847907</v>
      </c>
      <c r="N647" t="s">
        <v>376</v>
      </c>
      <c r="O647" t="s">
        <v>76</v>
      </c>
      <c r="R647" t="s">
        <v>10429</v>
      </c>
      <c r="S647">
        <v>200</v>
      </c>
      <c r="T647" t="s">
        <v>40</v>
      </c>
      <c r="U647">
        <f>+IF(Tabla1[[#This Row],[MONEDA]]="PEN",Tabla1[[#This Row],[MONTO]],Tabla1[[#This Row],[MONTO]]*3.56)</f>
        <v>200</v>
      </c>
      <c r="V647" t="s">
        <v>190</v>
      </c>
      <c r="W647">
        <v>23138</v>
      </c>
      <c r="X647" t="s">
        <v>81</v>
      </c>
      <c r="Y647" t="s">
        <v>42</v>
      </c>
      <c r="Z647" t="s">
        <v>82</v>
      </c>
      <c r="AA647" t="s">
        <v>10430</v>
      </c>
      <c r="AC647" t="s">
        <v>10431</v>
      </c>
      <c r="AD647" t="s">
        <v>10432</v>
      </c>
    </row>
    <row r="648" spans="1:33" hidden="1" x14ac:dyDescent="0.25">
      <c r="A648">
        <v>24360</v>
      </c>
      <c r="B648" t="s">
        <v>32</v>
      </c>
      <c r="C648">
        <v>1</v>
      </c>
      <c r="D648" t="s">
        <v>10459</v>
      </c>
      <c r="E648" t="s">
        <v>70</v>
      </c>
      <c r="F648" t="s">
        <v>33</v>
      </c>
      <c r="G648" t="s">
        <v>71</v>
      </c>
      <c r="H648" t="s">
        <v>72</v>
      </c>
      <c r="I648" t="s">
        <v>10460</v>
      </c>
      <c r="J648" t="s">
        <v>10461</v>
      </c>
      <c r="K648" t="s">
        <v>36</v>
      </c>
      <c r="L648" t="s">
        <v>33</v>
      </c>
      <c r="M648">
        <v>20519847907</v>
      </c>
      <c r="N648" t="s">
        <v>376</v>
      </c>
      <c r="O648" t="s">
        <v>76</v>
      </c>
      <c r="R648" t="s">
        <v>10462</v>
      </c>
      <c r="S648">
        <v>165</v>
      </c>
      <c r="T648" t="s">
        <v>40</v>
      </c>
      <c r="U648">
        <f>+IF(Tabla1[[#This Row],[MONEDA]]="PEN",Tabla1[[#This Row],[MONTO]],Tabla1[[#This Row],[MONTO]]*3.56)</f>
        <v>165</v>
      </c>
      <c r="V648" t="s">
        <v>190</v>
      </c>
      <c r="W648">
        <v>23138</v>
      </c>
      <c r="X648" t="s">
        <v>81</v>
      </c>
      <c r="Y648" t="s">
        <v>42</v>
      </c>
      <c r="Z648" t="s">
        <v>82</v>
      </c>
      <c r="AA648" t="s">
        <v>10463</v>
      </c>
      <c r="AC648" t="s">
        <v>10464</v>
      </c>
      <c r="AD648" t="s">
        <v>10465</v>
      </c>
    </row>
    <row r="649" spans="1:33" hidden="1" x14ac:dyDescent="0.25">
      <c r="A649">
        <v>23603</v>
      </c>
      <c r="B649" t="s">
        <v>32</v>
      </c>
      <c r="C649">
        <v>1</v>
      </c>
      <c r="D649" t="s">
        <v>11055</v>
      </c>
      <c r="E649" t="s">
        <v>70</v>
      </c>
      <c r="F649" t="s">
        <v>33</v>
      </c>
      <c r="G649" t="s">
        <v>9422</v>
      </c>
      <c r="H649" t="s">
        <v>72</v>
      </c>
      <c r="I649" t="s">
        <v>11041</v>
      </c>
      <c r="J649" t="s">
        <v>11056</v>
      </c>
      <c r="K649" t="s">
        <v>36</v>
      </c>
      <c r="L649" t="s">
        <v>33</v>
      </c>
      <c r="M649">
        <v>20519847907</v>
      </c>
      <c r="N649" t="s">
        <v>376</v>
      </c>
      <c r="O649" t="s">
        <v>9423</v>
      </c>
      <c r="P649" t="s">
        <v>38</v>
      </c>
      <c r="Q649" t="s">
        <v>377</v>
      </c>
      <c r="R649" t="s">
        <v>10199</v>
      </c>
      <c r="S649">
        <v>6205</v>
      </c>
      <c r="T649" t="s">
        <v>40</v>
      </c>
      <c r="U649">
        <f>+IF(Tabla1[[#This Row],[MONEDA]]="PEN",Tabla1[[#This Row],[MONTO]],Tabla1[[#This Row],[MONTO]]*3.56)</f>
        <v>6205</v>
      </c>
      <c r="X649" t="s">
        <v>41</v>
      </c>
      <c r="Y649" t="s">
        <v>42</v>
      </c>
      <c r="Z649" t="s">
        <v>82</v>
      </c>
      <c r="AA649" t="s">
        <v>11057</v>
      </c>
      <c r="AB649" t="s">
        <v>11058</v>
      </c>
      <c r="AC649" t="s">
        <v>11059</v>
      </c>
      <c r="AD649" t="s">
        <v>11060</v>
      </c>
      <c r="AE649">
        <v>6018.85</v>
      </c>
      <c r="AF649" t="s">
        <v>87</v>
      </c>
      <c r="AG649" t="s">
        <v>169</v>
      </c>
    </row>
    <row r="650" spans="1:33" hidden="1" x14ac:dyDescent="0.25">
      <c r="A650">
        <v>23621</v>
      </c>
      <c r="B650" t="s">
        <v>32</v>
      </c>
      <c r="C650">
        <v>2</v>
      </c>
      <c r="D650" t="s">
        <v>11132</v>
      </c>
      <c r="E650" t="s">
        <v>70</v>
      </c>
      <c r="F650" t="s">
        <v>33</v>
      </c>
      <c r="G650" t="s">
        <v>71</v>
      </c>
      <c r="H650" t="s">
        <v>72</v>
      </c>
      <c r="I650" t="s">
        <v>11133</v>
      </c>
      <c r="J650" t="s">
        <v>11150</v>
      </c>
      <c r="K650" t="s">
        <v>36</v>
      </c>
      <c r="L650" t="s">
        <v>33</v>
      </c>
      <c r="M650">
        <v>20519847907</v>
      </c>
      <c r="N650" t="s">
        <v>376</v>
      </c>
      <c r="O650" t="s">
        <v>76</v>
      </c>
      <c r="R650" t="s">
        <v>10199</v>
      </c>
      <c r="S650">
        <v>221.56</v>
      </c>
      <c r="T650" t="s">
        <v>40</v>
      </c>
      <c r="U650">
        <f>+IF(Tabla1[[#This Row],[MONEDA]]="PEN",Tabla1[[#This Row],[MONTO]],Tabla1[[#This Row],[MONTO]]*3.56)</f>
        <v>221.56</v>
      </c>
      <c r="V650" t="s">
        <v>190</v>
      </c>
      <c r="W650">
        <v>21454</v>
      </c>
      <c r="X650" t="s">
        <v>81</v>
      </c>
      <c r="Y650" t="s">
        <v>42</v>
      </c>
      <c r="Z650" t="s">
        <v>82</v>
      </c>
      <c r="AA650" t="s">
        <v>11151</v>
      </c>
      <c r="AC650" t="s">
        <v>11152</v>
      </c>
      <c r="AD650" t="s">
        <v>11153</v>
      </c>
    </row>
    <row r="651" spans="1:33" hidden="1" x14ac:dyDescent="0.25">
      <c r="A651">
        <v>23407</v>
      </c>
      <c r="B651" t="s">
        <v>32</v>
      </c>
      <c r="C651">
        <v>1</v>
      </c>
      <c r="D651" t="s">
        <v>11199</v>
      </c>
      <c r="E651" t="s">
        <v>70</v>
      </c>
      <c r="F651" t="s">
        <v>33</v>
      </c>
      <c r="G651" t="s">
        <v>71</v>
      </c>
      <c r="H651" t="s">
        <v>72</v>
      </c>
      <c r="I651" t="s">
        <v>11200</v>
      </c>
      <c r="J651" t="s">
        <v>11201</v>
      </c>
      <c r="K651" t="s">
        <v>36</v>
      </c>
      <c r="L651" t="s">
        <v>33</v>
      </c>
      <c r="M651">
        <v>20519847907</v>
      </c>
      <c r="N651" t="s">
        <v>376</v>
      </c>
      <c r="O651" t="s">
        <v>76</v>
      </c>
      <c r="P651" t="s">
        <v>38</v>
      </c>
      <c r="Q651" t="s">
        <v>377</v>
      </c>
      <c r="R651" t="s">
        <v>11202</v>
      </c>
      <c r="S651">
        <v>6400</v>
      </c>
      <c r="T651" t="s">
        <v>40</v>
      </c>
      <c r="U651">
        <f>+IF(Tabla1[[#This Row],[MONEDA]]="PEN",Tabla1[[#This Row],[MONTO]],Tabla1[[#This Row],[MONTO]]*3.56)</f>
        <v>6400</v>
      </c>
      <c r="X651" t="s">
        <v>81</v>
      </c>
      <c r="Y651" t="s">
        <v>42</v>
      </c>
      <c r="Z651" t="s">
        <v>82</v>
      </c>
      <c r="AA651" t="s">
        <v>11203</v>
      </c>
      <c r="AB651" t="s">
        <v>11204</v>
      </c>
      <c r="AC651" t="s">
        <v>11205</v>
      </c>
      <c r="AD651" t="s">
        <v>11206</v>
      </c>
      <c r="AE651">
        <v>6208</v>
      </c>
      <c r="AF651" t="s">
        <v>87</v>
      </c>
      <c r="AG651" t="s">
        <v>169</v>
      </c>
    </row>
    <row r="652" spans="1:33" hidden="1" x14ac:dyDescent="0.25">
      <c r="A652">
        <v>23149</v>
      </c>
      <c r="B652" t="s">
        <v>32</v>
      </c>
      <c r="C652">
        <v>1</v>
      </c>
      <c r="D652" t="s">
        <v>11494</v>
      </c>
      <c r="E652" t="s">
        <v>70</v>
      </c>
      <c r="F652" t="s">
        <v>33</v>
      </c>
      <c r="G652" t="s">
        <v>71</v>
      </c>
      <c r="H652" t="s">
        <v>72</v>
      </c>
      <c r="I652" t="s">
        <v>11490</v>
      </c>
      <c r="J652" t="s">
        <v>11495</v>
      </c>
      <c r="K652" t="s">
        <v>36</v>
      </c>
      <c r="L652" t="s">
        <v>33</v>
      </c>
      <c r="M652">
        <v>20519847907</v>
      </c>
      <c r="N652" t="s">
        <v>376</v>
      </c>
      <c r="O652" t="s">
        <v>76</v>
      </c>
      <c r="P652" t="s">
        <v>38</v>
      </c>
      <c r="Q652" t="s">
        <v>377</v>
      </c>
      <c r="R652" t="s">
        <v>11496</v>
      </c>
      <c r="S652">
        <v>4205</v>
      </c>
      <c r="T652" t="s">
        <v>40</v>
      </c>
      <c r="U652">
        <f>+IF(Tabla1[[#This Row],[MONEDA]]="PEN",Tabla1[[#This Row],[MONTO]],Tabla1[[#This Row],[MONTO]]*3.56)</f>
        <v>4205</v>
      </c>
      <c r="X652" t="s">
        <v>81</v>
      </c>
      <c r="Y652" t="s">
        <v>42</v>
      </c>
      <c r="Z652" t="s">
        <v>43</v>
      </c>
      <c r="AA652" t="s">
        <v>11497</v>
      </c>
      <c r="AB652" t="s">
        <v>11498</v>
      </c>
      <c r="AC652" t="s">
        <v>11499</v>
      </c>
      <c r="AD652" t="s">
        <v>11500</v>
      </c>
      <c r="AE652">
        <v>4078.85</v>
      </c>
      <c r="AF652" t="s">
        <v>87</v>
      </c>
      <c r="AG652" t="s">
        <v>169</v>
      </c>
    </row>
    <row r="653" spans="1:33" hidden="1" x14ac:dyDescent="0.25">
      <c r="A653">
        <v>22458</v>
      </c>
      <c r="B653" t="s">
        <v>32</v>
      </c>
      <c r="C653">
        <v>1</v>
      </c>
      <c r="D653" t="s">
        <v>11853</v>
      </c>
      <c r="E653" t="s">
        <v>70</v>
      </c>
      <c r="F653" t="s">
        <v>33</v>
      </c>
      <c r="G653" t="s">
        <v>9422</v>
      </c>
      <c r="H653" t="s">
        <v>72</v>
      </c>
      <c r="I653" t="s">
        <v>11846</v>
      </c>
      <c r="J653" t="s">
        <v>11854</v>
      </c>
      <c r="K653" t="s">
        <v>36</v>
      </c>
      <c r="L653" t="s">
        <v>33</v>
      </c>
      <c r="M653">
        <v>20519847907</v>
      </c>
      <c r="N653" t="s">
        <v>376</v>
      </c>
      <c r="O653" t="s">
        <v>9423</v>
      </c>
      <c r="P653" t="s">
        <v>38</v>
      </c>
      <c r="Q653" t="s">
        <v>377</v>
      </c>
      <c r="R653" t="s">
        <v>11855</v>
      </c>
      <c r="S653">
        <v>2700</v>
      </c>
      <c r="T653" t="s">
        <v>40</v>
      </c>
      <c r="U653">
        <f>+IF(Tabla1[[#This Row],[MONEDA]]="PEN",Tabla1[[#This Row],[MONTO]],Tabla1[[#This Row],[MONTO]]*3.56)</f>
        <v>2700</v>
      </c>
      <c r="X653" t="s">
        <v>81</v>
      </c>
      <c r="Y653" t="s">
        <v>42</v>
      </c>
      <c r="Z653" t="s">
        <v>43</v>
      </c>
      <c r="AA653" t="s">
        <v>11856</v>
      </c>
      <c r="AB653" t="s">
        <v>11857</v>
      </c>
      <c r="AC653" t="s">
        <v>11858</v>
      </c>
      <c r="AD653" t="s">
        <v>11859</v>
      </c>
      <c r="AE653">
        <v>2619</v>
      </c>
      <c r="AF653" t="s">
        <v>87</v>
      </c>
      <c r="AG653" t="s">
        <v>169</v>
      </c>
    </row>
    <row r="654" spans="1:33" hidden="1" x14ac:dyDescent="0.25">
      <c r="A654">
        <v>22191</v>
      </c>
      <c r="B654" t="s">
        <v>32</v>
      </c>
      <c r="C654">
        <v>1</v>
      </c>
      <c r="D654" t="s">
        <v>11980</v>
      </c>
      <c r="E654" t="s">
        <v>70</v>
      </c>
      <c r="F654" t="s">
        <v>33</v>
      </c>
      <c r="G654" t="s">
        <v>9422</v>
      </c>
      <c r="H654" t="s">
        <v>72</v>
      </c>
      <c r="I654" t="s">
        <v>11981</v>
      </c>
      <c r="J654" t="s">
        <v>11982</v>
      </c>
      <c r="K654" t="s">
        <v>36</v>
      </c>
      <c r="L654" t="s">
        <v>33</v>
      </c>
      <c r="M654">
        <v>20519847907</v>
      </c>
      <c r="N654" t="s">
        <v>376</v>
      </c>
      <c r="O654" t="s">
        <v>9423</v>
      </c>
      <c r="P654" t="s">
        <v>38</v>
      </c>
      <c r="Q654" t="s">
        <v>377</v>
      </c>
      <c r="R654" t="s">
        <v>11983</v>
      </c>
      <c r="S654">
        <v>2500</v>
      </c>
      <c r="T654" t="s">
        <v>40</v>
      </c>
      <c r="U654">
        <f>+IF(Tabla1[[#This Row],[MONEDA]]="PEN",Tabla1[[#This Row],[MONTO]],Tabla1[[#This Row],[MONTO]]*3.56)</f>
        <v>2500</v>
      </c>
      <c r="X654" t="s">
        <v>81</v>
      </c>
      <c r="Y654" t="s">
        <v>42</v>
      </c>
      <c r="Z654" t="s">
        <v>43</v>
      </c>
      <c r="AA654" t="s">
        <v>11984</v>
      </c>
      <c r="AB654" t="s">
        <v>11985</v>
      </c>
      <c r="AC654" t="s">
        <v>11986</v>
      </c>
      <c r="AD654" t="s">
        <v>11987</v>
      </c>
      <c r="AE654">
        <v>2425</v>
      </c>
      <c r="AF654" t="s">
        <v>87</v>
      </c>
      <c r="AG654" t="s">
        <v>169</v>
      </c>
    </row>
    <row r="655" spans="1:33" hidden="1" x14ac:dyDescent="0.25">
      <c r="A655">
        <v>21632</v>
      </c>
      <c r="B655" t="s">
        <v>32</v>
      </c>
      <c r="C655">
        <v>1</v>
      </c>
      <c r="D655" t="s">
        <v>12368</v>
      </c>
      <c r="E655" t="s">
        <v>70</v>
      </c>
      <c r="F655" t="s">
        <v>33</v>
      </c>
      <c r="G655" t="s">
        <v>71</v>
      </c>
      <c r="H655" t="s">
        <v>72</v>
      </c>
      <c r="I655" t="s">
        <v>12320</v>
      </c>
      <c r="J655" t="s">
        <v>12369</v>
      </c>
      <c r="K655" t="s">
        <v>36</v>
      </c>
      <c r="L655" t="s">
        <v>33</v>
      </c>
      <c r="M655">
        <v>20519847907</v>
      </c>
      <c r="N655" t="s">
        <v>376</v>
      </c>
      <c r="O655" t="s">
        <v>76</v>
      </c>
      <c r="P655" t="s">
        <v>38</v>
      </c>
      <c r="Q655" t="s">
        <v>377</v>
      </c>
      <c r="R655" t="s">
        <v>12370</v>
      </c>
      <c r="S655">
        <v>4950</v>
      </c>
      <c r="T655" t="s">
        <v>40</v>
      </c>
      <c r="U655">
        <f>+IF(Tabla1[[#This Row],[MONEDA]]="PEN",Tabla1[[#This Row],[MONTO]],Tabla1[[#This Row],[MONTO]]*3.56)</f>
        <v>4950</v>
      </c>
      <c r="X655" t="s">
        <v>81</v>
      </c>
      <c r="Y655" t="s">
        <v>42</v>
      </c>
      <c r="Z655" t="s">
        <v>82</v>
      </c>
      <c r="AA655" t="s">
        <v>12371</v>
      </c>
      <c r="AB655" t="s">
        <v>12372</v>
      </c>
      <c r="AC655" t="s">
        <v>12373</v>
      </c>
      <c r="AD655" t="s">
        <v>12374</v>
      </c>
      <c r="AE655">
        <v>4801.5</v>
      </c>
      <c r="AF655" t="s">
        <v>87</v>
      </c>
      <c r="AG655" t="s">
        <v>169</v>
      </c>
    </row>
    <row r="656" spans="1:33" hidden="1" x14ac:dyDescent="0.25">
      <c r="A656">
        <v>41792</v>
      </c>
      <c r="B656" t="s">
        <v>32</v>
      </c>
      <c r="C656">
        <v>2</v>
      </c>
      <c r="D656" t="s">
        <v>974</v>
      </c>
      <c r="E656" t="s">
        <v>45</v>
      </c>
      <c r="F656" t="s">
        <v>33</v>
      </c>
      <c r="G656" t="s">
        <v>71</v>
      </c>
      <c r="H656" t="s">
        <v>35</v>
      </c>
      <c r="I656" t="s">
        <v>975</v>
      </c>
      <c r="J656" t="s">
        <v>976</v>
      </c>
      <c r="K656" t="s">
        <v>36</v>
      </c>
      <c r="L656" t="s">
        <v>33</v>
      </c>
      <c r="M656">
        <v>20519847907</v>
      </c>
      <c r="N656" t="s">
        <v>376</v>
      </c>
      <c r="O656" t="s">
        <v>76</v>
      </c>
      <c r="P656" t="s">
        <v>38</v>
      </c>
      <c r="Q656" t="s">
        <v>377</v>
      </c>
      <c r="R656" t="s">
        <v>977</v>
      </c>
      <c r="S656">
        <v>20494.28</v>
      </c>
      <c r="T656" t="s">
        <v>40</v>
      </c>
      <c r="U656">
        <f>+IF(Tabla1[[#This Row],[MONEDA]]="PEN",Tabla1[[#This Row],[MONTO]],Tabla1[[#This Row],[MONTO]]*3.56)</f>
        <v>20494.28</v>
      </c>
      <c r="X656" t="s">
        <v>81</v>
      </c>
      <c r="Y656" t="s">
        <v>51</v>
      </c>
      <c r="Z656" t="s">
        <v>43</v>
      </c>
      <c r="AB656" t="s">
        <v>978</v>
      </c>
    </row>
    <row r="657" spans="1:33" x14ac:dyDescent="0.25">
      <c r="A657">
        <v>28540</v>
      </c>
      <c r="B657" t="s">
        <v>32</v>
      </c>
      <c r="C657">
        <v>1</v>
      </c>
      <c r="D657" t="s">
        <v>7520</v>
      </c>
      <c r="E657" t="s">
        <v>70</v>
      </c>
      <c r="F657" t="s">
        <v>90</v>
      </c>
      <c r="G657" t="s">
        <v>91</v>
      </c>
      <c r="H657" t="s">
        <v>72</v>
      </c>
      <c r="I657" t="s">
        <v>7521</v>
      </c>
      <c r="J657" t="s">
        <v>7522</v>
      </c>
      <c r="K657" t="s">
        <v>36</v>
      </c>
      <c r="L657" t="s">
        <v>33</v>
      </c>
      <c r="M657">
        <v>20601844045</v>
      </c>
      <c r="N657" t="s">
        <v>7523</v>
      </c>
      <c r="P657" t="s">
        <v>101</v>
      </c>
      <c r="Q657" t="s">
        <v>7524</v>
      </c>
      <c r="R657" t="s">
        <v>7525</v>
      </c>
      <c r="S657">
        <v>472</v>
      </c>
      <c r="T657" t="s">
        <v>40</v>
      </c>
      <c r="U657">
        <f>+IF(Tabla1[[#This Row],[MONEDA]]="PEN",Tabla1[[#This Row],[MONTO]],Tabla1[[#This Row],[MONTO]]*3.56)</f>
        <v>472</v>
      </c>
      <c r="X657" t="s">
        <v>41</v>
      </c>
      <c r="Y657" t="s">
        <v>42</v>
      </c>
      <c r="Z657" t="s">
        <v>82</v>
      </c>
      <c r="AA657" t="s">
        <v>7526</v>
      </c>
      <c r="AB657" t="s">
        <v>7527</v>
      </c>
      <c r="AC657" t="s">
        <v>7528</v>
      </c>
      <c r="AD657" t="s">
        <v>7529</v>
      </c>
      <c r="AE657">
        <v>472</v>
      </c>
      <c r="AF657" t="s">
        <v>87</v>
      </c>
      <c r="AG657" t="s">
        <v>666</v>
      </c>
    </row>
    <row r="658" spans="1:33" hidden="1" x14ac:dyDescent="0.25">
      <c r="A658">
        <v>44339</v>
      </c>
      <c r="B658" t="s">
        <v>32</v>
      </c>
      <c r="C658">
        <v>5</v>
      </c>
      <c r="D658" t="s">
        <v>498</v>
      </c>
      <c r="E658" t="s">
        <v>45</v>
      </c>
      <c r="F658" t="s">
        <v>33</v>
      </c>
      <c r="G658" t="s">
        <v>34</v>
      </c>
      <c r="H658" t="s">
        <v>35</v>
      </c>
      <c r="I658" t="s">
        <v>499</v>
      </c>
      <c r="J658" t="s">
        <v>500</v>
      </c>
      <c r="K658" t="s">
        <v>36</v>
      </c>
      <c r="L658" t="s">
        <v>33</v>
      </c>
      <c r="M658">
        <v>20608315480</v>
      </c>
      <c r="N658" t="s">
        <v>501</v>
      </c>
      <c r="P658" t="s">
        <v>38</v>
      </c>
      <c r="Q658" t="s">
        <v>502</v>
      </c>
      <c r="R658" t="s">
        <v>503</v>
      </c>
      <c r="S658">
        <v>9817.6</v>
      </c>
      <c r="T658" t="s">
        <v>40</v>
      </c>
      <c r="U658">
        <f>+IF(Tabla1[[#This Row],[MONEDA]]="PEN",Tabla1[[#This Row],[MONTO]],Tabla1[[#This Row],[MONTO]]*3.56)</f>
        <v>9817.6</v>
      </c>
      <c r="X658" t="s">
        <v>41</v>
      </c>
      <c r="Y658" t="s">
        <v>51</v>
      </c>
      <c r="Z658" t="s">
        <v>43</v>
      </c>
      <c r="AB658" t="s">
        <v>504</v>
      </c>
      <c r="AD658" t="s">
        <v>505</v>
      </c>
    </row>
    <row r="659" spans="1:33" x14ac:dyDescent="0.25">
      <c r="A659">
        <v>45087</v>
      </c>
      <c r="B659" t="s">
        <v>32</v>
      </c>
      <c r="C659">
        <v>1</v>
      </c>
      <c r="D659" t="s">
        <v>356</v>
      </c>
      <c r="E659" t="s">
        <v>70</v>
      </c>
      <c r="F659" t="s">
        <v>90</v>
      </c>
      <c r="G659" t="s">
        <v>91</v>
      </c>
      <c r="H659" t="s">
        <v>35</v>
      </c>
      <c r="I659" t="s">
        <v>357</v>
      </c>
      <c r="J659" t="s">
        <v>358</v>
      </c>
      <c r="K659" t="s">
        <v>36</v>
      </c>
      <c r="L659" t="s">
        <v>33</v>
      </c>
      <c r="M659">
        <v>20100144922</v>
      </c>
      <c r="N659" t="s">
        <v>359</v>
      </c>
      <c r="P659" t="s">
        <v>38</v>
      </c>
      <c r="Q659" t="s">
        <v>360</v>
      </c>
      <c r="R659" t="s">
        <v>361</v>
      </c>
      <c r="S659">
        <v>690.62</v>
      </c>
      <c r="T659" t="s">
        <v>80</v>
      </c>
      <c r="U659">
        <f>+IF(Tabla1[[#This Row],[MONEDA]]="PEN",Tabla1[[#This Row],[MONTO]],Tabla1[[#This Row],[MONTO]]*3.56)</f>
        <v>2458.6071999999999</v>
      </c>
      <c r="X659" t="s">
        <v>41</v>
      </c>
      <c r="Y659" t="s">
        <v>51</v>
      </c>
      <c r="Z659" t="s">
        <v>43</v>
      </c>
      <c r="AA659" t="s">
        <v>362</v>
      </c>
      <c r="AC659" t="s">
        <v>363</v>
      </c>
      <c r="AD659" t="s">
        <v>364</v>
      </c>
      <c r="AE659">
        <v>690.62</v>
      </c>
      <c r="AF659" t="s">
        <v>87</v>
      </c>
      <c r="AG659" t="s">
        <v>88</v>
      </c>
    </row>
    <row r="660" spans="1:33" x14ac:dyDescent="0.25">
      <c r="A660">
        <v>39224</v>
      </c>
      <c r="B660" t="s">
        <v>32</v>
      </c>
      <c r="C660">
        <v>1</v>
      </c>
      <c r="D660" t="s">
        <v>2542</v>
      </c>
      <c r="E660" t="s">
        <v>70</v>
      </c>
      <c r="F660" t="s">
        <v>90</v>
      </c>
      <c r="G660" t="s">
        <v>91</v>
      </c>
      <c r="H660" t="s">
        <v>35</v>
      </c>
      <c r="I660" t="s">
        <v>2543</v>
      </c>
      <c r="J660" t="s">
        <v>2544</v>
      </c>
      <c r="K660" t="s">
        <v>36</v>
      </c>
      <c r="L660" t="s">
        <v>33</v>
      </c>
      <c r="M660">
        <v>20100144922</v>
      </c>
      <c r="N660" t="s">
        <v>359</v>
      </c>
      <c r="P660" t="s">
        <v>38</v>
      </c>
      <c r="Q660" t="s">
        <v>2545</v>
      </c>
      <c r="R660" t="s">
        <v>2546</v>
      </c>
      <c r="S660">
        <v>930.43</v>
      </c>
      <c r="T660" t="s">
        <v>40</v>
      </c>
      <c r="U660">
        <f>+IF(Tabla1[[#This Row],[MONEDA]]="PEN",Tabla1[[#This Row],[MONTO]],Tabla1[[#This Row],[MONTO]]*3.56)</f>
        <v>930.43</v>
      </c>
      <c r="X660" t="s">
        <v>41</v>
      </c>
      <c r="Y660" t="s">
        <v>42</v>
      </c>
      <c r="Z660" t="s">
        <v>82</v>
      </c>
      <c r="AA660" t="s">
        <v>2547</v>
      </c>
      <c r="AB660" t="s">
        <v>2548</v>
      </c>
      <c r="AC660" t="s">
        <v>2549</v>
      </c>
      <c r="AD660" t="s">
        <v>2550</v>
      </c>
      <c r="AE660">
        <v>930.43</v>
      </c>
      <c r="AF660" t="s">
        <v>87</v>
      </c>
      <c r="AG660" t="s">
        <v>169</v>
      </c>
    </row>
    <row r="661" spans="1:33" x14ac:dyDescent="0.25">
      <c r="A661">
        <v>36772</v>
      </c>
      <c r="B661" t="s">
        <v>32</v>
      </c>
      <c r="C661">
        <v>1</v>
      </c>
      <c r="D661" t="s">
        <v>3700</v>
      </c>
      <c r="E661" t="s">
        <v>70</v>
      </c>
      <c r="F661" t="s">
        <v>3701</v>
      </c>
      <c r="G661" t="s">
        <v>3702</v>
      </c>
      <c r="H661" t="s">
        <v>3703</v>
      </c>
      <c r="I661" t="s">
        <v>3704</v>
      </c>
      <c r="J661" t="s">
        <v>3705</v>
      </c>
      <c r="K661" t="s">
        <v>36</v>
      </c>
      <c r="L661" t="s">
        <v>33</v>
      </c>
      <c r="M661">
        <v>20100144922</v>
      </c>
      <c r="N661" t="s">
        <v>359</v>
      </c>
      <c r="P661" t="s">
        <v>38</v>
      </c>
      <c r="Q661" t="s">
        <v>2545</v>
      </c>
      <c r="R661" t="s">
        <v>3706</v>
      </c>
      <c r="S661">
        <v>2296.56</v>
      </c>
      <c r="T661" t="s">
        <v>40</v>
      </c>
      <c r="U661">
        <f>+IF(Tabla1[[#This Row],[MONEDA]]="PEN",Tabla1[[#This Row],[MONTO]],Tabla1[[#This Row],[MONTO]]*3.56)</f>
        <v>2296.56</v>
      </c>
      <c r="X661" t="s">
        <v>41</v>
      </c>
      <c r="Y661" t="s">
        <v>42</v>
      </c>
      <c r="Z661" t="s">
        <v>82</v>
      </c>
      <c r="AA661" t="s">
        <v>3707</v>
      </c>
      <c r="AB661" t="s">
        <v>3708</v>
      </c>
      <c r="AC661" t="s">
        <v>3709</v>
      </c>
      <c r="AE661">
        <v>2296.56</v>
      </c>
      <c r="AF661" t="s">
        <v>87</v>
      </c>
      <c r="AG661" t="s">
        <v>169</v>
      </c>
    </row>
    <row r="662" spans="1:33" x14ac:dyDescent="0.25">
      <c r="A662">
        <v>35244</v>
      </c>
      <c r="B662" t="s">
        <v>32</v>
      </c>
      <c r="C662">
        <v>1</v>
      </c>
      <c r="D662" t="s">
        <v>4368</v>
      </c>
      <c r="E662" t="s">
        <v>70</v>
      </c>
      <c r="F662" t="s">
        <v>3701</v>
      </c>
      <c r="G662" t="s">
        <v>4369</v>
      </c>
      <c r="H662" t="s">
        <v>72</v>
      </c>
      <c r="I662" t="s">
        <v>4370</v>
      </c>
      <c r="J662" t="s">
        <v>4371</v>
      </c>
      <c r="K662" t="s">
        <v>36</v>
      </c>
      <c r="L662" t="s">
        <v>33</v>
      </c>
      <c r="M662">
        <v>20100144922</v>
      </c>
      <c r="N662" t="s">
        <v>359</v>
      </c>
      <c r="P662" t="s">
        <v>38</v>
      </c>
      <c r="Q662" t="s">
        <v>2545</v>
      </c>
      <c r="R662" t="s">
        <v>4372</v>
      </c>
      <c r="S662">
        <v>721.64</v>
      </c>
      <c r="T662" t="s">
        <v>40</v>
      </c>
      <c r="U662">
        <f>+IF(Tabla1[[#This Row],[MONEDA]]="PEN",Tabla1[[#This Row],[MONTO]],Tabla1[[#This Row],[MONTO]]*3.56)</f>
        <v>721.64</v>
      </c>
      <c r="X662" t="s">
        <v>41</v>
      </c>
      <c r="Y662" t="s">
        <v>42</v>
      </c>
      <c r="Z662" t="s">
        <v>82</v>
      </c>
      <c r="AA662" t="s">
        <v>4373</v>
      </c>
      <c r="AB662" t="s">
        <v>4374</v>
      </c>
      <c r="AC662" t="s">
        <v>4375</v>
      </c>
      <c r="AD662" t="s">
        <v>4376</v>
      </c>
      <c r="AE662">
        <v>721.64</v>
      </c>
      <c r="AF662" t="s">
        <v>87</v>
      </c>
      <c r="AG662" t="s">
        <v>169</v>
      </c>
    </row>
    <row r="663" spans="1:33" x14ac:dyDescent="0.25">
      <c r="A663">
        <v>32256</v>
      </c>
      <c r="B663" t="s">
        <v>32</v>
      </c>
      <c r="C663">
        <v>1</v>
      </c>
      <c r="D663" t="s">
        <v>5408</v>
      </c>
      <c r="E663" t="s">
        <v>70</v>
      </c>
      <c r="F663" t="s">
        <v>1275</v>
      </c>
      <c r="G663" t="s">
        <v>5409</v>
      </c>
      <c r="H663" t="s">
        <v>72</v>
      </c>
      <c r="I663" t="s">
        <v>5410</v>
      </c>
      <c r="J663" t="s">
        <v>5411</v>
      </c>
      <c r="K663" t="s">
        <v>36</v>
      </c>
      <c r="L663" t="s">
        <v>33</v>
      </c>
      <c r="M663">
        <v>20100144922</v>
      </c>
      <c r="N663" t="s">
        <v>359</v>
      </c>
      <c r="P663" t="s">
        <v>38</v>
      </c>
      <c r="Q663" t="s">
        <v>2545</v>
      </c>
      <c r="R663" t="s">
        <v>5412</v>
      </c>
      <c r="S663">
        <v>3231.81</v>
      </c>
      <c r="T663" t="s">
        <v>40</v>
      </c>
      <c r="U663">
        <f>+IF(Tabla1[[#This Row],[MONEDA]]="PEN",Tabla1[[#This Row],[MONTO]],Tabla1[[#This Row],[MONTO]]*3.56)</f>
        <v>3231.81</v>
      </c>
      <c r="X663" t="s">
        <v>139</v>
      </c>
      <c r="Y663" t="s">
        <v>51</v>
      </c>
      <c r="Z663" t="s">
        <v>43</v>
      </c>
      <c r="AA663" t="s">
        <v>5413</v>
      </c>
      <c r="AB663" t="s">
        <v>5414</v>
      </c>
      <c r="AC663" t="s">
        <v>5415</v>
      </c>
      <c r="AE663">
        <v>3231.81</v>
      </c>
      <c r="AF663" t="s">
        <v>87</v>
      </c>
      <c r="AG663" t="s">
        <v>169</v>
      </c>
    </row>
    <row r="664" spans="1:33" x14ac:dyDescent="0.25">
      <c r="A664">
        <v>39237</v>
      </c>
      <c r="B664" t="s">
        <v>32</v>
      </c>
      <c r="C664">
        <v>1</v>
      </c>
      <c r="D664" t="s">
        <v>2499</v>
      </c>
      <c r="E664" t="s">
        <v>70</v>
      </c>
      <c r="F664" t="s">
        <v>90</v>
      </c>
      <c r="G664" t="s">
        <v>91</v>
      </c>
      <c r="H664" t="s">
        <v>35</v>
      </c>
      <c r="I664" t="s">
        <v>2500</v>
      </c>
      <c r="J664" t="s">
        <v>2501</v>
      </c>
      <c r="K664" t="s">
        <v>36</v>
      </c>
      <c r="L664" t="s">
        <v>33</v>
      </c>
      <c r="M664">
        <v>10460998986</v>
      </c>
      <c r="N664" t="s">
        <v>228</v>
      </c>
      <c r="P664" t="s">
        <v>101</v>
      </c>
      <c r="Q664" t="s">
        <v>229</v>
      </c>
      <c r="R664" t="s">
        <v>2502</v>
      </c>
      <c r="S664">
        <v>2500</v>
      </c>
      <c r="T664" t="s">
        <v>40</v>
      </c>
      <c r="U664">
        <f>+IF(Tabla1[[#This Row],[MONEDA]]="PEN",Tabla1[[#This Row],[MONTO]],Tabla1[[#This Row],[MONTO]]*3.56)</f>
        <v>2500</v>
      </c>
      <c r="X664" t="s">
        <v>41</v>
      </c>
      <c r="Y664" t="s">
        <v>51</v>
      </c>
      <c r="Z664" t="s">
        <v>43</v>
      </c>
      <c r="AA664" t="s">
        <v>2503</v>
      </c>
      <c r="AB664" t="s">
        <v>2504</v>
      </c>
      <c r="AC664" t="s">
        <v>2505</v>
      </c>
      <c r="AD664" t="s">
        <v>2506</v>
      </c>
      <c r="AE664">
        <v>2500</v>
      </c>
      <c r="AF664" t="s">
        <v>87</v>
      </c>
      <c r="AG664" t="s">
        <v>666</v>
      </c>
    </row>
    <row r="665" spans="1:33" x14ac:dyDescent="0.25">
      <c r="A665">
        <v>37346</v>
      </c>
      <c r="B665" t="s">
        <v>32</v>
      </c>
      <c r="C665">
        <v>2</v>
      </c>
      <c r="D665" t="s">
        <v>3160</v>
      </c>
      <c r="E665" t="s">
        <v>70</v>
      </c>
      <c r="F665" t="s">
        <v>90</v>
      </c>
      <c r="G665" t="s">
        <v>91</v>
      </c>
      <c r="H665" t="s">
        <v>35</v>
      </c>
      <c r="I665" t="s">
        <v>3134</v>
      </c>
      <c r="J665" t="s">
        <v>3161</v>
      </c>
      <c r="K665" t="s">
        <v>36</v>
      </c>
      <c r="L665" t="s">
        <v>33</v>
      </c>
      <c r="M665">
        <v>10460998986</v>
      </c>
      <c r="N665" t="s">
        <v>228</v>
      </c>
      <c r="P665" t="s">
        <v>101</v>
      </c>
      <c r="Q665" t="s">
        <v>229</v>
      </c>
      <c r="R665" t="s">
        <v>3162</v>
      </c>
      <c r="S665">
        <v>2500</v>
      </c>
      <c r="T665" t="s">
        <v>40</v>
      </c>
      <c r="U665">
        <f>+IF(Tabla1[[#This Row],[MONEDA]]="PEN",Tabla1[[#This Row],[MONTO]],Tabla1[[#This Row],[MONTO]]*3.56)</f>
        <v>2500</v>
      </c>
      <c r="X665" t="s">
        <v>41</v>
      </c>
      <c r="Y665" t="s">
        <v>51</v>
      </c>
      <c r="Z665" t="s">
        <v>43</v>
      </c>
      <c r="AA665" t="s">
        <v>3163</v>
      </c>
      <c r="AB665" t="s">
        <v>3164</v>
      </c>
      <c r="AC665" t="s">
        <v>3165</v>
      </c>
      <c r="AD665" t="s">
        <v>3166</v>
      </c>
      <c r="AE665">
        <v>2500</v>
      </c>
      <c r="AF665" t="s">
        <v>87</v>
      </c>
      <c r="AG665" t="s">
        <v>666</v>
      </c>
    </row>
    <row r="666" spans="1:33" x14ac:dyDescent="0.25">
      <c r="A666">
        <v>34048</v>
      </c>
      <c r="B666" t="s">
        <v>32</v>
      </c>
      <c r="C666">
        <v>1</v>
      </c>
      <c r="D666" t="s">
        <v>4639</v>
      </c>
      <c r="E666" t="s">
        <v>70</v>
      </c>
      <c r="F666" t="s">
        <v>90</v>
      </c>
      <c r="G666" t="s">
        <v>91</v>
      </c>
      <c r="H666" t="s">
        <v>72</v>
      </c>
      <c r="I666" t="s">
        <v>4640</v>
      </c>
      <c r="J666" t="s">
        <v>4641</v>
      </c>
      <c r="K666" t="s">
        <v>36</v>
      </c>
      <c r="L666" t="s">
        <v>33</v>
      </c>
      <c r="M666">
        <v>10460998986</v>
      </c>
      <c r="N666" t="s">
        <v>228</v>
      </c>
      <c r="P666" t="s">
        <v>101</v>
      </c>
      <c r="Q666" t="s">
        <v>229</v>
      </c>
      <c r="R666" t="s">
        <v>4642</v>
      </c>
      <c r="S666">
        <v>2500</v>
      </c>
      <c r="T666" t="s">
        <v>40</v>
      </c>
      <c r="U666">
        <f>+IF(Tabla1[[#This Row],[MONEDA]]="PEN",Tabla1[[#This Row],[MONTO]],Tabla1[[#This Row],[MONTO]]*3.56)</f>
        <v>2500</v>
      </c>
      <c r="X666" t="s">
        <v>41</v>
      </c>
      <c r="Y666" t="s">
        <v>51</v>
      </c>
      <c r="Z666" t="s">
        <v>43</v>
      </c>
      <c r="AA666" t="s">
        <v>4643</v>
      </c>
      <c r="AB666" t="s">
        <v>4644</v>
      </c>
      <c r="AC666" t="s">
        <v>4645</v>
      </c>
      <c r="AE666">
        <v>2500</v>
      </c>
      <c r="AF666" t="s">
        <v>87</v>
      </c>
      <c r="AG666" t="s">
        <v>666</v>
      </c>
    </row>
    <row r="667" spans="1:33" hidden="1" x14ac:dyDescent="0.25">
      <c r="A667">
        <v>22847</v>
      </c>
      <c r="B667" t="s">
        <v>32</v>
      </c>
      <c r="C667">
        <v>1</v>
      </c>
      <c r="D667" t="s">
        <v>11712</v>
      </c>
      <c r="E667" t="s">
        <v>70</v>
      </c>
      <c r="F667" t="s">
        <v>33</v>
      </c>
      <c r="G667" t="s">
        <v>9422</v>
      </c>
      <c r="H667" t="s">
        <v>72</v>
      </c>
      <c r="I667" t="s">
        <v>11713</v>
      </c>
      <c r="J667" t="s">
        <v>11714</v>
      </c>
      <c r="K667" t="s">
        <v>36</v>
      </c>
      <c r="L667" t="s">
        <v>33</v>
      </c>
      <c r="M667">
        <v>10044400541</v>
      </c>
      <c r="N667" t="s">
        <v>11715</v>
      </c>
      <c r="O667" t="s">
        <v>9423</v>
      </c>
      <c r="P667" t="s">
        <v>38</v>
      </c>
      <c r="Q667">
        <v>43004619477050</v>
      </c>
      <c r="R667" t="s">
        <v>11716</v>
      </c>
      <c r="S667">
        <v>550</v>
      </c>
      <c r="T667" t="s">
        <v>40</v>
      </c>
      <c r="U667">
        <f>+IF(Tabla1[[#This Row],[MONEDA]]="PEN",Tabla1[[#This Row],[MONTO]],Tabla1[[#This Row],[MONTO]]*3.56)</f>
        <v>550</v>
      </c>
      <c r="X667" t="s">
        <v>81</v>
      </c>
      <c r="Y667" t="s">
        <v>42</v>
      </c>
      <c r="Z667" t="s">
        <v>43</v>
      </c>
      <c r="AA667" t="s">
        <v>11717</v>
      </c>
      <c r="AB667" t="s">
        <v>11718</v>
      </c>
      <c r="AC667" t="s">
        <v>11719</v>
      </c>
      <c r="AD667" t="s">
        <v>11720</v>
      </c>
      <c r="AE667">
        <v>550</v>
      </c>
      <c r="AF667" t="s">
        <v>87</v>
      </c>
      <c r="AG667" t="s">
        <v>169</v>
      </c>
    </row>
    <row r="668" spans="1:33" hidden="1" x14ac:dyDescent="0.25">
      <c r="A668">
        <v>32587</v>
      </c>
      <c r="B668" t="s">
        <v>32</v>
      </c>
      <c r="C668">
        <v>1</v>
      </c>
      <c r="D668" t="s">
        <v>5233</v>
      </c>
      <c r="E668" t="s">
        <v>70</v>
      </c>
      <c r="F668" t="s">
        <v>33</v>
      </c>
      <c r="G668" t="s">
        <v>71</v>
      </c>
      <c r="H668" t="s">
        <v>72</v>
      </c>
      <c r="I668" t="s">
        <v>5234</v>
      </c>
      <c r="J668" t="s">
        <v>5235</v>
      </c>
      <c r="K668" t="s">
        <v>36</v>
      </c>
      <c r="L668" t="s">
        <v>33</v>
      </c>
      <c r="M668">
        <v>20604767289</v>
      </c>
      <c r="N668" t="s">
        <v>5236</v>
      </c>
      <c r="O668" t="s">
        <v>76</v>
      </c>
      <c r="P668" t="s">
        <v>38</v>
      </c>
      <c r="Q668" t="s">
        <v>5237</v>
      </c>
      <c r="R668" t="s">
        <v>5238</v>
      </c>
      <c r="S668">
        <v>2471.9899999999998</v>
      </c>
      <c r="T668" t="s">
        <v>40</v>
      </c>
      <c r="U668">
        <f>+IF(Tabla1[[#This Row],[MONEDA]]="PEN",Tabla1[[#This Row],[MONTO]],Tabla1[[#This Row],[MONTO]]*3.56)</f>
        <v>2471.9899999999998</v>
      </c>
      <c r="X668" t="s">
        <v>81</v>
      </c>
      <c r="Y668" t="s">
        <v>42</v>
      </c>
      <c r="Z668" t="s">
        <v>82</v>
      </c>
      <c r="AA668" t="s">
        <v>5239</v>
      </c>
      <c r="AB668" t="s">
        <v>5240</v>
      </c>
      <c r="AC668" t="s">
        <v>5241</v>
      </c>
      <c r="AD668" t="s">
        <v>5242</v>
      </c>
      <c r="AE668">
        <v>2397.83</v>
      </c>
      <c r="AF668" t="s">
        <v>87</v>
      </c>
      <c r="AG668" t="s">
        <v>169</v>
      </c>
    </row>
    <row r="669" spans="1:33" hidden="1" x14ac:dyDescent="0.25">
      <c r="A669">
        <v>42235</v>
      </c>
      <c r="B669" t="s">
        <v>32</v>
      </c>
      <c r="C669">
        <v>1</v>
      </c>
      <c r="D669" t="s">
        <v>1233</v>
      </c>
      <c r="E669" t="s">
        <v>70</v>
      </c>
      <c r="F669" t="s">
        <v>33</v>
      </c>
      <c r="G669" t="s">
        <v>71</v>
      </c>
      <c r="H669" t="s">
        <v>35</v>
      </c>
      <c r="I669" t="s">
        <v>1234</v>
      </c>
      <c r="J669" t="s">
        <v>1235</v>
      </c>
      <c r="K669" t="s">
        <v>36</v>
      </c>
      <c r="L669" t="s">
        <v>33</v>
      </c>
      <c r="M669">
        <v>20536557858</v>
      </c>
      <c r="N669" t="s">
        <v>1236</v>
      </c>
      <c r="O669" t="s">
        <v>76</v>
      </c>
      <c r="P669" t="s">
        <v>1237</v>
      </c>
      <c r="Q669" t="s">
        <v>1238</v>
      </c>
      <c r="R669" t="s">
        <v>1239</v>
      </c>
      <c r="S669">
        <v>756</v>
      </c>
      <c r="T669" t="s">
        <v>40</v>
      </c>
      <c r="U669">
        <f>+IF(Tabla1[[#This Row],[MONEDA]]="PEN",Tabla1[[#This Row],[MONTO]],Tabla1[[#This Row],[MONTO]]*3.56)</f>
        <v>756</v>
      </c>
      <c r="X669" t="s">
        <v>81</v>
      </c>
      <c r="Y669" t="s">
        <v>42</v>
      </c>
      <c r="Z669" t="s">
        <v>82</v>
      </c>
      <c r="AA669" t="s">
        <v>1240</v>
      </c>
      <c r="AB669" t="s">
        <v>1241</v>
      </c>
      <c r="AC669" t="s">
        <v>1242</v>
      </c>
      <c r="AD669" t="s">
        <v>1243</v>
      </c>
      <c r="AE669">
        <v>756</v>
      </c>
      <c r="AF669" t="s">
        <v>87</v>
      </c>
      <c r="AG669" t="s">
        <v>169</v>
      </c>
    </row>
    <row r="670" spans="1:33" hidden="1" x14ac:dyDescent="0.25">
      <c r="A670">
        <v>32965</v>
      </c>
      <c r="B670" t="s">
        <v>32</v>
      </c>
      <c r="C670">
        <v>1</v>
      </c>
      <c r="D670" t="s">
        <v>5226</v>
      </c>
      <c r="E670" t="s">
        <v>70</v>
      </c>
      <c r="F670" t="s">
        <v>33</v>
      </c>
      <c r="G670" t="s">
        <v>71</v>
      </c>
      <c r="H670" t="s">
        <v>35</v>
      </c>
      <c r="I670" t="s">
        <v>5199</v>
      </c>
      <c r="J670" t="s">
        <v>5227</v>
      </c>
      <c r="K670" t="s">
        <v>36</v>
      </c>
      <c r="L670" t="s">
        <v>33</v>
      </c>
      <c r="M670">
        <v>20536557858</v>
      </c>
      <c r="N670" t="s">
        <v>1236</v>
      </c>
      <c r="O670" t="s">
        <v>76</v>
      </c>
      <c r="P670" t="s">
        <v>1237</v>
      </c>
      <c r="Q670" t="s">
        <v>1238</v>
      </c>
      <c r="R670" t="s">
        <v>5228</v>
      </c>
      <c r="S670">
        <v>549.20000000000005</v>
      </c>
      <c r="T670" t="s">
        <v>40</v>
      </c>
      <c r="U670">
        <f>+IF(Tabla1[[#This Row],[MONEDA]]="PEN",Tabla1[[#This Row],[MONTO]],Tabla1[[#This Row],[MONTO]]*3.56)</f>
        <v>549.20000000000005</v>
      </c>
      <c r="X670" t="s">
        <v>81</v>
      </c>
      <c r="Y670" t="s">
        <v>42</v>
      </c>
      <c r="Z670" t="s">
        <v>43</v>
      </c>
      <c r="AA670" t="s">
        <v>5229</v>
      </c>
      <c r="AB670" t="s">
        <v>5230</v>
      </c>
      <c r="AC670" t="s">
        <v>5231</v>
      </c>
      <c r="AD670" t="s">
        <v>5232</v>
      </c>
      <c r="AE670">
        <v>549.20000000000005</v>
      </c>
      <c r="AG670" t="s">
        <v>169</v>
      </c>
    </row>
    <row r="671" spans="1:33" hidden="1" x14ac:dyDescent="0.25">
      <c r="A671">
        <v>29850</v>
      </c>
      <c r="B671" t="s">
        <v>32</v>
      </c>
      <c r="C671">
        <v>1</v>
      </c>
      <c r="D671" t="s">
        <v>6386</v>
      </c>
      <c r="E671" t="s">
        <v>70</v>
      </c>
      <c r="F671" t="s">
        <v>33</v>
      </c>
      <c r="G671" t="s">
        <v>71</v>
      </c>
      <c r="H671" t="s">
        <v>72</v>
      </c>
      <c r="I671" t="s">
        <v>6379</v>
      </c>
      <c r="J671" t="s">
        <v>6387</v>
      </c>
      <c r="K671" t="s">
        <v>36</v>
      </c>
      <c r="L671" t="s">
        <v>33</v>
      </c>
      <c r="M671">
        <v>20536557858</v>
      </c>
      <c r="N671" t="s">
        <v>1236</v>
      </c>
      <c r="O671" t="s">
        <v>76</v>
      </c>
      <c r="P671" t="s">
        <v>1237</v>
      </c>
      <c r="Q671" t="s">
        <v>1238</v>
      </c>
      <c r="R671" t="s">
        <v>6388</v>
      </c>
      <c r="S671">
        <v>2048.4</v>
      </c>
      <c r="T671" t="s">
        <v>40</v>
      </c>
      <c r="U671">
        <f>+IF(Tabla1[[#This Row],[MONEDA]]="PEN",Tabla1[[#This Row],[MONTO]],Tabla1[[#This Row],[MONTO]]*3.56)</f>
        <v>2048.4</v>
      </c>
      <c r="X671" t="s">
        <v>81</v>
      </c>
      <c r="Y671" t="s">
        <v>42</v>
      </c>
      <c r="Z671" t="s">
        <v>43</v>
      </c>
      <c r="AA671" t="s">
        <v>6389</v>
      </c>
      <c r="AB671" t="s">
        <v>6390</v>
      </c>
      <c r="AC671" t="s">
        <v>6391</v>
      </c>
      <c r="AD671" t="s">
        <v>6392</v>
      </c>
      <c r="AE671">
        <v>2048.4</v>
      </c>
      <c r="AF671" t="s">
        <v>87</v>
      </c>
      <c r="AG671" t="s">
        <v>169</v>
      </c>
    </row>
    <row r="672" spans="1:33" hidden="1" x14ac:dyDescent="0.25">
      <c r="A672">
        <v>30090</v>
      </c>
      <c r="B672" t="s">
        <v>32</v>
      </c>
      <c r="C672">
        <v>1</v>
      </c>
      <c r="D672" t="s">
        <v>6409</v>
      </c>
      <c r="E672" t="s">
        <v>70</v>
      </c>
      <c r="F672" t="s">
        <v>33</v>
      </c>
      <c r="G672" t="s">
        <v>71</v>
      </c>
      <c r="H672" t="s">
        <v>35</v>
      </c>
      <c r="I672" t="s">
        <v>6410</v>
      </c>
      <c r="J672" t="s">
        <v>6411</v>
      </c>
      <c r="K672" t="s">
        <v>36</v>
      </c>
      <c r="L672" t="s">
        <v>33</v>
      </c>
      <c r="M672">
        <v>20536557858</v>
      </c>
      <c r="N672" t="s">
        <v>1236</v>
      </c>
      <c r="O672" t="s">
        <v>76</v>
      </c>
      <c r="P672" t="s">
        <v>1237</v>
      </c>
      <c r="Q672" t="s">
        <v>1238</v>
      </c>
      <c r="R672" t="s">
        <v>6412</v>
      </c>
      <c r="S672">
        <v>322.82</v>
      </c>
      <c r="T672" t="s">
        <v>40</v>
      </c>
      <c r="U672">
        <f>+IF(Tabla1[[#This Row],[MONEDA]]="PEN",Tabla1[[#This Row],[MONTO]],Tabla1[[#This Row],[MONTO]]*3.56)</f>
        <v>322.82</v>
      </c>
      <c r="X672" t="s">
        <v>81</v>
      </c>
      <c r="Y672" t="s">
        <v>42</v>
      </c>
      <c r="Z672" t="s">
        <v>43</v>
      </c>
      <c r="AA672" t="s">
        <v>6413</v>
      </c>
      <c r="AB672" t="s">
        <v>6414</v>
      </c>
      <c r="AC672" t="s">
        <v>6415</v>
      </c>
      <c r="AD672" t="s">
        <v>6416</v>
      </c>
      <c r="AE672">
        <v>322.82</v>
      </c>
      <c r="AF672" t="s">
        <v>87</v>
      </c>
      <c r="AG672" t="s">
        <v>169</v>
      </c>
    </row>
    <row r="673" spans="1:33" hidden="1" x14ac:dyDescent="0.25">
      <c r="A673">
        <v>27248</v>
      </c>
      <c r="B673" t="s">
        <v>32</v>
      </c>
      <c r="C673">
        <v>1</v>
      </c>
      <c r="D673" t="s">
        <v>8627</v>
      </c>
      <c r="E673" t="s">
        <v>70</v>
      </c>
      <c r="F673" t="s">
        <v>33</v>
      </c>
      <c r="G673" t="s">
        <v>71</v>
      </c>
      <c r="H673" t="s">
        <v>72</v>
      </c>
      <c r="I673" t="s">
        <v>8620</v>
      </c>
      <c r="J673" t="s">
        <v>8628</v>
      </c>
      <c r="K673" t="s">
        <v>36</v>
      </c>
      <c r="L673" t="s">
        <v>33</v>
      </c>
      <c r="M673">
        <v>20536557858</v>
      </c>
      <c r="N673" t="s">
        <v>1236</v>
      </c>
      <c r="O673" t="s">
        <v>76</v>
      </c>
      <c r="P673" t="s">
        <v>1237</v>
      </c>
      <c r="Q673" t="s">
        <v>1238</v>
      </c>
      <c r="R673" t="s">
        <v>8629</v>
      </c>
      <c r="S673">
        <v>239</v>
      </c>
      <c r="T673" t="s">
        <v>40</v>
      </c>
      <c r="U673">
        <f>+IF(Tabla1[[#This Row],[MONEDA]]="PEN",Tabla1[[#This Row],[MONTO]],Tabla1[[#This Row],[MONTO]]*3.56)</f>
        <v>239</v>
      </c>
      <c r="X673" t="s">
        <v>81</v>
      </c>
      <c r="Y673" t="s">
        <v>42</v>
      </c>
      <c r="Z673" t="s">
        <v>43</v>
      </c>
      <c r="AA673" t="s">
        <v>8630</v>
      </c>
      <c r="AB673" t="s">
        <v>8631</v>
      </c>
      <c r="AC673" t="s">
        <v>8632</v>
      </c>
      <c r="AD673" t="s">
        <v>8633</v>
      </c>
      <c r="AE673">
        <v>239</v>
      </c>
      <c r="AF673" t="s">
        <v>87</v>
      </c>
      <c r="AG673" t="s">
        <v>169</v>
      </c>
    </row>
    <row r="674" spans="1:33" hidden="1" x14ac:dyDescent="0.25">
      <c r="A674">
        <v>26809</v>
      </c>
      <c r="B674" t="s">
        <v>32</v>
      </c>
      <c r="C674">
        <v>2</v>
      </c>
      <c r="D674" t="s">
        <v>9042</v>
      </c>
      <c r="E674" t="s">
        <v>70</v>
      </c>
      <c r="F674" t="s">
        <v>33</v>
      </c>
      <c r="G674" t="s">
        <v>71</v>
      </c>
      <c r="H674" t="s">
        <v>72</v>
      </c>
      <c r="I674" t="s">
        <v>9043</v>
      </c>
      <c r="J674" t="s">
        <v>9044</v>
      </c>
      <c r="K674" t="s">
        <v>36</v>
      </c>
      <c r="L674" t="s">
        <v>33</v>
      </c>
      <c r="M674">
        <v>20536557858</v>
      </c>
      <c r="N674" t="s">
        <v>1236</v>
      </c>
      <c r="O674" t="s">
        <v>76</v>
      </c>
      <c r="R674" t="s">
        <v>9045</v>
      </c>
      <c r="S674">
        <v>279</v>
      </c>
      <c r="T674" t="s">
        <v>40</v>
      </c>
      <c r="U674">
        <f>+IF(Tabla1[[#This Row],[MONEDA]]="PEN",Tabla1[[#This Row],[MONTO]],Tabla1[[#This Row],[MONTO]]*3.56)</f>
        <v>279</v>
      </c>
      <c r="V674" t="s">
        <v>190</v>
      </c>
      <c r="W674">
        <v>26301</v>
      </c>
      <c r="X674" t="s">
        <v>81</v>
      </c>
      <c r="Y674" t="s">
        <v>42</v>
      </c>
      <c r="Z674" t="s">
        <v>43</v>
      </c>
      <c r="AA674" t="s">
        <v>9046</v>
      </c>
      <c r="AC674" t="s">
        <v>9047</v>
      </c>
      <c r="AD674" t="s">
        <v>9048</v>
      </c>
    </row>
    <row r="675" spans="1:33" hidden="1" x14ac:dyDescent="0.25">
      <c r="A675">
        <v>25683</v>
      </c>
      <c r="B675" t="s">
        <v>32</v>
      </c>
      <c r="C675">
        <v>1</v>
      </c>
      <c r="D675" t="s">
        <v>9688</v>
      </c>
      <c r="E675" t="s">
        <v>70</v>
      </c>
      <c r="F675" t="s">
        <v>33</v>
      </c>
      <c r="G675" t="s">
        <v>71</v>
      </c>
      <c r="H675" t="s">
        <v>72</v>
      </c>
      <c r="I675" t="s">
        <v>9631</v>
      </c>
      <c r="J675" t="s">
        <v>9689</v>
      </c>
      <c r="K675" t="s">
        <v>36</v>
      </c>
      <c r="L675" t="s">
        <v>33</v>
      </c>
      <c r="M675">
        <v>20536557858</v>
      </c>
      <c r="N675" t="s">
        <v>1236</v>
      </c>
      <c r="O675" t="s">
        <v>76</v>
      </c>
      <c r="P675" t="s">
        <v>1237</v>
      </c>
      <c r="Q675" t="s">
        <v>1238</v>
      </c>
      <c r="R675" t="s">
        <v>9690</v>
      </c>
      <c r="S675">
        <v>149.9</v>
      </c>
      <c r="T675" t="s">
        <v>40</v>
      </c>
      <c r="U675">
        <f>+IF(Tabla1[[#This Row],[MONEDA]]="PEN",Tabla1[[#This Row],[MONTO]],Tabla1[[#This Row],[MONTO]]*3.56)</f>
        <v>149.9</v>
      </c>
      <c r="X675" t="s">
        <v>81</v>
      </c>
      <c r="Y675" t="s">
        <v>42</v>
      </c>
      <c r="Z675" t="s">
        <v>82</v>
      </c>
      <c r="AA675" t="s">
        <v>9691</v>
      </c>
      <c r="AB675" t="s">
        <v>9692</v>
      </c>
      <c r="AC675" t="s">
        <v>9693</v>
      </c>
      <c r="AD675" t="s">
        <v>9694</v>
      </c>
      <c r="AE675">
        <v>149.9</v>
      </c>
      <c r="AF675" t="s">
        <v>87</v>
      </c>
      <c r="AG675" t="s">
        <v>169</v>
      </c>
    </row>
    <row r="676" spans="1:33" hidden="1" x14ac:dyDescent="0.25">
      <c r="A676">
        <v>25267</v>
      </c>
      <c r="B676" t="s">
        <v>32</v>
      </c>
      <c r="C676">
        <v>1</v>
      </c>
      <c r="D676" t="s">
        <v>10036</v>
      </c>
      <c r="E676" t="s">
        <v>70</v>
      </c>
      <c r="F676" t="s">
        <v>33</v>
      </c>
      <c r="G676" t="s">
        <v>71</v>
      </c>
      <c r="H676" t="s">
        <v>72</v>
      </c>
      <c r="I676" t="s">
        <v>10018</v>
      </c>
      <c r="J676" t="s">
        <v>10037</v>
      </c>
      <c r="K676" t="s">
        <v>36</v>
      </c>
      <c r="L676" t="s">
        <v>33</v>
      </c>
      <c r="M676">
        <v>20536557858</v>
      </c>
      <c r="N676" t="s">
        <v>1236</v>
      </c>
      <c r="O676" t="s">
        <v>76</v>
      </c>
      <c r="P676" t="s">
        <v>1237</v>
      </c>
      <c r="Q676" t="s">
        <v>1238</v>
      </c>
      <c r="R676" t="s">
        <v>10038</v>
      </c>
      <c r="S676">
        <v>1795.8</v>
      </c>
      <c r="T676" t="s">
        <v>40</v>
      </c>
      <c r="U676">
        <f>+IF(Tabla1[[#This Row],[MONEDA]]="PEN",Tabla1[[#This Row],[MONTO]],Tabla1[[#This Row],[MONTO]]*3.56)</f>
        <v>1795.8</v>
      </c>
      <c r="X676" t="s">
        <v>81</v>
      </c>
      <c r="Y676" t="s">
        <v>42</v>
      </c>
      <c r="Z676" t="s">
        <v>43</v>
      </c>
      <c r="AA676" t="s">
        <v>10039</v>
      </c>
      <c r="AB676" t="s">
        <v>10040</v>
      </c>
      <c r="AC676" t="s">
        <v>10041</v>
      </c>
      <c r="AD676" t="s">
        <v>10042</v>
      </c>
      <c r="AE676">
        <v>1795.8</v>
      </c>
      <c r="AF676" t="s">
        <v>87</v>
      </c>
      <c r="AG676" t="s">
        <v>169</v>
      </c>
    </row>
    <row r="677" spans="1:33" hidden="1" x14ac:dyDescent="0.25">
      <c r="A677">
        <v>24365</v>
      </c>
      <c r="B677" t="s">
        <v>32</v>
      </c>
      <c r="C677">
        <v>1</v>
      </c>
      <c r="D677" t="s">
        <v>10459</v>
      </c>
      <c r="E677" t="s">
        <v>70</v>
      </c>
      <c r="F677" t="s">
        <v>33</v>
      </c>
      <c r="G677" t="s">
        <v>71</v>
      </c>
      <c r="H677" t="s">
        <v>72</v>
      </c>
      <c r="I677" t="s">
        <v>10460</v>
      </c>
      <c r="J677" t="s">
        <v>10481</v>
      </c>
      <c r="K677" t="s">
        <v>36</v>
      </c>
      <c r="L677" t="s">
        <v>33</v>
      </c>
      <c r="M677">
        <v>20536557858</v>
      </c>
      <c r="N677" t="s">
        <v>1236</v>
      </c>
      <c r="O677" t="s">
        <v>76</v>
      </c>
      <c r="R677" t="s">
        <v>10482</v>
      </c>
      <c r="S677">
        <v>40.9</v>
      </c>
      <c r="T677" t="s">
        <v>40</v>
      </c>
      <c r="U677">
        <f>+IF(Tabla1[[#This Row],[MONEDA]]="PEN",Tabla1[[#This Row],[MONTO]],Tabla1[[#This Row],[MONTO]]*3.56)</f>
        <v>40.9</v>
      </c>
      <c r="V677" t="s">
        <v>190</v>
      </c>
      <c r="W677">
        <v>23138</v>
      </c>
      <c r="X677" t="s">
        <v>81</v>
      </c>
      <c r="Y677" t="s">
        <v>42</v>
      </c>
      <c r="Z677" t="s">
        <v>82</v>
      </c>
      <c r="AA677" t="s">
        <v>10483</v>
      </c>
      <c r="AD677" t="s">
        <v>10484</v>
      </c>
    </row>
    <row r="678" spans="1:33" hidden="1" x14ac:dyDescent="0.25">
      <c r="A678">
        <v>23226</v>
      </c>
      <c r="B678" t="s">
        <v>32</v>
      </c>
      <c r="C678">
        <v>1</v>
      </c>
      <c r="D678" t="s">
        <v>11469</v>
      </c>
      <c r="E678" t="s">
        <v>70</v>
      </c>
      <c r="F678" t="s">
        <v>33</v>
      </c>
      <c r="G678" t="s">
        <v>71</v>
      </c>
      <c r="H678" t="s">
        <v>72</v>
      </c>
      <c r="I678" t="s">
        <v>11470</v>
      </c>
      <c r="J678" t="s">
        <v>11471</v>
      </c>
      <c r="K678" t="s">
        <v>36</v>
      </c>
      <c r="L678" t="s">
        <v>33</v>
      </c>
      <c r="M678">
        <v>20536557858</v>
      </c>
      <c r="N678" t="s">
        <v>1236</v>
      </c>
      <c r="O678" t="s">
        <v>76</v>
      </c>
      <c r="R678" t="s">
        <v>11472</v>
      </c>
      <c r="S678">
        <v>139.80000000000001</v>
      </c>
      <c r="T678" t="s">
        <v>40</v>
      </c>
      <c r="U678">
        <f>+IF(Tabla1[[#This Row],[MONEDA]]="PEN",Tabla1[[#This Row],[MONTO]],Tabla1[[#This Row],[MONTO]]*3.56)</f>
        <v>139.80000000000001</v>
      </c>
      <c r="V678" t="s">
        <v>190</v>
      </c>
      <c r="W678">
        <v>20973</v>
      </c>
      <c r="X678" t="s">
        <v>81</v>
      </c>
      <c r="Y678" t="s">
        <v>42</v>
      </c>
      <c r="Z678" t="s">
        <v>82</v>
      </c>
      <c r="AA678" t="s">
        <v>11466</v>
      </c>
      <c r="AC678" t="s">
        <v>11473</v>
      </c>
      <c r="AD678" t="s">
        <v>11474</v>
      </c>
    </row>
    <row r="679" spans="1:33" hidden="1" x14ac:dyDescent="0.25">
      <c r="A679">
        <v>23112</v>
      </c>
      <c r="B679" t="s">
        <v>32</v>
      </c>
      <c r="C679">
        <v>1</v>
      </c>
      <c r="D679" t="s">
        <v>11558</v>
      </c>
      <c r="E679" t="s">
        <v>70</v>
      </c>
      <c r="F679" t="s">
        <v>33</v>
      </c>
      <c r="G679" t="s">
        <v>71</v>
      </c>
      <c r="H679" t="s">
        <v>72</v>
      </c>
      <c r="I679" t="s">
        <v>11559</v>
      </c>
      <c r="J679" t="s">
        <v>11560</v>
      </c>
      <c r="K679" t="s">
        <v>36</v>
      </c>
      <c r="L679" t="s">
        <v>33</v>
      </c>
      <c r="M679">
        <v>20536557858</v>
      </c>
      <c r="N679" t="s">
        <v>1236</v>
      </c>
      <c r="O679" t="s">
        <v>76</v>
      </c>
      <c r="R679" t="s">
        <v>11561</v>
      </c>
      <c r="S679">
        <v>188.6</v>
      </c>
      <c r="T679" t="s">
        <v>40</v>
      </c>
      <c r="U679">
        <f>+IF(Tabla1[[#This Row],[MONEDA]]="PEN",Tabla1[[#This Row],[MONTO]],Tabla1[[#This Row],[MONTO]]*3.56)</f>
        <v>188.6</v>
      </c>
      <c r="V679" t="s">
        <v>190</v>
      </c>
      <c r="W679">
        <v>20973</v>
      </c>
      <c r="X679" t="s">
        <v>81</v>
      </c>
      <c r="Y679" t="s">
        <v>42</v>
      </c>
      <c r="Z679" t="s">
        <v>82</v>
      </c>
      <c r="AA679" t="s">
        <v>11562</v>
      </c>
      <c r="AC679" t="s">
        <v>11563</v>
      </c>
      <c r="AD679" t="s">
        <v>11564</v>
      </c>
    </row>
    <row r="680" spans="1:33" hidden="1" x14ac:dyDescent="0.25">
      <c r="A680">
        <v>21463</v>
      </c>
      <c r="B680" t="s">
        <v>32</v>
      </c>
      <c r="C680">
        <v>1</v>
      </c>
      <c r="D680" t="s">
        <v>12443</v>
      </c>
      <c r="E680" t="s">
        <v>70</v>
      </c>
      <c r="F680" t="s">
        <v>33</v>
      </c>
      <c r="G680" t="s">
        <v>71</v>
      </c>
      <c r="H680" t="s">
        <v>72</v>
      </c>
      <c r="I680" t="s">
        <v>12444</v>
      </c>
      <c r="J680" t="s">
        <v>12445</v>
      </c>
      <c r="K680" t="s">
        <v>36</v>
      </c>
      <c r="L680" t="s">
        <v>33</v>
      </c>
      <c r="M680">
        <v>20536557858</v>
      </c>
      <c r="N680" t="s">
        <v>1236</v>
      </c>
      <c r="O680" t="s">
        <v>76</v>
      </c>
      <c r="P680" t="s">
        <v>1237</v>
      </c>
      <c r="Q680" t="s">
        <v>1238</v>
      </c>
      <c r="R680" t="s">
        <v>12446</v>
      </c>
      <c r="S680">
        <v>2272</v>
      </c>
      <c r="T680" t="s">
        <v>40</v>
      </c>
      <c r="U680">
        <f>+IF(Tabla1[[#This Row],[MONEDA]]="PEN",Tabla1[[#This Row],[MONTO]],Tabla1[[#This Row],[MONTO]]*3.56)</f>
        <v>2272</v>
      </c>
      <c r="X680" t="s">
        <v>81</v>
      </c>
      <c r="Y680" t="s">
        <v>42</v>
      </c>
      <c r="Z680" t="s">
        <v>43</v>
      </c>
      <c r="AA680" t="s">
        <v>12447</v>
      </c>
      <c r="AB680" t="s">
        <v>12448</v>
      </c>
      <c r="AC680" t="s">
        <v>12449</v>
      </c>
      <c r="AD680" t="s">
        <v>12450</v>
      </c>
      <c r="AE680">
        <v>2272</v>
      </c>
      <c r="AF680" t="s">
        <v>87</v>
      </c>
      <c r="AG680" t="s">
        <v>169</v>
      </c>
    </row>
    <row r="681" spans="1:33" hidden="1" x14ac:dyDescent="0.25">
      <c r="A681">
        <v>21255</v>
      </c>
      <c r="B681" t="s">
        <v>32</v>
      </c>
      <c r="C681">
        <v>1</v>
      </c>
      <c r="D681" t="s">
        <v>12616</v>
      </c>
      <c r="E681" t="s">
        <v>70</v>
      </c>
      <c r="F681" t="s">
        <v>33</v>
      </c>
      <c r="G681" t="s">
        <v>71</v>
      </c>
      <c r="H681" t="s">
        <v>72</v>
      </c>
      <c r="I681" t="s">
        <v>12608</v>
      </c>
      <c r="J681" t="s">
        <v>12617</v>
      </c>
      <c r="K681" t="s">
        <v>36</v>
      </c>
      <c r="L681" t="s">
        <v>33</v>
      </c>
      <c r="M681">
        <v>20536557858</v>
      </c>
      <c r="N681" t="s">
        <v>1236</v>
      </c>
      <c r="O681" t="s">
        <v>76</v>
      </c>
      <c r="P681" t="s">
        <v>1237</v>
      </c>
      <c r="Q681" t="s">
        <v>1238</v>
      </c>
      <c r="R681" t="s">
        <v>12618</v>
      </c>
      <c r="S681">
        <v>3900</v>
      </c>
      <c r="T681" t="s">
        <v>40</v>
      </c>
      <c r="U681">
        <f>+IF(Tabla1[[#This Row],[MONEDA]]="PEN",Tabla1[[#This Row],[MONTO]],Tabla1[[#This Row],[MONTO]]*3.56)</f>
        <v>3900</v>
      </c>
      <c r="X681" t="s">
        <v>828</v>
      </c>
      <c r="Y681" t="s">
        <v>42</v>
      </c>
      <c r="Z681" t="s">
        <v>43</v>
      </c>
      <c r="AA681" t="s">
        <v>12619</v>
      </c>
      <c r="AB681" t="s">
        <v>12620</v>
      </c>
      <c r="AC681" t="s">
        <v>12621</v>
      </c>
      <c r="AD681" t="s">
        <v>12622</v>
      </c>
      <c r="AE681">
        <v>3900</v>
      </c>
      <c r="AF681" t="s">
        <v>87</v>
      </c>
      <c r="AG681" t="s">
        <v>169</v>
      </c>
    </row>
    <row r="682" spans="1:33" hidden="1" x14ac:dyDescent="0.25">
      <c r="A682">
        <v>20895</v>
      </c>
      <c r="B682" t="s">
        <v>32</v>
      </c>
      <c r="C682">
        <v>1</v>
      </c>
      <c r="D682" t="s">
        <v>12782</v>
      </c>
      <c r="E682" t="s">
        <v>70</v>
      </c>
      <c r="F682" t="s">
        <v>33</v>
      </c>
      <c r="G682" t="s">
        <v>71</v>
      </c>
      <c r="H682" t="s">
        <v>72</v>
      </c>
      <c r="I682" t="s">
        <v>12783</v>
      </c>
      <c r="J682" t="s">
        <v>12784</v>
      </c>
      <c r="K682" t="s">
        <v>36</v>
      </c>
      <c r="L682" t="s">
        <v>33</v>
      </c>
      <c r="M682">
        <v>20536557858</v>
      </c>
      <c r="N682" t="s">
        <v>1236</v>
      </c>
      <c r="O682" t="s">
        <v>76</v>
      </c>
      <c r="P682" t="s">
        <v>1237</v>
      </c>
      <c r="Q682" t="s">
        <v>1238</v>
      </c>
      <c r="R682" t="s">
        <v>12785</v>
      </c>
      <c r="S682">
        <v>4974.45</v>
      </c>
      <c r="T682" t="s">
        <v>40</v>
      </c>
      <c r="U682">
        <f>+IF(Tabla1[[#This Row],[MONEDA]]="PEN",Tabla1[[#This Row],[MONTO]],Tabla1[[#This Row],[MONTO]]*3.56)</f>
        <v>4974.45</v>
      </c>
      <c r="X682" t="s">
        <v>81</v>
      </c>
      <c r="Y682" t="s">
        <v>42</v>
      </c>
      <c r="Z682" t="s">
        <v>43</v>
      </c>
      <c r="AA682" t="s">
        <v>12786</v>
      </c>
      <c r="AB682" t="s">
        <v>12787</v>
      </c>
      <c r="AC682" t="s">
        <v>12788</v>
      </c>
      <c r="AD682" t="s">
        <v>12789</v>
      </c>
      <c r="AE682">
        <v>4974.45</v>
      </c>
      <c r="AF682" t="s">
        <v>87</v>
      </c>
      <c r="AG682" t="s">
        <v>169</v>
      </c>
    </row>
    <row r="683" spans="1:33" x14ac:dyDescent="0.25">
      <c r="A683">
        <v>38947</v>
      </c>
      <c r="B683" t="s">
        <v>32</v>
      </c>
      <c r="C683">
        <v>1</v>
      </c>
      <c r="D683" t="s">
        <v>2644</v>
      </c>
      <c r="E683" t="s">
        <v>70</v>
      </c>
      <c r="F683" t="s">
        <v>90</v>
      </c>
      <c r="G683" t="s">
        <v>91</v>
      </c>
      <c r="H683" t="s">
        <v>35</v>
      </c>
      <c r="I683" t="s">
        <v>2624</v>
      </c>
      <c r="J683" t="s">
        <v>2645</v>
      </c>
      <c r="K683" t="s">
        <v>36</v>
      </c>
      <c r="L683" t="s">
        <v>33</v>
      </c>
      <c r="M683">
        <v>20605349812</v>
      </c>
      <c r="N683" t="s">
        <v>430</v>
      </c>
      <c r="P683" t="s">
        <v>38</v>
      </c>
      <c r="Q683" t="s">
        <v>431</v>
      </c>
      <c r="R683" t="s">
        <v>2646</v>
      </c>
      <c r="S683">
        <v>41846.339999999997</v>
      </c>
      <c r="T683" t="s">
        <v>40</v>
      </c>
      <c r="U683">
        <f>+IF(Tabla1[[#This Row],[MONEDA]]="PEN",Tabla1[[#This Row],[MONTO]],Tabla1[[#This Row],[MONTO]]*3.56)</f>
        <v>41846.339999999997</v>
      </c>
      <c r="X683" t="s">
        <v>41</v>
      </c>
      <c r="Y683" t="s">
        <v>51</v>
      </c>
      <c r="Z683" t="s">
        <v>43</v>
      </c>
      <c r="AA683" t="s">
        <v>2647</v>
      </c>
      <c r="AB683" t="s">
        <v>2648</v>
      </c>
      <c r="AC683" t="s">
        <v>2649</v>
      </c>
      <c r="AD683" t="s">
        <v>2650</v>
      </c>
      <c r="AE683">
        <v>36824.78</v>
      </c>
      <c r="AF683" t="s">
        <v>87</v>
      </c>
      <c r="AG683" t="s">
        <v>169</v>
      </c>
    </row>
    <row r="684" spans="1:33" x14ac:dyDescent="0.25">
      <c r="A684">
        <v>38959</v>
      </c>
      <c r="B684" t="s">
        <v>32</v>
      </c>
      <c r="C684">
        <v>1</v>
      </c>
      <c r="D684" t="s">
        <v>2665</v>
      </c>
      <c r="E684" t="s">
        <v>70</v>
      </c>
      <c r="F684" t="s">
        <v>90</v>
      </c>
      <c r="G684" t="s">
        <v>91</v>
      </c>
      <c r="H684" t="s">
        <v>35</v>
      </c>
      <c r="I684" t="s">
        <v>2624</v>
      </c>
      <c r="J684" t="s">
        <v>2666</v>
      </c>
      <c r="K684" t="s">
        <v>36</v>
      </c>
      <c r="L684" t="s">
        <v>33</v>
      </c>
      <c r="M684">
        <v>20605349812</v>
      </c>
      <c r="N684" t="s">
        <v>430</v>
      </c>
      <c r="P684" t="s">
        <v>38</v>
      </c>
      <c r="Q684" t="s">
        <v>431</v>
      </c>
      <c r="R684" t="s">
        <v>2667</v>
      </c>
      <c r="S684">
        <v>39909.96</v>
      </c>
      <c r="T684" t="s">
        <v>40</v>
      </c>
      <c r="U684">
        <f>+IF(Tabla1[[#This Row],[MONEDA]]="PEN",Tabla1[[#This Row],[MONTO]],Tabla1[[#This Row],[MONTO]]*3.56)</f>
        <v>39909.96</v>
      </c>
      <c r="X684" t="s">
        <v>41</v>
      </c>
      <c r="Y684" t="s">
        <v>42</v>
      </c>
      <c r="Z684" t="s">
        <v>82</v>
      </c>
      <c r="AA684" t="s">
        <v>1123</v>
      </c>
      <c r="AB684" t="s">
        <v>2668</v>
      </c>
      <c r="AC684" t="s">
        <v>2669</v>
      </c>
      <c r="AD684" t="s">
        <v>2670</v>
      </c>
      <c r="AE684">
        <v>35120.76</v>
      </c>
      <c r="AF684" t="s">
        <v>87</v>
      </c>
      <c r="AG684" t="s">
        <v>169</v>
      </c>
    </row>
    <row r="685" spans="1:33" x14ac:dyDescent="0.25">
      <c r="A685">
        <v>33920</v>
      </c>
      <c r="B685" t="s">
        <v>32</v>
      </c>
      <c r="C685">
        <v>4</v>
      </c>
      <c r="D685" t="s">
        <v>4347</v>
      </c>
      <c r="E685" t="s">
        <v>70</v>
      </c>
      <c r="F685" t="s">
        <v>90</v>
      </c>
      <c r="G685" t="s">
        <v>91</v>
      </c>
      <c r="H685" t="s">
        <v>72</v>
      </c>
      <c r="I685" t="s">
        <v>4340</v>
      </c>
      <c r="J685" t="s">
        <v>4348</v>
      </c>
      <c r="K685" t="s">
        <v>36</v>
      </c>
      <c r="L685" t="s">
        <v>33</v>
      </c>
      <c r="M685">
        <v>20605349812</v>
      </c>
      <c r="N685" t="s">
        <v>430</v>
      </c>
      <c r="P685" t="s">
        <v>38</v>
      </c>
      <c r="Q685" t="s">
        <v>431</v>
      </c>
      <c r="R685" t="s">
        <v>4349</v>
      </c>
      <c r="S685">
        <v>39135.879999999997</v>
      </c>
      <c r="T685" t="s">
        <v>40</v>
      </c>
      <c r="U685">
        <f>+IF(Tabla1[[#This Row],[MONEDA]]="PEN",Tabla1[[#This Row],[MONTO]],Tabla1[[#This Row],[MONTO]]*3.56)</f>
        <v>39135.879999999997</v>
      </c>
      <c r="X685" t="s">
        <v>41</v>
      </c>
      <c r="Y685" t="s">
        <v>42</v>
      </c>
      <c r="Z685" t="s">
        <v>43</v>
      </c>
      <c r="AA685" t="s">
        <v>4350</v>
      </c>
      <c r="AB685" t="s">
        <v>4351</v>
      </c>
      <c r="AC685" t="s">
        <v>4352</v>
      </c>
      <c r="AD685" t="s">
        <v>4353</v>
      </c>
      <c r="AE685">
        <v>34439.57</v>
      </c>
      <c r="AF685" t="s">
        <v>87</v>
      </c>
      <c r="AG685" t="s">
        <v>169</v>
      </c>
    </row>
    <row r="686" spans="1:33" x14ac:dyDescent="0.25">
      <c r="A686">
        <v>33922</v>
      </c>
      <c r="B686" t="s">
        <v>32</v>
      </c>
      <c r="C686">
        <v>5</v>
      </c>
      <c r="D686" t="s">
        <v>4354</v>
      </c>
      <c r="E686" t="s">
        <v>70</v>
      </c>
      <c r="F686" t="s">
        <v>90</v>
      </c>
      <c r="G686" t="s">
        <v>91</v>
      </c>
      <c r="H686" t="s">
        <v>72</v>
      </c>
      <c r="I686" t="s">
        <v>4340</v>
      </c>
      <c r="J686" t="s">
        <v>4355</v>
      </c>
      <c r="K686" t="s">
        <v>36</v>
      </c>
      <c r="L686" t="s">
        <v>33</v>
      </c>
      <c r="M686">
        <v>20605349812</v>
      </c>
      <c r="N686" t="s">
        <v>430</v>
      </c>
      <c r="P686" t="s">
        <v>38</v>
      </c>
      <c r="Q686" t="s">
        <v>431</v>
      </c>
      <c r="R686" t="s">
        <v>4356</v>
      </c>
      <c r="S686">
        <v>37639.64</v>
      </c>
      <c r="T686" t="s">
        <v>40</v>
      </c>
      <c r="U686">
        <f>+IF(Tabla1[[#This Row],[MONEDA]]="PEN",Tabla1[[#This Row],[MONTO]],Tabla1[[#This Row],[MONTO]]*3.56)</f>
        <v>37639.64</v>
      </c>
      <c r="X686" t="s">
        <v>41</v>
      </c>
      <c r="Y686" t="s">
        <v>42</v>
      </c>
      <c r="Z686" t="s">
        <v>82</v>
      </c>
      <c r="AA686" t="s">
        <v>4357</v>
      </c>
      <c r="AB686" t="s">
        <v>4358</v>
      </c>
      <c r="AC686" t="s">
        <v>4359</v>
      </c>
      <c r="AD686" t="s">
        <v>4360</v>
      </c>
      <c r="AE686">
        <v>33122.879999999997</v>
      </c>
      <c r="AF686" t="s">
        <v>87</v>
      </c>
      <c r="AG686" t="s">
        <v>169</v>
      </c>
    </row>
    <row r="687" spans="1:33" x14ac:dyDescent="0.25">
      <c r="A687">
        <v>28162</v>
      </c>
      <c r="B687" t="s">
        <v>32</v>
      </c>
      <c r="C687">
        <v>5</v>
      </c>
      <c r="D687" t="s">
        <v>6978</v>
      </c>
      <c r="E687" t="s">
        <v>70</v>
      </c>
      <c r="F687" t="s">
        <v>90</v>
      </c>
      <c r="G687" t="s">
        <v>91</v>
      </c>
      <c r="H687" t="s">
        <v>72</v>
      </c>
      <c r="I687" t="s">
        <v>6972</v>
      </c>
      <c r="J687" t="s">
        <v>6979</v>
      </c>
      <c r="K687" t="s">
        <v>36</v>
      </c>
      <c r="L687" t="s">
        <v>33</v>
      </c>
      <c r="M687">
        <v>20605349812</v>
      </c>
      <c r="N687" t="s">
        <v>430</v>
      </c>
      <c r="P687" t="s">
        <v>38</v>
      </c>
      <c r="Q687" t="s">
        <v>431</v>
      </c>
      <c r="R687" t="s">
        <v>6980</v>
      </c>
      <c r="S687">
        <v>33276</v>
      </c>
      <c r="T687" t="s">
        <v>40</v>
      </c>
      <c r="U687">
        <f>+IF(Tabla1[[#This Row],[MONEDA]]="PEN",Tabla1[[#This Row],[MONTO]],Tabla1[[#This Row],[MONTO]]*3.56)</f>
        <v>33276</v>
      </c>
      <c r="X687" t="s">
        <v>41</v>
      </c>
      <c r="Y687" t="s">
        <v>42</v>
      </c>
      <c r="Z687" t="s">
        <v>43</v>
      </c>
      <c r="AA687" t="s">
        <v>6981</v>
      </c>
      <c r="AC687" t="s">
        <v>6982</v>
      </c>
      <c r="AD687" t="s">
        <v>6983</v>
      </c>
      <c r="AE687">
        <v>29282.880000000001</v>
      </c>
      <c r="AF687" t="s">
        <v>87</v>
      </c>
      <c r="AG687" t="s">
        <v>169</v>
      </c>
    </row>
    <row r="688" spans="1:33" x14ac:dyDescent="0.25">
      <c r="A688">
        <v>28164</v>
      </c>
      <c r="B688" t="s">
        <v>32</v>
      </c>
      <c r="C688">
        <v>1</v>
      </c>
      <c r="D688" t="s">
        <v>7597</v>
      </c>
      <c r="E688" t="s">
        <v>70</v>
      </c>
      <c r="F688" t="s">
        <v>90</v>
      </c>
      <c r="G688" t="s">
        <v>91</v>
      </c>
      <c r="H688" t="s">
        <v>72</v>
      </c>
      <c r="I688" t="s">
        <v>7531</v>
      </c>
      <c r="J688" t="s">
        <v>7598</v>
      </c>
      <c r="K688" t="s">
        <v>36</v>
      </c>
      <c r="L688" t="s">
        <v>33</v>
      </c>
      <c r="M688">
        <v>20605349812</v>
      </c>
      <c r="N688" t="s">
        <v>430</v>
      </c>
      <c r="P688" t="s">
        <v>38</v>
      </c>
      <c r="Q688" t="s">
        <v>431</v>
      </c>
      <c r="R688" t="s">
        <v>7599</v>
      </c>
      <c r="S688">
        <v>5664</v>
      </c>
      <c r="T688" t="s">
        <v>40</v>
      </c>
      <c r="U688">
        <f>+IF(Tabla1[[#This Row],[MONEDA]]="PEN",Tabla1[[#This Row],[MONTO]],Tabla1[[#This Row],[MONTO]]*3.56)</f>
        <v>5664</v>
      </c>
      <c r="X688" t="s">
        <v>41</v>
      </c>
      <c r="Y688" t="s">
        <v>42</v>
      </c>
      <c r="Z688" t="s">
        <v>43</v>
      </c>
      <c r="AA688" t="s">
        <v>7600</v>
      </c>
      <c r="AB688" t="s">
        <v>7601</v>
      </c>
      <c r="AC688" t="s">
        <v>7602</v>
      </c>
      <c r="AD688" t="s">
        <v>7603</v>
      </c>
      <c r="AE688">
        <v>4984.32</v>
      </c>
      <c r="AG688" t="s">
        <v>169</v>
      </c>
    </row>
    <row r="689" spans="1:33" x14ac:dyDescent="0.25">
      <c r="A689">
        <v>27271</v>
      </c>
      <c r="B689" t="s">
        <v>32</v>
      </c>
      <c r="C689">
        <v>1</v>
      </c>
      <c r="D689" t="s">
        <v>8440</v>
      </c>
      <c r="E689" t="s">
        <v>70</v>
      </c>
      <c r="F689" t="s">
        <v>90</v>
      </c>
      <c r="G689" t="s">
        <v>91</v>
      </c>
      <c r="H689" t="s">
        <v>72</v>
      </c>
      <c r="I689" t="s">
        <v>8412</v>
      </c>
      <c r="J689" t="s">
        <v>8441</v>
      </c>
      <c r="K689" t="s">
        <v>36</v>
      </c>
      <c r="L689" t="s">
        <v>33</v>
      </c>
      <c r="M689">
        <v>20605349812</v>
      </c>
      <c r="N689" t="s">
        <v>430</v>
      </c>
      <c r="O689" t="s">
        <v>1747</v>
      </c>
      <c r="P689" t="s">
        <v>38</v>
      </c>
      <c r="Q689" t="s">
        <v>431</v>
      </c>
      <c r="R689" t="s">
        <v>8442</v>
      </c>
      <c r="S689">
        <v>19652.900000000001</v>
      </c>
      <c r="T689" t="s">
        <v>40</v>
      </c>
      <c r="U689">
        <f>+IF(Tabla1[[#This Row],[MONEDA]]="PEN",Tabla1[[#This Row],[MONTO]],Tabla1[[#This Row],[MONTO]]*3.56)</f>
        <v>19652.900000000001</v>
      </c>
      <c r="X689" t="s">
        <v>41</v>
      </c>
      <c r="Y689" t="s">
        <v>42</v>
      </c>
      <c r="Z689" t="s">
        <v>43</v>
      </c>
      <c r="AA689" t="s">
        <v>8443</v>
      </c>
      <c r="AB689" t="s">
        <v>8444</v>
      </c>
      <c r="AC689" t="s">
        <v>8445</v>
      </c>
      <c r="AD689" t="s">
        <v>8446</v>
      </c>
      <c r="AE689">
        <v>17294.55</v>
      </c>
      <c r="AF689" t="s">
        <v>87</v>
      </c>
      <c r="AG689" t="s">
        <v>169</v>
      </c>
    </row>
    <row r="690" spans="1:33" hidden="1" x14ac:dyDescent="0.25">
      <c r="A690">
        <v>44981</v>
      </c>
      <c r="B690" t="s">
        <v>32</v>
      </c>
      <c r="C690">
        <v>5</v>
      </c>
      <c r="D690" t="s">
        <v>428</v>
      </c>
      <c r="E690" t="s">
        <v>45</v>
      </c>
      <c r="F690" t="s">
        <v>33</v>
      </c>
      <c r="G690" t="s">
        <v>34</v>
      </c>
      <c r="H690" t="s">
        <v>35</v>
      </c>
      <c r="I690" t="s">
        <v>368</v>
      </c>
      <c r="J690" t="s">
        <v>429</v>
      </c>
      <c r="K690" t="s">
        <v>36</v>
      </c>
      <c r="L690" t="s">
        <v>33</v>
      </c>
      <c r="M690">
        <v>20605349812</v>
      </c>
      <c r="N690" t="s">
        <v>430</v>
      </c>
      <c r="P690" t="s">
        <v>38</v>
      </c>
      <c r="Q690" t="s">
        <v>431</v>
      </c>
      <c r="R690" t="s">
        <v>432</v>
      </c>
      <c r="S690">
        <v>40437.42</v>
      </c>
      <c r="T690" t="s">
        <v>40</v>
      </c>
      <c r="U690">
        <f>+IF(Tabla1[[#This Row],[MONEDA]]="PEN",Tabla1[[#This Row],[MONTO]],Tabla1[[#This Row],[MONTO]]*3.56)</f>
        <v>40437.42</v>
      </c>
      <c r="X690" t="s">
        <v>41</v>
      </c>
      <c r="Y690" t="s">
        <v>51</v>
      </c>
      <c r="Z690" t="s">
        <v>43</v>
      </c>
      <c r="AB690" t="s">
        <v>433</v>
      </c>
      <c r="AD690" t="s">
        <v>434</v>
      </c>
    </row>
    <row r="691" spans="1:33" hidden="1" x14ac:dyDescent="0.25">
      <c r="A691">
        <v>44057</v>
      </c>
      <c r="B691" t="s">
        <v>32</v>
      </c>
      <c r="C691">
        <v>5</v>
      </c>
      <c r="D691" t="s">
        <v>463</v>
      </c>
      <c r="E691" t="s">
        <v>45</v>
      </c>
      <c r="F691" t="s">
        <v>33</v>
      </c>
      <c r="G691" t="s">
        <v>34</v>
      </c>
      <c r="H691" t="s">
        <v>35</v>
      </c>
      <c r="I691" t="s">
        <v>464</v>
      </c>
      <c r="J691" t="s">
        <v>465</v>
      </c>
      <c r="K691" t="s">
        <v>36</v>
      </c>
      <c r="L691" t="s">
        <v>33</v>
      </c>
      <c r="M691">
        <v>20605349812</v>
      </c>
      <c r="N691" t="s">
        <v>430</v>
      </c>
      <c r="P691" t="s">
        <v>38</v>
      </c>
      <c r="Q691" t="s">
        <v>431</v>
      </c>
      <c r="R691" t="s">
        <v>466</v>
      </c>
      <c r="S691">
        <v>46239.45</v>
      </c>
      <c r="T691" t="s">
        <v>40</v>
      </c>
      <c r="U691">
        <f>+IF(Tabla1[[#This Row],[MONEDA]]="PEN",Tabla1[[#This Row],[MONTO]],Tabla1[[#This Row],[MONTO]]*3.56)</f>
        <v>46239.45</v>
      </c>
      <c r="X691" t="s">
        <v>41</v>
      </c>
      <c r="Y691" t="s">
        <v>51</v>
      </c>
      <c r="Z691" t="s">
        <v>43</v>
      </c>
      <c r="AB691" t="s">
        <v>467</v>
      </c>
      <c r="AD691" t="s">
        <v>468</v>
      </c>
    </row>
    <row r="692" spans="1:33" x14ac:dyDescent="0.25">
      <c r="A692">
        <v>39115</v>
      </c>
      <c r="B692" t="s">
        <v>32</v>
      </c>
      <c r="C692">
        <v>1</v>
      </c>
      <c r="D692" t="s">
        <v>2561</v>
      </c>
      <c r="E692" t="s">
        <v>45</v>
      </c>
      <c r="F692" t="s">
        <v>90</v>
      </c>
      <c r="G692" t="s">
        <v>91</v>
      </c>
      <c r="H692" t="s">
        <v>35</v>
      </c>
      <c r="I692" t="s">
        <v>2552</v>
      </c>
      <c r="J692" t="s">
        <v>2562</v>
      </c>
      <c r="K692" t="s">
        <v>36</v>
      </c>
      <c r="L692" t="s">
        <v>33</v>
      </c>
      <c r="M692">
        <v>20605349812</v>
      </c>
      <c r="N692" t="s">
        <v>430</v>
      </c>
      <c r="P692" t="s">
        <v>38</v>
      </c>
      <c r="Q692" t="s">
        <v>431</v>
      </c>
      <c r="R692" t="s">
        <v>2563</v>
      </c>
      <c r="S692">
        <v>5664</v>
      </c>
      <c r="T692" t="s">
        <v>40</v>
      </c>
      <c r="U692">
        <f>+IF(Tabla1[[#This Row],[MONEDA]]="PEN",Tabla1[[#This Row],[MONTO]],Tabla1[[#This Row],[MONTO]]*3.56)</f>
        <v>5664</v>
      </c>
      <c r="X692" t="s">
        <v>41</v>
      </c>
      <c r="Y692" t="s">
        <v>51</v>
      </c>
      <c r="Z692" t="s">
        <v>43</v>
      </c>
      <c r="AB692" t="s">
        <v>2564</v>
      </c>
      <c r="AD692" t="s">
        <v>2565</v>
      </c>
    </row>
    <row r="693" spans="1:33" x14ac:dyDescent="0.25">
      <c r="A693">
        <v>27262</v>
      </c>
      <c r="B693" t="s">
        <v>32</v>
      </c>
      <c r="C693">
        <v>1</v>
      </c>
      <c r="D693" t="s">
        <v>8568</v>
      </c>
      <c r="E693" t="s">
        <v>70</v>
      </c>
      <c r="F693" t="s">
        <v>90</v>
      </c>
      <c r="G693" t="s">
        <v>91</v>
      </c>
      <c r="H693" t="s">
        <v>72</v>
      </c>
      <c r="I693" t="s">
        <v>8560</v>
      </c>
      <c r="J693" t="s">
        <v>8569</v>
      </c>
      <c r="K693" t="s">
        <v>36</v>
      </c>
      <c r="L693" t="s">
        <v>33</v>
      </c>
      <c r="M693">
        <v>10425939381</v>
      </c>
      <c r="N693" t="s">
        <v>8570</v>
      </c>
      <c r="P693" t="s">
        <v>38</v>
      </c>
      <c r="Q693" t="s">
        <v>8571</v>
      </c>
      <c r="R693" t="s">
        <v>8572</v>
      </c>
      <c r="S693">
        <v>4720</v>
      </c>
      <c r="T693" t="s">
        <v>40</v>
      </c>
      <c r="U693">
        <f>+IF(Tabla1[[#This Row],[MONEDA]]="PEN",Tabla1[[#This Row],[MONTO]],Tabla1[[#This Row],[MONTO]]*3.56)</f>
        <v>4720</v>
      </c>
      <c r="X693" t="s">
        <v>41</v>
      </c>
      <c r="Y693" t="s">
        <v>42</v>
      </c>
      <c r="Z693" t="s">
        <v>43</v>
      </c>
      <c r="AA693" t="s">
        <v>8573</v>
      </c>
      <c r="AB693" t="s">
        <v>8574</v>
      </c>
      <c r="AC693" t="s">
        <v>8575</v>
      </c>
      <c r="AD693" t="s">
        <v>8576</v>
      </c>
      <c r="AE693">
        <v>4153.6000000000004</v>
      </c>
      <c r="AF693" t="s">
        <v>87</v>
      </c>
      <c r="AG693" t="s">
        <v>169</v>
      </c>
    </row>
    <row r="694" spans="1:33" x14ac:dyDescent="0.25">
      <c r="A694">
        <v>37067</v>
      </c>
      <c r="B694" t="s">
        <v>32</v>
      </c>
      <c r="C694">
        <v>1</v>
      </c>
      <c r="D694" t="s">
        <v>3294</v>
      </c>
      <c r="E694" t="s">
        <v>70</v>
      </c>
      <c r="F694" t="s">
        <v>90</v>
      </c>
      <c r="G694" t="s">
        <v>91</v>
      </c>
      <c r="H694" t="s">
        <v>35</v>
      </c>
      <c r="I694" t="s">
        <v>3295</v>
      </c>
      <c r="J694" t="s">
        <v>3296</v>
      </c>
      <c r="K694" t="s">
        <v>36</v>
      </c>
      <c r="L694" t="s">
        <v>33</v>
      </c>
      <c r="M694">
        <v>10046454401</v>
      </c>
      <c r="N694" t="s">
        <v>3297</v>
      </c>
      <c r="P694" t="s">
        <v>101</v>
      </c>
      <c r="Q694" t="s">
        <v>3298</v>
      </c>
      <c r="R694" t="s">
        <v>3299</v>
      </c>
      <c r="S694">
        <v>300</v>
      </c>
      <c r="T694" t="s">
        <v>40</v>
      </c>
      <c r="U694">
        <f>+IF(Tabla1[[#This Row],[MONEDA]]="PEN",Tabla1[[#This Row],[MONTO]],Tabla1[[#This Row],[MONTO]]*3.56)</f>
        <v>300</v>
      </c>
      <c r="X694" t="s">
        <v>41</v>
      </c>
      <c r="Y694" t="s">
        <v>42</v>
      </c>
      <c r="Z694" t="s">
        <v>82</v>
      </c>
      <c r="AA694" t="s">
        <v>3300</v>
      </c>
      <c r="AC694" t="s">
        <v>3301</v>
      </c>
      <c r="AD694" t="s">
        <v>3302</v>
      </c>
      <c r="AE694">
        <v>300</v>
      </c>
      <c r="AF694" t="s">
        <v>87</v>
      </c>
      <c r="AG694" t="s">
        <v>666</v>
      </c>
    </row>
    <row r="695" spans="1:33" x14ac:dyDescent="0.25">
      <c r="A695">
        <v>28795</v>
      </c>
      <c r="B695" t="s">
        <v>32</v>
      </c>
      <c r="C695">
        <v>1</v>
      </c>
      <c r="D695" t="s">
        <v>7392</v>
      </c>
      <c r="E695" t="s">
        <v>70</v>
      </c>
      <c r="F695" t="s">
        <v>5328</v>
      </c>
      <c r="G695" t="s">
        <v>5329</v>
      </c>
      <c r="H695" t="s">
        <v>72</v>
      </c>
      <c r="I695" t="s">
        <v>7371</v>
      </c>
      <c r="J695" t="s">
        <v>7393</v>
      </c>
      <c r="K695" t="s">
        <v>36</v>
      </c>
      <c r="L695" t="s">
        <v>33</v>
      </c>
      <c r="M695">
        <v>10484035038</v>
      </c>
      <c r="N695" t="s">
        <v>435</v>
      </c>
      <c r="O695" t="s">
        <v>6159</v>
      </c>
      <c r="P695" t="s">
        <v>224</v>
      </c>
      <c r="Q695" t="s">
        <v>7394</v>
      </c>
      <c r="R695" t="s">
        <v>7395</v>
      </c>
      <c r="S695">
        <v>2033</v>
      </c>
      <c r="T695" t="s">
        <v>40</v>
      </c>
      <c r="U695">
        <f>+IF(Tabla1[[#This Row],[MONEDA]]="PEN",Tabla1[[#This Row],[MONTO]],Tabla1[[#This Row],[MONTO]]*3.56)</f>
        <v>2033</v>
      </c>
      <c r="X695" t="s">
        <v>81</v>
      </c>
      <c r="Y695" t="s">
        <v>42</v>
      </c>
      <c r="Z695" t="s">
        <v>43</v>
      </c>
      <c r="AA695" t="s">
        <v>7396</v>
      </c>
      <c r="AB695" t="s">
        <v>7397</v>
      </c>
      <c r="AC695" t="s">
        <v>7398</v>
      </c>
      <c r="AD695" t="s">
        <v>7399</v>
      </c>
      <c r="AE695">
        <v>1972.01</v>
      </c>
      <c r="AF695" t="s">
        <v>87</v>
      </c>
      <c r="AG695" t="s">
        <v>1798</v>
      </c>
    </row>
    <row r="696" spans="1:33" hidden="1" x14ac:dyDescent="0.25">
      <c r="A696">
        <v>24382</v>
      </c>
      <c r="B696" t="s">
        <v>32</v>
      </c>
      <c r="C696">
        <v>2</v>
      </c>
      <c r="D696" t="s">
        <v>10382</v>
      </c>
      <c r="E696" t="s">
        <v>70</v>
      </c>
      <c r="F696" t="s">
        <v>1275</v>
      </c>
      <c r="G696" t="s">
        <v>10333</v>
      </c>
      <c r="H696" t="s">
        <v>3703</v>
      </c>
      <c r="I696" t="s">
        <v>10383</v>
      </c>
      <c r="J696" t="s">
        <v>10383</v>
      </c>
      <c r="K696" t="s">
        <v>36</v>
      </c>
      <c r="L696" t="s">
        <v>33</v>
      </c>
      <c r="M696">
        <v>10459587026</v>
      </c>
      <c r="N696" t="s">
        <v>10384</v>
      </c>
      <c r="O696" t="s">
        <v>10333</v>
      </c>
      <c r="R696" t="s">
        <v>10385</v>
      </c>
      <c r="S696">
        <v>59</v>
      </c>
      <c r="T696" t="s">
        <v>40</v>
      </c>
      <c r="U696">
        <f>+IF(Tabla1[[#This Row],[MONEDA]]="PEN",Tabla1[[#This Row],[MONTO]],Tabla1[[#This Row],[MONTO]]*3.56)</f>
        <v>59</v>
      </c>
      <c r="V696" t="s">
        <v>190</v>
      </c>
      <c r="W696">
        <v>22824</v>
      </c>
      <c r="X696" t="s">
        <v>81</v>
      </c>
      <c r="Y696" t="s">
        <v>42</v>
      </c>
      <c r="Z696" t="s">
        <v>82</v>
      </c>
      <c r="AA696" t="s">
        <v>10386</v>
      </c>
      <c r="AC696" t="s">
        <v>10387</v>
      </c>
      <c r="AD696" t="s">
        <v>10388</v>
      </c>
    </row>
    <row r="697" spans="1:33" hidden="1" x14ac:dyDescent="0.25">
      <c r="A697">
        <v>45119</v>
      </c>
      <c r="B697" t="s">
        <v>32</v>
      </c>
      <c r="C697">
        <v>2</v>
      </c>
      <c r="D697" t="s">
        <v>230</v>
      </c>
      <c r="E697" t="s">
        <v>45</v>
      </c>
      <c r="F697" t="s">
        <v>33</v>
      </c>
      <c r="G697" t="s">
        <v>34</v>
      </c>
      <c r="H697" t="s">
        <v>35</v>
      </c>
      <c r="I697" t="s">
        <v>221</v>
      </c>
      <c r="J697" t="s">
        <v>231</v>
      </c>
      <c r="K697" t="s">
        <v>36</v>
      </c>
      <c r="L697" t="s">
        <v>33</v>
      </c>
      <c r="M697">
        <v>10047431510</v>
      </c>
      <c r="N697" t="s">
        <v>232</v>
      </c>
      <c r="P697" t="s">
        <v>38</v>
      </c>
      <c r="Q697">
        <v>43032693010055</v>
      </c>
      <c r="R697" t="s">
        <v>233</v>
      </c>
      <c r="S697">
        <v>24974.13</v>
      </c>
      <c r="T697" t="s">
        <v>40</v>
      </c>
      <c r="U697">
        <f>+IF(Tabla1[[#This Row],[MONEDA]]="PEN",Tabla1[[#This Row],[MONTO]],Tabla1[[#This Row],[MONTO]]*3.56)</f>
        <v>24974.13</v>
      </c>
      <c r="X697" t="s">
        <v>41</v>
      </c>
      <c r="Y697" t="s">
        <v>51</v>
      </c>
      <c r="Z697" t="s">
        <v>43</v>
      </c>
      <c r="AB697" t="s">
        <v>234</v>
      </c>
      <c r="AD697" t="s">
        <v>235</v>
      </c>
    </row>
    <row r="698" spans="1:33" hidden="1" x14ac:dyDescent="0.25">
      <c r="A698">
        <v>45120</v>
      </c>
      <c r="B698" t="s">
        <v>32</v>
      </c>
      <c r="C698">
        <v>3</v>
      </c>
      <c r="D698" t="s">
        <v>236</v>
      </c>
      <c r="E698" t="s">
        <v>45</v>
      </c>
      <c r="F698" t="s">
        <v>33</v>
      </c>
      <c r="G698" t="s">
        <v>34</v>
      </c>
      <c r="H698" t="s">
        <v>35</v>
      </c>
      <c r="I698" t="s">
        <v>221</v>
      </c>
      <c r="J698" t="s">
        <v>237</v>
      </c>
      <c r="K698" t="s">
        <v>36</v>
      </c>
      <c r="L698" t="s">
        <v>33</v>
      </c>
      <c r="M698">
        <v>10047431510</v>
      </c>
      <c r="N698" t="s">
        <v>232</v>
      </c>
      <c r="P698" t="s">
        <v>38</v>
      </c>
      <c r="Q698">
        <v>43032693010055</v>
      </c>
      <c r="R698" t="s">
        <v>238</v>
      </c>
      <c r="S698">
        <v>26550</v>
      </c>
      <c r="T698" t="s">
        <v>40</v>
      </c>
      <c r="U698">
        <f>+IF(Tabla1[[#This Row],[MONEDA]]="PEN",Tabla1[[#This Row],[MONTO]],Tabla1[[#This Row],[MONTO]]*3.56)</f>
        <v>26550</v>
      </c>
      <c r="X698" t="s">
        <v>41</v>
      </c>
      <c r="Y698" t="s">
        <v>51</v>
      </c>
      <c r="Z698" t="s">
        <v>43</v>
      </c>
      <c r="AB698" t="s">
        <v>239</v>
      </c>
    </row>
    <row r="699" spans="1:33" hidden="1" x14ac:dyDescent="0.25">
      <c r="A699">
        <v>45121</v>
      </c>
      <c r="B699" t="s">
        <v>32</v>
      </c>
      <c r="C699">
        <v>3</v>
      </c>
      <c r="D699" t="s">
        <v>240</v>
      </c>
      <c r="E699" t="s">
        <v>45</v>
      </c>
      <c r="F699" t="s">
        <v>33</v>
      </c>
      <c r="G699" t="s">
        <v>34</v>
      </c>
      <c r="H699" t="s">
        <v>35</v>
      </c>
      <c r="I699" t="s">
        <v>221</v>
      </c>
      <c r="J699" t="s">
        <v>241</v>
      </c>
      <c r="K699" t="s">
        <v>36</v>
      </c>
      <c r="L699" t="s">
        <v>33</v>
      </c>
      <c r="M699">
        <v>10047431510</v>
      </c>
      <c r="N699" t="s">
        <v>232</v>
      </c>
      <c r="P699" t="s">
        <v>38</v>
      </c>
      <c r="Q699">
        <v>43032693010055</v>
      </c>
      <c r="R699" t="s">
        <v>242</v>
      </c>
      <c r="S699">
        <v>26550</v>
      </c>
      <c r="T699" t="s">
        <v>40</v>
      </c>
      <c r="U699">
        <f>+IF(Tabla1[[#This Row],[MONEDA]]="PEN",Tabla1[[#This Row],[MONTO]],Tabla1[[#This Row],[MONTO]]*3.56)</f>
        <v>26550</v>
      </c>
      <c r="X699" t="s">
        <v>41</v>
      </c>
      <c r="Y699" t="s">
        <v>51</v>
      </c>
      <c r="Z699" t="s">
        <v>43</v>
      </c>
      <c r="AB699" t="s">
        <v>243</v>
      </c>
      <c r="AD699" t="s">
        <v>244</v>
      </c>
    </row>
    <row r="700" spans="1:33" hidden="1" x14ac:dyDescent="0.25">
      <c r="A700">
        <v>42609</v>
      </c>
      <c r="B700" t="s">
        <v>32</v>
      </c>
      <c r="C700">
        <v>1</v>
      </c>
      <c r="D700" t="s">
        <v>969</v>
      </c>
      <c r="E700" t="s">
        <v>45</v>
      </c>
      <c r="F700" t="s">
        <v>33</v>
      </c>
      <c r="G700" t="s">
        <v>34</v>
      </c>
      <c r="H700" t="s">
        <v>35</v>
      </c>
      <c r="I700" t="s">
        <v>970</v>
      </c>
      <c r="J700" t="s">
        <v>971</v>
      </c>
      <c r="K700" t="s">
        <v>36</v>
      </c>
      <c r="L700" t="s">
        <v>33</v>
      </c>
      <c r="M700">
        <v>10047431510</v>
      </c>
      <c r="N700" t="s">
        <v>232</v>
      </c>
      <c r="P700" t="s">
        <v>38</v>
      </c>
      <c r="Q700">
        <v>43032693010055</v>
      </c>
      <c r="R700" t="s">
        <v>972</v>
      </c>
      <c r="S700">
        <v>1416</v>
      </c>
      <c r="T700" t="s">
        <v>40</v>
      </c>
      <c r="U700">
        <f>+IF(Tabla1[[#This Row],[MONEDA]]="PEN",Tabla1[[#This Row],[MONTO]],Tabla1[[#This Row],[MONTO]]*3.56)</f>
        <v>1416</v>
      </c>
      <c r="X700" t="s">
        <v>41</v>
      </c>
      <c r="Y700" t="s">
        <v>51</v>
      </c>
      <c r="Z700" t="s">
        <v>43</v>
      </c>
      <c r="AB700" t="s">
        <v>973</v>
      </c>
    </row>
    <row r="701" spans="1:33" x14ac:dyDescent="0.25">
      <c r="A701">
        <v>23222</v>
      </c>
      <c r="B701" t="s">
        <v>32</v>
      </c>
      <c r="C701">
        <v>1</v>
      </c>
      <c r="D701" t="s">
        <v>11340</v>
      </c>
      <c r="E701" t="s">
        <v>70</v>
      </c>
      <c r="F701" t="s">
        <v>90</v>
      </c>
      <c r="G701" t="s">
        <v>91</v>
      </c>
      <c r="H701" t="s">
        <v>72</v>
      </c>
      <c r="I701" t="s">
        <v>11333</v>
      </c>
      <c r="J701" t="s">
        <v>11341</v>
      </c>
      <c r="K701" t="s">
        <v>36</v>
      </c>
      <c r="L701" t="s">
        <v>33</v>
      </c>
      <c r="M701">
        <v>10453099836</v>
      </c>
      <c r="N701" t="s">
        <v>11342</v>
      </c>
      <c r="O701" t="s">
        <v>1747</v>
      </c>
      <c r="P701" t="s">
        <v>101</v>
      </c>
      <c r="Q701" t="s">
        <v>11343</v>
      </c>
      <c r="R701" t="s">
        <v>11344</v>
      </c>
      <c r="S701">
        <v>2700</v>
      </c>
      <c r="T701" t="s">
        <v>40</v>
      </c>
      <c r="U701">
        <f>+IF(Tabla1[[#This Row],[MONEDA]]="PEN",Tabla1[[#This Row],[MONTO]],Tabla1[[#This Row],[MONTO]]*3.56)</f>
        <v>2700</v>
      </c>
      <c r="X701" t="s">
        <v>41</v>
      </c>
      <c r="Y701" t="s">
        <v>42</v>
      </c>
      <c r="Z701" t="s">
        <v>43</v>
      </c>
      <c r="AA701" t="s">
        <v>11345</v>
      </c>
      <c r="AC701" t="s">
        <v>11346</v>
      </c>
      <c r="AD701" t="s">
        <v>11347</v>
      </c>
      <c r="AE701">
        <v>2700</v>
      </c>
      <c r="AF701" t="s">
        <v>87</v>
      </c>
      <c r="AG701" t="s">
        <v>666</v>
      </c>
    </row>
    <row r="702" spans="1:33" hidden="1" x14ac:dyDescent="0.25">
      <c r="A702">
        <v>27891</v>
      </c>
      <c r="B702" t="s">
        <v>32</v>
      </c>
      <c r="C702">
        <v>2</v>
      </c>
      <c r="D702" t="s">
        <v>8042</v>
      </c>
      <c r="E702" t="s">
        <v>70</v>
      </c>
      <c r="F702" t="s">
        <v>33</v>
      </c>
      <c r="G702" t="s">
        <v>71</v>
      </c>
      <c r="H702" t="s">
        <v>72</v>
      </c>
      <c r="I702" t="s">
        <v>8043</v>
      </c>
      <c r="J702" t="s">
        <v>8044</v>
      </c>
      <c r="K702" t="s">
        <v>36</v>
      </c>
      <c r="L702" t="s">
        <v>33</v>
      </c>
      <c r="M702">
        <v>20434822468</v>
      </c>
      <c r="N702" t="s">
        <v>8045</v>
      </c>
      <c r="O702" t="s">
        <v>76</v>
      </c>
      <c r="P702" t="s">
        <v>38</v>
      </c>
      <c r="Q702" t="s">
        <v>8046</v>
      </c>
      <c r="R702" t="s">
        <v>8047</v>
      </c>
      <c r="S702">
        <v>1917.42</v>
      </c>
      <c r="T702" t="s">
        <v>40</v>
      </c>
      <c r="U702">
        <f>+IF(Tabla1[[#This Row],[MONEDA]]="PEN",Tabla1[[#This Row],[MONTO]],Tabla1[[#This Row],[MONTO]]*3.56)</f>
        <v>1917.42</v>
      </c>
      <c r="X702" t="s">
        <v>81</v>
      </c>
      <c r="Y702" t="s">
        <v>42</v>
      </c>
      <c r="Z702" t="s">
        <v>43</v>
      </c>
      <c r="AA702" t="s">
        <v>8048</v>
      </c>
      <c r="AB702" t="s">
        <v>8049</v>
      </c>
      <c r="AC702" t="s">
        <v>8050</v>
      </c>
      <c r="AD702" t="s">
        <v>8051</v>
      </c>
      <c r="AE702">
        <v>1859.9</v>
      </c>
      <c r="AF702" t="s">
        <v>87</v>
      </c>
      <c r="AG702" t="s">
        <v>169</v>
      </c>
    </row>
    <row r="703" spans="1:33" x14ac:dyDescent="0.25">
      <c r="A703">
        <v>40979</v>
      </c>
      <c r="B703" t="s">
        <v>32</v>
      </c>
      <c r="C703">
        <v>1</v>
      </c>
      <c r="D703" t="s">
        <v>1719</v>
      </c>
      <c r="E703" t="s">
        <v>70</v>
      </c>
      <c r="F703" t="s">
        <v>90</v>
      </c>
      <c r="G703" t="s">
        <v>91</v>
      </c>
      <c r="H703" t="s">
        <v>35</v>
      </c>
      <c r="I703" t="s">
        <v>1720</v>
      </c>
      <c r="J703" t="s">
        <v>1721</v>
      </c>
      <c r="K703" t="s">
        <v>36</v>
      </c>
      <c r="L703" t="s">
        <v>33</v>
      </c>
      <c r="M703">
        <v>20611556579</v>
      </c>
      <c r="N703" t="s">
        <v>1722</v>
      </c>
      <c r="P703" t="s">
        <v>38</v>
      </c>
      <c r="Q703" t="s">
        <v>1723</v>
      </c>
      <c r="R703" t="s">
        <v>1724</v>
      </c>
      <c r="S703">
        <v>450</v>
      </c>
      <c r="T703" t="s">
        <v>40</v>
      </c>
      <c r="U703">
        <f>+IF(Tabla1[[#This Row],[MONEDA]]="PEN",Tabla1[[#This Row],[MONTO]],Tabla1[[#This Row],[MONTO]]*3.56)</f>
        <v>450</v>
      </c>
      <c r="X703" t="s">
        <v>41</v>
      </c>
      <c r="Y703" t="s">
        <v>42</v>
      </c>
      <c r="Z703" t="s">
        <v>82</v>
      </c>
      <c r="AA703" t="s">
        <v>1725</v>
      </c>
      <c r="AB703" t="s">
        <v>1726</v>
      </c>
      <c r="AC703" t="s">
        <v>1727</v>
      </c>
      <c r="AD703" t="s">
        <v>1728</v>
      </c>
      <c r="AE703">
        <v>450</v>
      </c>
      <c r="AF703" t="s">
        <v>87</v>
      </c>
      <c r="AG703" t="s">
        <v>169</v>
      </c>
    </row>
    <row r="704" spans="1:33" x14ac:dyDescent="0.25">
      <c r="A704">
        <v>40556</v>
      </c>
      <c r="B704" t="s">
        <v>32</v>
      </c>
      <c r="C704">
        <v>1</v>
      </c>
      <c r="D704" t="s">
        <v>2077</v>
      </c>
      <c r="E704" t="s">
        <v>70</v>
      </c>
      <c r="F704" t="s">
        <v>90</v>
      </c>
      <c r="G704" t="s">
        <v>91</v>
      </c>
      <c r="H704" t="s">
        <v>35</v>
      </c>
      <c r="I704" t="s">
        <v>2078</v>
      </c>
      <c r="J704" t="s">
        <v>2079</v>
      </c>
      <c r="K704" t="s">
        <v>36</v>
      </c>
      <c r="L704" t="s">
        <v>33</v>
      </c>
      <c r="M704">
        <v>20611556579</v>
      </c>
      <c r="N704" t="s">
        <v>1722</v>
      </c>
      <c r="P704" t="s">
        <v>38</v>
      </c>
      <c r="Q704" t="s">
        <v>1723</v>
      </c>
      <c r="R704" t="s">
        <v>2080</v>
      </c>
      <c r="S704">
        <v>1742</v>
      </c>
      <c r="T704" t="s">
        <v>40</v>
      </c>
      <c r="U704">
        <f>+IF(Tabla1[[#This Row],[MONEDA]]="PEN",Tabla1[[#This Row],[MONTO]],Tabla1[[#This Row],[MONTO]]*3.56)</f>
        <v>1742</v>
      </c>
      <c r="X704" t="s">
        <v>41</v>
      </c>
      <c r="Y704" t="s">
        <v>42</v>
      </c>
      <c r="Z704" t="s">
        <v>82</v>
      </c>
      <c r="AA704" t="s">
        <v>2081</v>
      </c>
      <c r="AB704" t="s">
        <v>2082</v>
      </c>
      <c r="AC704" t="s">
        <v>2083</v>
      </c>
      <c r="AD704" t="s">
        <v>2084</v>
      </c>
      <c r="AE704">
        <v>1532.96</v>
      </c>
      <c r="AF704" t="s">
        <v>87</v>
      </c>
      <c r="AG704" t="s">
        <v>169</v>
      </c>
    </row>
    <row r="705" spans="1:33" x14ac:dyDescent="0.25">
      <c r="A705">
        <v>38697</v>
      </c>
      <c r="B705" t="s">
        <v>32</v>
      </c>
      <c r="C705">
        <v>1</v>
      </c>
      <c r="D705" t="s">
        <v>2773</v>
      </c>
      <c r="E705" t="s">
        <v>70</v>
      </c>
      <c r="F705" t="s">
        <v>2774</v>
      </c>
      <c r="G705" t="s">
        <v>2775</v>
      </c>
      <c r="H705" t="s">
        <v>35</v>
      </c>
      <c r="I705" t="s">
        <v>2776</v>
      </c>
      <c r="J705" t="s">
        <v>2777</v>
      </c>
      <c r="K705" t="s">
        <v>36</v>
      </c>
      <c r="L705" t="s">
        <v>33</v>
      </c>
      <c r="M705">
        <v>20611556579</v>
      </c>
      <c r="N705" t="s">
        <v>1722</v>
      </c>
      <c r="P705" t="s">
        <v>38</v>
      </c>
      <c r="Q705" t="s">
        <v>1723</v>
      </c>
      <c r="S705">
        <v>1622</v>
      </c>
      <c r="T705" t="s">
        <v>40</v>
      </c>
      <c r="U705">
        <f>+IF(Tabla1[[#This Row],[MONEDA]]="PEN",Tabla1[[#This Row],[MONTO]],Tabla1[[#This Row],[MONTO]]*3.56)</f>
        <v>1622</v>
      </c>
      <c r="X705" t="s">
        <v>41</v>
      </c>
      <c r="Y705" t="s">
        <v>51</v>
      </c>
      <c r="Z705" t="s">
        <v>43</v>
      </c>
      <c r="AA705" t="s">
        <v>2778</v>
      </c>
      <c r="AB705" t="s">
        <v>2779</v>
      </c>
      <c r="AC705" t="s">
        <v>2780</v>
      </c>
      <c r="AE705">
        <v>1427.36</v>
      </c>
      <c r="AF705" t="s">
        <v>87</v>
      </c>
      <c r="AG705" t="s">
        <v>169</v>
      </c>
    </row>
    <row r="706" spans="1:33" x14ac:dyDescent="0.25">
      <c r="A706">
        <v>38321</v>
      </c>
      <c r="B706" t="s">
        <v>32</v>
      </c>
      <c r="C706">
        <v>1</v>
      </c>
      <c r="D706" t="s">
        <v>2975</v>
      </c>
      <c r="E706" t="s">
        <v>70</v>
      </c>
      <c r="F706" t="s">
        <v>90</v>
      </c>
      <c r="G706" t="s">
        <v>91</v>
      </c>
      <c r="H706" t="s">
        <v>35</v>
      </c>
      <c r="I706" t="s">
        <v>2976</v>
      </c>
      <c r="J706" t="s">
        <v>2977</v>
      </c>
      <c r="K706" t="s">
        <v>36</v>
      </c>
      <c r="L706" t="s">
        <v>33</v>
      </c>
      <c r="M706">
        <v>20611556579</v>
      </c>
      <c r="N706" t="s">
        <v>1722</v>
      </c>
      <c r="P706" t="s">
        <v>38</v>
      </c>
      <c r="Q706" t="s">
        <v>1723</v>
      </c>
      <c r="R706" t="s">
        <v>2978</v>
      </c>
      <c r="S706">
        <v>1800.09</v>
      </c>
      <c r="T706" t="s">
        <v>40</v>
      </c>
      <c r="U706">
        <f>+IF(Tabla1[[#This Row],[MONEDA]]="PEN",Tabla1[[#This Row],[MONTO]],Tabla1[[#This Row],[MONTO]]*3.56)</f>
        <v>1800.09</v>
      </c>
      <c r="X706" t="s">
        <v>41</v>
      </c>
      <c r="Y706" t="s">
        <v>42</v>
      </c>
      <c r="Z706" t="s">
        <v>82</v>
      </c>
      <c r="AA706" t="s">
        <v>2979</v>
      </c>
      <c r="AB706" t="s">
        <v>2980</v>
      </c>
      <c r="AC706" t="s">
        <v>2981</v>
      </c>
      <c r="AD706" t="s">
        <v>2982</v>
      </c>
      <c r="AE706">
        <v>1584.08</v>
      </c>
      <c r="AF706" t="s">
        <v>87</v>
      </c>
      <c r="AG706" t="s">
        <v>169</v>
      </c>
    </row>
    <row r="707" spans="1:33" hidden="1" x14ac:dyDescent="0.25">
      <c r="A707">
        <v>36705</v>
      </c>
      <c r="B707" t="s">
        <v>32</v>
      </c>
      <c r="C707">
        <v>1</v>
      </c>
      <c r="D707" t="s">
        <v>3710</v>
      </c>
      <c r="E707" t="s">
        <v>70</v>
      </c>
      <c r="F707" t="s">
        <v>33</v>
      </c>
      <c r="G707" t="s">
        <v>71</v>
      </c>
      <c r="H707" t="s">
        <v>35</v>
      </c>
      <c r="I707" t="s">
        <v>3711</v>
      </c>
      <c r="J707" t="s">
        <v>3712</v>
      </c>
      <c r="K707" t="s">
        <v>36</v>
      </c>
      <c r="L707" t="s">
        <v>33</v>
      </c>
      <c r="M707">
        <v>20611556579</v>
      </c>
      <c r="N707" t="s">
        <v>1722</v>
      </c>
      <c r="P707" t="s">
        <v>38</v>
      </c>
      <c r="Q707" t="s">
        <v>1723</v>
      </c>
      <c r="R707" t="s">
        <v>3713</v>
      </c>
      <c r="S707">
        <v>2124</v>
      </c>
      <c r="T707" t="s">
        <v>40</v>
      </c>
      <c r="U707">
        <f>+IF(Tabla1[[#This Row],[MONEDA]]="PEN",Tabla1[[#This Row],[MONTO]],Tabla1[[#This Row],[MONTO]]*3.56)</f>
        <v>2124</v>
      </c>
      <c r="X707" t="s">
        <v>41</v>
      </c>
      <c r="Y707" t="s">
        <v>42</v>
      </c>
      <c r="Z707" t="s">
        <v>43</v>
      </c>
      <c r="AA707" t="s">
        <v>3714</v>
      </c>
      <c r="AB707" t="s">
        <v>3715</v>
      </c>
      <c r="AC707" t="s">
        <v>3716</v>
      </c>
      <c r="AD707" t="s">
        <v>3717</v>
      </c>
      <c r="AE707">
        <v>1869.12</v>
      </c>
      <c r="AF707" t="s">
        <v>87</v>
      </c>
      <c r="AG707" t="s">
        <v>169</v>
      </c>
    </row>
    <row r="708" spans="1:33" hidden="1" x14ac:dyDescent="0.25">
      <c r="A708">
        <v>36710</v>
      </c>
      <c r="B708" t="s">
        <v>32</v>
      </c>
      <c r="C708">
        <v>1</v>
      </c>
      <c r="D708" t="s">
        <v>3718</v>
      </c>
      <c r="E708" t="s">
        <v>70</v>
      </c>
      <c r="F708" t="s">
        <v>33</v>
      </c>
      <c r="G708" t="s">
        <v>71</v>
      </c>
      <c r="H708" t="s">
        <v>35</v>
      </c>
      <c r="I708" t="s">
        <v>3711</v>
      </c>
      <c r="J708" t="s">
        <v>3719</v>
      </c>
      <c r="K708" t="s">
        <v>36</v>
      </c>
      <c r="L708" t="s">
        <v>33</v>
      </c>
      <c r="M708">
        <v>20611556579</v>
      </c>
      <c r="N708" t="s">
        <v>1722</v>
      </c>
      <c r="P708" t="s">
        <v>38</v>
      </c>
      <c r="Q708" t="s">
        <v>1723</v>
      </c>
      <c r="R708" t="s">
        <v>3720</v>
      </c>
      <c r="S708">
        <v>480</v>
      </c>
      <c r="T708" t="s">
        <v>40</v>
      </c>
      <c r="U708">
        <f>+IF(Tabla1[[#This Row],[MONEDA]]="PEN",Tabla1[[#This Row],[MONTO]],Tabla1[[#This Row],[MONTO]]*3.56)</f>
        <v>480</v>
      </c>
      <c r="X708" t="s">
        <v>41</v>
      </c>
      <c r="Y708" t="s">
        <v>42</v>
      </c>
      <c r="Z708" t="s">
        <v>82</v>
      </c>
      <c r="AA708" t="s">
        <v>3721</v>
      </c>
      <c r="AB708" t="s">
        <v>3722</v>
      </c>
      <c r="AC708" t="s">
        <v>3723</v>
      </c>
      <c r="AD708" t="s">
        <v>3724</v>
      </c>
      <c r="AE708">
        <v>480</v>
      </c>
      <c r="AF708" t="s">
        <v>87</v>
      </c>
      <c r="AG708" t="s">
        <v>169</v>
      </c>
    </row>
    <row r="709" spans="1:33" x14ac:dyDescent="0.25">
      <c r="A709">
        <v>36214</v>
      </c>
      <c r="B709" t="s">
        <v>32</v>
      </c>
      <c r="C709">
        <v>1</v>
      </c>
      <c r="D709" t="s">
        <v>3964</v>
      </c>
      <c r="E709" t="s">
        <v>70</v>
      </c>
      <c r="F709" t="s">
        <v>90</v>
      </c>
      <c r="G709" t="s">
        <v>91</v>
      </c>
      <c r="H709" t="s">
        <v>35</v>
      </c>
      <c r="I709" t="s">
        <v>3965</v>
      </c>
      <c r="J709" t="s">
        <v>3966</v>
      </c>
      <c r="K709" t="s">
        <v>36</v>
      </c>
      <c r="L709" t="s">
        <v>33</v>
      </c>
      <c r="M709">
        <v>20611556579</v>
      </c>
      <c r="N709" t="s">
        <v>1722</v>
      </c>
      <c r="P709" t="s">
        <v>38</v>
      </c>
      <c r="Q709" t="s">
        <v>1723</v>
      </c>
      <c r="R709" t="s">
        <v>3967</v>
      </c>
      <c r="S709">
        <v>1748</v>
      </c>
      <c r="T709" t="s">
        <v>40</v>
      </c>
      <c r="U709">
        <f>+IF(Tabla1[[#This Row],[MONEDA]]="PEN",Tabla1[[#This Row],[MONTO]],Tabla1[[#This Row],[MONTO]]*3.56)</f>
        <v>1748</v>
      </c>
      <c r="X709" t="s">
        <v>41</v>
      </c>
      <c r="Y709" t="s">
        <v>42</v>
      </c>
      <c r="Z709" t="s">
        <v>82</v>
      </c>
      <c r="AA709" t="s">
        <v>3968</v>
      </c>
      <c r="AB709" t="s">
        <v>3969</v>
      </c>
      <c r="AC709" t="s">
        <v>3970</v>
      </c>
      <c r="AD709" t="s">
        <v>3971</v>
      </c>
      <c r="AE709">
        <v>1538.24</v>
      </c>
      <c r="AF709" t="s">
        <v>87</v>
      </c>
      <c r="AG709" t="s">
        <v>169</v>
      </c>
    </row>
    <row r="710" spans="1:33" hidden="1" x14ac:dyDescent="0.25">
      <c r="A710">
        <v>32158</v>
      </c>
      <c r="B710" t="s">
        <v>32</v>
      </c>
      <c r="C710">
        <v>1</v>
      </c>
      <c r="D710" t="s">
        <v>5416</v>
      </c>
      <c r="E710" t="s">
        <v>70</v>
      </c>
      <c r="F710" t="s">
        <v>33</v>
      </c>
      <c r="G710" t="s">
        <v>71</v>
      </c>
      <c r="H710" t="s">
        <v>72</v>
      </c>
      <c r="I710" t="s">
        <v>5417</v>
      </c>
      <c r="J710" t="s">
        <v>5418</v>
      </c>
      <c r="K710" t="s">
        <v>36</v>
      </c>
      <c r="L710" t="s">
        <v>33</v>
      </c>
      <c r="M710">
        <v>20611556579</v>
      </c>
      <c r="N710" t="s">
        <v>1722</v>
      </c>
      <c r="O710" t="s">
        <v>76</v>
      </c>
      <c r="P710" t="s">
        <v>38</v>
      </c>
      <c r="Q710" t="s">
        <v>1723</v>
      </c>
      <c r="R710" t="s">
        <v>5419</v>
      </c>
      <c r="S710">
        <v>3001</v>
      </c>
      <c r="T710" t="s">
        <v>40</v>
      </c>
      <c r="U710">
        <f>+IF(Tabla1[[#This Row],[MONEDA]]="PEN",Tabla1[[#This Row],[MONTO]],Tabla1[[#This Row],[MONTO]]*3.56)</f>
        <v>3001</v>
      </c>
      <c r="X710" t="s">
        <v>81</v>
      </c>
      <c r="Y710" t="s">
        <v>42</v>
      </c>
      <c r="Z710" t="s">
        <v>43</v>
      </c>
      <c r="AA710" t="s">
        <v>5420</v>
      </c>
      <c r="AB710" t="s">
        <v>5421</v>
      </c>
      <c r="AC710" t="s">
        <v>5422</v>
      </c>
      <c r="AD710" t="s">
        <v>5423</v>
      </c>
      <c r="AE710">
        <v>2910.97</v>
      </c>
      <c r="AF710" t="s">
        <v>87</v>
      </c>
      <c r="AG710" t="s">
        <v>169</v>
      </c>
    </row>
    <row r="711" spans="1:33" hidden="1" x14ac:dyDescent="0.25">
      <c r="A711">
        <v>35620</v>
      </c>
      <c r="B711" t="s">
        <v>32</v>
      </c>
      <c r="C711">
        <v>1</v>
      </c>
      <c r="D711" t="s">
        <v>4191</v>
      </c>
      <c r="E711" t="s">
        <v>70</v>
      </c>
      <c r="F711" t="s">
        <v>33</v>
      </c>
      <c r="G711" t="s">
        <v>71</v>
      </c>
      <c r="H711" t="s">
        <v>72</v>
      </c>
      <c r="I711" t="s">
        <v>4177</v>
      </c>
      <c r="J711" t="s">
        <v>4192</v>
      </c>
      <c r="K711" t="s">
        <v>36</v>
      </c>
      <c r="L711" t="s">
        <v>33</v>
      </c>
      <c r="M711">
        <v>20563210126</v>
      </c>
      <c r="N711" t="s">
        <v>4193</v>
      </c>
      <c r="O711" t="s">
        <v>76</v>
      </c>
      <c r="P711" t="s">
        <v>38</v>
      </c>
      <c r="Q711">
        <v>1912187490057</v>
      </c>
      <c r="R711" t="s">
        <v>4194</v>
      </c>
      <c r="S711">
        <v>8000</v>
      </c>
      <c r="T711" t="s">
        <v>40</v>
      </c>
      <c r="U711">
        <f>+IF(Tabla1[[#This Row],[MONEDA]]="PEN",Tabla1[[#This Row],[MONTO]],Tabla1[[#This Row],[MONTO]]*3.56)</f>
        <v>8000</v>
      </c>
      <c r="X711" t="s">
        <v>81</v>
      </c>
      <c r="Y711" t="s">
        <v>42</v>
      </c>
      <c r="Z711" t="s">
        <v>82</v>
      </c>
      <c r="AA711" t="s">
        <v>4195</v>
      </c>
      <c r="AB711" t="s">
        <v>4196</v>
      </c>
      <c r="AC711" t="s">
        <v>4197</v>
      </c>
      <c r="AD711" t="s">
        <v>4198</v>
      </c>
      <c r="AE711">
        <v>7760</v>
      </c>
      <c r="AF711" t="s">
        <v>87</v>
      </c>
      <c r="AG711" t="s">
        <v>169</v>
      </c>
    </row>
    <row r="712" spans="1:33" hidden="1" x14ac:dyDescent="0.25">
      <c r="A712">
        <v>25230</v>
      </c>
      <c r="B712" t="s">
        <v>32</v>
      </c>
      <c r="C712">
        <v>1</v>
      </c>
      <c r="D712" t="s">
        <v>9995</v>
      </c>
      <c r="E712" t="s">
        <v>70</v>
      </c>
      <c r="F712" t="s">
        <v>33</v>
      </c>
      <c r="G712" t="s">
        <v>9422</v>
      </c>
      <c r="H712" t="s">
        <v>72</v>
      </c>
      <c r="I712" t="s">
        <v>9958</v>
      </c>
      <c r="J712" t="s">
        <v>9996</v>
      </c>
      <c r="K712" t="s">
        <v>36</v>
      </c>
      <c r="L712" t="s">
        <v>33</v>
      </c>
      <c r="M712">
        <v>20563210126</v>
      </c>
      <c r="N712" t="s">
        <v>4193</v>
      </c>
      <c r="O712" t="s">
        <v>9423</v>
      </c>
      <c r="P712" t="s">
        <v>38</v>
      </c>
      <c r="Q712">
        <v>1912187490057</v>
      </c>
      <c r="R712" t="s">
        <v>9997</v>
      </c>
      <c r="S712">
        <v>8130</v>
      </c>
      <c r="T712" t="s">
        <v>40</v>
      </c>
      <c r="U712">
        <f>+IF(Tabla1[[#This Row],[MONEDA]]="PEN",Tabla1[[#This Row],[MONTO]],Tabla1[[#This Row],[MONTO]]*3.56)</f>
        <v>8130</v>
      </c>
      <c r="X712" t="s">
        <v>41</v>
      </c>
      <c r="Y712" t="s">
        <v>51</v>
      </c>
      <c r="Z712" t="s">
        <v>43</v>
      </c>
      <c r="AA712" t="s">
        <v>9998</v>
      </c>
      <c r="AB712" t="s">
        <v>9999</v>
      </c>
      <c r="AC712" t="s">
        <v>10000</v>
      </c>
      <c r="AD712" t="s">
        <v>10001</v>
      </c>
      <c r="AE712">
        <v>7886.1</v>
      </c>
      <c r="AF712" t="s">
        <v>87</v>
      </c>
      <c r="AG712" t="s">
        <v>169</v>
      </c>
    </row>
    <row r="713" spans="1:33" hidden="1" x14ac:dyDescent="0.25">
      <c r="A713">
        <v>23599</v>
      </c>
      <c r="B713" t="s">
        <v>32</v>
      </c>
      <c r="C713">
        <v>1</v>
      </c>
      <c r="D713" t="s">
        <v>11040</v>
      </c>
      <c r="E713" t="s">
        <v>70</v>
      </c>
      <c r="F713" t="s">
        <v>33</v>
      </c>
      <c r="G713" t="s">
        <v>9422</v>
      </c>
      <c r="H713" t="s">
        <v>72</v>
      </c>
      <c r="I713" t="s">
        <v>11041</v>
      </c>
      <c r="J713" t="s">
        <v>11042</v>
      </c>
      <c r="K713" t="s">
        <v>36</v>
      </c>
      <c r="L713" t="s">
        <v>33</v>
      </c>
      <c r="M713">
        <v>20563210126</v>
      </c>
      <c r="N713" t="s">
        <v>4193</v>
      </c>
      <c r="O713" t="s">
        <v>9423</v>
      </c>
      <c r="P713" t="s">
        <v>38</v>
      </c>
      <c r="Q713">
        <v>1912187490057</v>
      </c>
      <c r="R713" t="s">
        <v>11043</v>
      </c>
      <c r="S713">
        <v>1530</v>
      </c>
      <c r="T713" t="s">
        <v>40</v>
      </c>
      <c r="U713">
        <f>+IF(Tabla1[[#This Row],[MONEDA]]="PEN",Tabla1[[#This Row],[MONTO]],Tabla1[[#This Row],[MONTO]]*3.56)</f>
        <v>1530</v>
      </c>
      <c r="X713" t="s">
        <v>41</v>
      </c>
      <c r="Y713" t="s">
        <v>42</v>
      </c>
      <c r="Z713" t="s">
        <v>82</v>
      </c>
      <c r="AA713" t="s">
        <v>11044</v>
      </c>
      <c r="AB713" t="s">
        <v>11045</v>
      </c>
      <c r="AC713" t="s">
        <v>11046</v>
      </c>
      <c r="AD713" t="s">
        <v>11047</v>
      </c>
      <c r="AE713">
        <v>1484.1</v>
      </c>
      <c r="AF713" t="s">
        <v>87</v>
      </c>
      <c r="AG713" t="s">
        <v>169</v>
      </c>
    </row>
    <row r="714" spans="1:33" hidden="1" x14ac:dyDescent="0.25">
      <c r="A714">
        <v>35249</v>
      </c>
      <c r="B714" t="s">
        <v>32</v>
      </c>
      <c r="C714">
        <v>1</v>
      </c>
      <c r="D714" t="s">
        <v>4314</v>
      </c>
      <c r="E714" t="s">
        <v>70</v>
      </c>
      <c r="F714" t="s">
        <v>33</v>
      </c>
      <c r="G714" t="s">
        <v>71</v>
      </c>
      <c r="H714" t="s">
        <v>35</v>
      </c>
      <c r="I714" t="s">
        <v>4306</v>
      </c>
      <c r="J714" t="s">
        <v>4315</v>
      </c>
      <c r="K714" t="s">
        <v>36</v>
      </c>
      <c r="L714" t="s">
        <v>33</v>
      </c>
      <c r="M714">
        <v>20610002944</v>
      </c>
      <c r="N714" t="s">
        <v>4316</v>
      </c>
      <c r="O714" t="s">
        <v>76</v>
      </c>
      <c r="P714" t="s">
        <v>38</v>
      </c>
      <c r="Q714" t="s">
        <v>4317</v>
      </c>
      <c r="R714" t="s">
        <v>4318</v>
      </c>
      <c r="S714">
        <v>836.8</v>
      </c>
      <c r="T714" t="s">
        <v>40</v>
      </c>
      <c r="U714">
        <f>+IF(Tabla1[[#This Row],[MONEDA]]="PEN",Tabla1[[#This Row],[MONTO]],Tabla1[[#This Row],[MONTO]]*3.56)</f>
        <v>836.8</v>
      </c>
      <c r="X714" t="s">
        <v>81</v>
      </c>
      <c r="Y714" t="s">
        <v>42</v>
      </c>
      <c r="Z714" t="s">
        <v>43</v>
      </c>
      <c r="AA714" t="s">
        <v>4319</v>
      </c>
      <c r="AB714" t="s">
        <v>4320</v>
      </c>
      <c r="AC714" t="s">
        <v>4321</v>
      </c>
      <c r="AD714" t="s">
        <v>4322</v>
      </c>
      <c r="AE714">
        <v>811.7</v>
      </c>
      <c r="AF714" t="s">
        <v>87</v>
      </c>
      <c r="AG714" t="s">
        <v>169</v>
      </c>
    </row>
    <row r="715" spans="1:33" hidden="1" x14ac:dyDescent="0.25">
      <c r="A715">
        <v>34030</v>
      </c>
      <c r="B715" t="s">
        <v>32</v>
      </c>
      <c r="C715">
        <v>1</v>
      </c>
      <c r="D715" t="s">
        <v>4711</v>
      </c>
      <c r="E715" t="s">
        <v>70</v>
      </c>
      <c r="F715" t="s">
        <v>33</v>
      </c>
      <c r="G715" t="s">
        <v>71</v>
      </c>
      <c r="H715" t="s">
        <v>72</v>
      </c>
      <c r="I715" t="s">
        <v>4712</v>
      </c>
      <c r="J715" t="s">
        <v>4713</v>
      </c>
      <c r="K715" t="s">
        <v>36</v>
      </c>
      <c r="L715" t="s">
        <v>33</v>
      </c>
      <c r="M715">
        <v>20610002944</v>
      </c>
      <c r="N715" t="s">
        <v>4316</v>
      </c>
      <c r="O715" t="s">
        <v>76</v>
      </c>
      <c r="P715" t="s">
        <v>38</v>
      </c>
      <c r="Q715" t="s">
        <v>4317</v>
      </c>
      <c r="R715" t="s">
        <v>4714</v>
      </c>
      <c r="S715">
        <v>3415</v>
      </c>
      <c r="T715" t="s">
        <v>40</v>
      </c>
      <c r="U715">
        <f>+IF(Tabla1[[#This Row],[MONEDA]]="PEN",Tabla1[[#This Row],[MONTO]],Tabla1[[#This Row],[MONTO]]*3.56)</f>
        <v>3415</v>
      </c>
      <c r="X715" t="s">
        <v>81</v>
      </c>
      <c r="Y715" t="s">
        <v>42</v>
      </c>
      <c r="Z715" t="s">
        <v>43</v>
      </c>
      <c r="AA715" t="s">
        <v>4715</v>
      </c>
      <c r="AB715" t="s">
        <v>4716</v>
      </c>
      <c r="AC715" t="s">
        <v>4717</v>
      </c>
      <c r="AD715" t="s">
        <v>4718</v>
      </c>
      <c r="AE715">
        <v>3312.55</v>
      </c>
      <c r="AF715" t="s">
        <v>87</v>
      </c>
      <c r="AG715" t="s">
        <v>169</v>
      </c>
    </row>
    <row r="716" spans="1:33" hidden="1" x14ac:dyDescent="0.25">
      <c r="A716">
        <v>33395</v>
      </c>
      <c r="B716" t="s">
        <v>32</v>
      </c>
      <c r="C716">
        <v>1</v>
      </c>
      <c r="D716" t="s">
        <v>4937</v>
      </c>
      <c r="E716" t="s">
        <v>70</v>
      </c>
      <c r="F716" t="s">
        <v>33</v>
      </c>
      <c r="G716" t="s">
        <v>71</v>
      </c>
      <c r="H716" t="s">
        <v>72</v>
      </c>
      <c r="I716" t="s">
        <v>4897</v>
      </c>
      <c r="J716" t="s">
        <v>4938</v>
      </c>
      <c r="K716" t="s">
        <v>36</v>
      </c>
      <c r="L716" t="s">
        <v>33</v>
      </c>
      <c r="M716">
        <v>20610002944</v>
      </c>
      <c r="N716" t="s">
        <v>4316</v>
      </c>
      <c r="O716" t="s">
        <v>76</v>
      </c>
      <c r="P716" t="s">
        <v>38</v>
      </c>
      <c r="Q716" t="s">
        <v>4317</v>
      </c>
      <c r="R716" t="s">
        <v>4939</v>
      </c>
      <c r="S716">
        <v>7752.9</v>
      </c>
      <c r="T716" t="s">
        <v>40</v>
      </c>
      <c r="U716">
        <f>+IF(Tabla1[[#This Row],[MONEDA]]="PEN",Tabla1[[#This Row],[MONTO]],Tabla1[[#This Row],[MONTO]]*3.56)</f>
        <v>7752.9</v>
      </c>
      <c r="X716" t="s">
        <v>81</v>
      </c>
      <c r="Y716" t="s">
        <v>42</v>
      </c>
      <c r="Z716" t="s">
        <v>82</v>
      </c>
      <c r="AA716" t="s">
        <v>4940</v>
      </c>
      <c r="AB716" t="s">
        <v>4941</v>
      </c>
      <c r="AC716" t="s">
        <v>4942</v>
      </c>
      <c r="AD716" t="s">
        <v>4943</v>
      </c>
      <c r="AE716">
        <v>7520.31</v>
      </c>
      <c r="AF716" t="s">
        <v>87</v>
      </c>
      <c r="AG716" t="s">
        <v>169</v>
      </c>
    </row>
    <row r="717" spans="1:33" hidden="1" x14ac:dyDescent="0.25">
      <c r="A717">
        <v>32952</v>
      </c>
      <c r="B717" t="s">
        <v>32</v>
      </c>
      <c r="C717">
        <v>2</v>
      </c>
      <c r="D717" t="s">
        <v>5154</v>
      </c>
      <c r="E717" t="s">
        <v>70</v>
      </c>
      <c r="F717" t="s">
        <v>33</v>
      </c>
      <c r="G717" t="s">
        <v>71</v>
      </c>
      <c r="H717" t="s">
        <v>72</v>
      </c>
      <c r="I717" t="s">
        <v>5155</v>
      </c>
      <c r="J717" t="s">
        <v>5156</v>
      </c>
      <c r="K717" t="s">
        <v>36</v>
      </c>
      <c r="L717" t="s">
        <v>33</v>
      </c>
      <c r="M717">
        <v>20610002944</v>
      </c>
      <c r="N717" t="s">
        <v>4316</v>
      </c>
      <c r="O717" t="s">
        <v>76</v>
      </c>
      <c r="P717" t="s">
        <v>38</v>
      </c>
      <c r="Q717" t="s">
        <v>4317</v>
      </c>
      <c r="R717" t="s">
        <v>5157</v>
      </c>
      <c r="S717">
        <v>3836</v>
      </c>
      <c r="T717" t="s">
        <v>40</v>
      </c>
      <c r="U717">
        <f>+IF(Tabla1[[#This Row],[MONEDA]]="PEN",Tabla1[[#This Row],[MONTO]],Tabla1[[#This Row],[MONTO]]*3.56)</f>
        <v>3836</v>
      </c>
      <c r="X717" t="s">
        <v>81</v>
      </c>
      <c r="Y717" t="s">
        <v>42</v>
      </c>
      <c r="Z717" t="s">
        <v>82</v>
      </c>
      <c r="AA717" t="s">
        <v>5158</v>
      </c>
      <c r="AB717" t="s">
        <v>5159</v>
      </c>
      <c r="AC717" t="s">
        <v>5160</v>
      </c>
      <c r="AD717" t="s">
        <v>5161</v>
      </c>
      <c r="AE717">
        <v>3720.92</v>
      </c>
      <c r="AG717" t="s">
        <v>169</v>
      </c>
    </row>
    <row r="718" spans="1:33" hidden="1" x14ac:dyDescent="0.25">
      <c r="A718">
        <v>32481</v>
      </c>
      <c r="B718" t="s">
        <v>32</v>
      </c>
      <c r="C718">
        <v>2</v>
      </c>
      <c r="D718" t="s">
        <v>5359</v>
      </c>
      <c r="E718" t="s">
        <v>70</v>
      </c>
      <c r="F718" t="s">
        <v>33</v>
      </c>
      <c r="G718" t="s">
        <v>71</v>
      </c>
      <c r="H718" t="s">
        <v>72</v>
      </c>
      <c r="I718" t="s">
        <v>5338</v>
      </c>
      <c r="J718" t="s">
        <v>5360</v>
      </c>
      <c r="K718" t="s">
        <v>36</v>
      </c>
      <c r="L718" t="s">
        <v>33</v>
      </c>
      <c r="M718">
        <v>20610002944</v>
      </c>
      <c r="N718" t="s">
        <v>4316</v>
      </c>
      <c r="O718" t="s">
        <v>76</v>
      </c>
      <c r="P718" t="s">
        <v>38</v>
      </c>
      <c r="Q718" t="s">
        <v>4317</v>
      </c>
      <c r="R718" t="s">
        <v>5361</v>
      </c>
      <c r="S718">
        <v>3121</v>
      </c>
      <c r="T718" t="s">
        <v>40</v>
      </c>
      <c r="U718">
        <f>+IF(Tabla1[[#This Row],[MONEDA]]="PEN",Tabla1[[#This Row],[MONTO]],Tabla1[[#This Row],[MONTO]]*3.56)</f>
        <v>3121</v>
      </c>
      <c r="X718" t="s">
        <v>81</v>
      </c>
      <c r="Y718" t="s">
        <v>42</v>
      </c>
      <c r="Z718" t="s">
        <v>43</v>
      </c>
      <c r="AA718" t="s">
        <v>5362</v>
      </c>
      <c r="AB718" t="s">
        <v>5363</v>
      </c>
      <c r="AC718" t="s">
        <v>5364</v>
      </c>
      <c r="AD718" t="s">
        <v>5365</v>
      </c>
      <c r="AE718">
        <v>3027.37</v>
      </c>
      <c r="AF718" t="s">
        <v>87</v>
      </c>
      <c r="AG718" t="s">
        <v>169</v>
      </c>
    </row>
    <row r="719" spans="1:33" x14ac:dyDescent="0.25">
      <c r="A719">
        <v>27892</v>
      </c>
      <c r="B719" t="s">
        <v>32</v>
      </c>
      <c r="C719">
        <v>1</v>
      </c>
      <c r="D719" t="s">
        <v>8052</v>
      </c>
      <c r="E719" t="s">
        <v>70</v>
      </c>
      <c r="F719" t="s">
        <v>5328</v>
      </c>
      <c r="G719" t="s">
        <v>5329</v>
      </c>
      <c r="H719" t="s">
        <v>72</v>
      </c>
      <c r="I719" t="s">
        <v>8043</v>
      </c>
      <c r="J719" t="s">
        <v>8053</v>
      </c>
      <c r="K719" t="s">
        <v>36</v>
      </c>
      <c r="L719" t="s">
        <v>33</v>
      </c>
      <c r="M719">
        <v>10432282886</v>
      </c>
      <c r="N719" t="s">
        <v>8054</v>
      </c>
      <c r="O719" t="s">
        <v>6159</v>
      </c>
      <c r="P719" t="s">
        <v>38</v>
      </c>
      <c r="Q719">
        <v>43077057195062</v>
      </c>
      <c r="R719" t="s">
        <v>8055</v>
      </c>
      <c r="S719">
        <v>390</v>
      </c>
      <c r="T719" t="s">
        <v>40</v>
      </c>
      <c r="U719">
        <f>+IF(Tabla1[[#This Row],[MONEDA]]="PEN",Tabla1[[#This Row],[MONTO]],Tabla1[[#This Row],[MONTO]]*3.56)</f>
        <v>390</v>
      </c>
      <c r="X719" t="s">
        <v>81</v>
      </c>
      <c r="Y719" t="s">
        <v>42</v>
      </c>
      <c r="Z719" t="s">
        <v>82</v>
      </c>
      <c r="AA719" t="s">
        <v>8056</v>
      </c>
      <c r="AB719" t="s">
        <v>8057</v>
      </c>
      <c r="AC719" t="s">
        <v>8058</v>
      </c>
      <c r="AD719" t="s">
        <v>8059</v>
      </c>
      <c r="AE719">
        <v>390</v>
      </c>
      <c r="AF719" t="s">
        <v>87</v>
      </c>
      <c r="AG719" t="s">
        <v>169</v>
      </c>
    </row>
    <row r="720" spans="1:33" x14ac:dyDescent="0.25">
      <c r="A720">
        <v>27519</v>
      </c>
      <c r="B720" t="s">
        <v>32</v>
      </c>
      <c r="C720">
        <v>1</v>
      </c>
      <c r="D720" t="s">
        <v>8295</v>
      </c>
      <c r="E720" t="s">
        <v>70</v>
      </c>
      <c r="F720" t="s">
        <v>5328</v>
      </c>
      <c r="G720" t="s">
        <v>5329</v>
      </c>
      <c r="H720" t="s">
        <v>72</v>
      </c>
      <c r="I720" t="s">
        <v>8258</v>
      </c>
      <c r="J720" t="s">
        <v>8296</v>
      </c>
      <c r="K720" t="s">
        <v>36</v>
      </c>
      <c r="L720" t="s">
        <v>33</v>
      </c>
      <c r="M720">
        <v>10432282886</v>
      </c>
      <c r="N720" t="s">
        <v>8054</v>
      </c>
      <c r="O720" t="s">
        <v>6159</v>
      </c>
      <c r="P720" t="s">
        <v>38</v>
      </c>
      <c r="Q720">
        <v>43077057195062</v>
      </c>
      <c r="R720" t="s">
        <v>8297</v>
      </c>
      <c r="S720">
        <v>390</v>
      </c>
      <c r="T720" t="s">
        <v>40</v>
      </c>
      <c r="U720">
        <f>+IF(Tabla1[[#This Row],[MONEDA]]="PEN",Tabla1[[#This Row],[MONTO]],Tabla1[[#This Row],[MONTO]]*3.56)</f>
        <v>390</v>
      </c>
      <c r="X720" t="s">
        <v>81</v>
      </c>
      <c r="Y720" t="s">
        <v>42</v>
      </c>
      <c r="Z720" t="s">
        <v>43</v>
      </c>
      <c r="AA720" t="s">
        <v>8298</v>
      </c>
      <c r="AB720" t="s">
        <v>8299</v>
      </c>
      <c r="AC720" t="s">
        <v>8300</v>
      </c>
      <c r="AD720" t="s">
        <v>8301</v>
      </c>
      <c r="AE720">
        <v>390</v>
      </c>
      <c r="AF720" t="s">
        <v>87</v>
      </c>
      <c r="AG720" t="s">
        <v>169</v>
      </c>
    </row>
    <row r="721" spans="1:33" x14ac:dyDescent="0.25">
      <c r="A721">
        <v>38762</v>
      </c>
      <c r="B721" t="s">
        <v>32</v>
      </c>
      <c r="C721">
        <v>1</v>
      </c>
      <c r="D721" t="s">
        <v>2023</v>
      </c>
      <c r="E721" t="s">
        <v>70</v>
      </c>
      <c r="F721" t="s">
        <v>90</v>
      </c>
      <c r="G721" t="s">
        <v>35</v>
      </c>
      <c r="H721" t="s">
        <v>35</v>
      </c>
      <c r="I721" t="s">
        <v>2763</v>
      </c>
      <c r="J721" t="s">
        <v>2764</v>
      </c>
      <c r="K721" t="s">
        <v>36</v>
      </c>
      <c r="L721" t="s">
        <v>33</v>
      </c>
      <c r="M721">
        <v>20605462368</v>
      </c>
      <c r="N721" t="s">
        <v>2026</v>
      </c>
      <c r="O721" t="s">
        <v>76</v>
      </c>
      <c r="P721" t="s">
        <v>38</v>
      </c>
      <c r="Q721" t="s">
        <v>2027</v>
      </c>
      <c r="R721" t="s">
        <v>2765</v>
      </c>
      <c r="S721">
        <v>16222.5</v>
      </c>
      <c r="T721" t="s">
        <v>40</v>
      </c>
      <c r="U721">
        <f>+IF(Tabla1[[#This Row],[MONEDA]]="PEN",Tabla1[[#This Row],[MONTO]],Tabla1[[#This Row],[MONTO]]*3.56)</f>
        <v>16222.5</v>
      </c>
      <c r="X721" t="s">
        <v>41</v>
      </c>
      <c r="Y721" t="s">
        <v>51</v>
      </c>
      <c r="Z721" t="s">
        <v>43</v>
      </c>
      <c r="AA721" t="s">
        <v>2766</v>
      </c>
      <c r="AB721" t="s">
        <v>2029</v>
      </c>
      <c r="AC721" t="s">
        <v>2767</v>
      </c>
      <c r="AE721">
        <v>14275.8</v>
      </c>
      <c r="AF721" t="s">
        <v>87</v>
      </c>
      <c r="AG721" t="s">
        <v>169</v>
      </c>
    </row>
    <row r="722" spans="1:33" x14ac:dyDescent="0.25">
      <c r="A722">
        <v>38763</v>
      </c>
      <c r="B722" t="s">
        <v>32</v>
      </c>
      <c r="C722">
        <v>1</v>
      </c>
      <c r="D722" t="s">
        <v>2023</v>
      </c>
      <c r="E722" t="s">
        <v>45</v>
      </c>
      <c r="F722" t="s">
        <v>90</v>
      </c>
      <c r="G722" t="s">
        <v>35</v>
      </c>
      <c r="H722" t="s">
        <v>35</v>
      </c>
      <c r="I722" t="s">
        <v>2024</v>
      </c>
      <c r="J722" t="s">
        <v>2025</v>
      </c>
      <c r="K722" t="s">
        <v>36</v>
      </c>
      <c r="L722" t="s">
        <v>33</v>
      </c>
      <c r="M722">
        <v>20605462368</v>
      </c>
      <c r="N722" t="s">
        <v>2026</v>
      </c>
      <c r="O722" t="s">
        <v>76</v>
      </c>
      <c r="P722" t="s">
        <v>38</v>
      </c>
      <c r="Q722" t="s">
        <v>2027</v>
      </c>
      <c r="R722" t="s">
        <v>2028</v>
      </c>
      <c r="S722">
        <v>16222.5</v>
      </c>
      <c r="T722" t="s">
        <v>40</v>
      </c>
      <c r="U722">
        <f>+IF(Tabla1[[#This Row],[MONEDA]]="PEN",Tabla1[[#This Row],[MONTO]],Tabla1[[#This Row],[MONTO]]*3.56)</f>
        <v>16222.5</v>
      </c>
      <c r="X722" t="s">
        <v>41</v>
      </c>
      <c r="Y722" t="s">
        <v>51</v>
      </c>
      <c r="Z722" t="s">
        <v>43</v>
      </c>
      <c r="AB722" t="s">
        <v>2029</v>
      </c>
    </row>
    <row r="723" spans="1:33" hidden="1" x14ac:dyDescent="0.25">
      <c r="A723">
        <v>24082</v>
      </c>
      <c r="B723" t="s">
        <v>32</v>
      </c>
      <c r="C723">
        <v>1</v>
      </c>
      <c r="D723" t="s">
        <v>10859</v>
      </c>
      <c r="E723" t="s">
        <v>70</v>
      </c>
      <c r="F723" t="s">
        <v>33</v>
      </c>
      <c r="G723" t="s">
        <v>71</v>
      </c>
      <c r="H723" t="s">
        <v>72</v>
      </c>
      <c r="I723" t="s">
        <v>10860</v>
      </c>
      <c r="J723" t="s">
        <v>10866</v>
      </c>
      <c r="K723" t="s">
        <v>36</v>
      </c>
      <c r="L723" t="s">
        <v>33</v>
      </c>
      <c r="M723">
        <v>10004863963</v>
      </c>
      <c r="N723" t="s">
        <v>10867</v>
      </c>
      <c r="O723" t="s">
        <v>76</v>
      </c>
      <c r="R723" t="s">
        <v>10868</v>
      </c>
      <c r="S723">
        <v>49.6</v>
      </c>
      <c r="T723" t="s">
        <v>40</v>
      </c>
      <c r="U723">
        <f>+IF(Tabla1[[#This Row],[MONEDA]]="PEN",Tabla1[[#This Row],[MONTO]],Tabla1[[#This Row],[MONTO]]*3.56)</f>
        <v>49.6</v>
      </c>
      <c r="V723" t="s">
        <v>190</v>
      </c>
      <c r="W723">
        <v>21787</v>
      </c>
      <c r="X723" t="s">
        <v>81</v>
      </c>
      <c r="Y723" t="s">
        <v>42</v>
      </c>
      <c r="Z723" t="s">
        <v>82</v>
      </c>
      <c r="AA723" t="s">
        <v>10869</v>
      </c>
      <c r="AC723" t="s">
        <v>10870</v>
      </c>
      <c r="AD723" t="s">
        <v>10871</v>
      </c>
    </row>
    <row r="724" spans="1:33" hidden="1" x14ac:dyDescent="0.25">
      <c r="A724">
        <v>44077</v>
      </c>
      <c r="B724" t="s">
        <v>32</v>
      </c>
      <c r="C724">
        <v>1</v>
      </c>
      <c r="D724" t="s">
        <v>324</v>
      </c>
      <c r="E724" t="s">
        <v>70</v>
      </c>
      <c r="F724" t="s">
        <v>33</v>
      </c>
      <c r="G724" t="s">
        <v>71</v>
      </c>
      <c r="H724" t="s">
        <v>72</v>
      </c>
      <c r="I724" t="s">
        <v>325</v>
      </c>
      <c r="J724" t="s">
        <v>326</v>
      </c>
      <c r="K724" t="s">
        <v>36</v>
      </c>
      <c r="L724" t="s">
        <v>33</v>
      </c>
      <c r="M724">
        <v>20614084708</v>
      </c>
      <c r="N724" t="s">
        <v>327</v>
      </c>
      <c r="O724" t="s">
        <v>76</v>
      </c>
      <c r="P724" t="s">
        <v>38</v>
      </c>
      <c r="Q724">
        <v>3857134905033</v>
      </c>
      <c r="R724" t="s">
        <v>328</v>
      </c>
      <c r="S724">
        <v>1820</v>
      </c>
      <c r="T724" t="s">
        <v>40</v>
      </c>
      <c r="U724">
        <f>+IF(Tabla1[[#This Row],[MONEDA]]="PEN",Tabla1[[#This Row],[MONTO]],Tabla1[[#This Row],[MONTO]]*3.56)</f>
        <v>1820</v>
      </c>
      <c r="X724" t="s">
        <v>41</v>
      </c>
      <c r="Y724" t="s">
        <v>42</v>
      </c>
      <c r="Z724" t="s">
        <v>82</v>
      </c>
      <c r="AA724" t="s">
        <v>329</v>
      </c>
      <c r="AB724" t="s">
        <v>330</v>
      </c>
      <c r="AC724" t="s">
        <v>331</v>
      </c>
      <c r="AD724" t="s">
        <v>332</v>
      </c>
      <c r="AE724">
        <v>1638</v>
      </c>
      <c r="AF724" t="s">
        <v>87</v>
      </c>
      <c r="AG724" t="s">
        <v>169</v>
      </c>
    </row>
    <row r="725" spans="1:33" hidden="1" x14ac:dyDescent="0.25">
      <c r="A725">
        <v>40595</v>
      </c>
      <c r="B725" t="s">
        <v>32</v>
      </c>
      <c r="C725">
        <v>1</v>
      </c>
      <c r="D725" t="s">
        <v>2063</v>
      </c>
      <c r="E725" t="s">
        <v>70</v>
      </c>
      <c r="F725" t="s">
        <v>33</v>
      </c>
      <c r="G725" t="s">
        <v>71</v>
      </c>
      <c r="H725" t="s">
        <v>35</v>
      </c>
      <c r="I725" t="s">
        <v>2024</v>
      </c>
      <c r="J725" t="s">
        <v>2064</v>
      </c>
      <c r="K725" t="s">
        <v>36</v>
      </c>
      <c r="L725" t="s">
        <v>33</v>
      </c>
      <c r="M725">
        <v>20614084708</v>
      </c>
      <c r="N725" t="s">
        <v>327</v>
      </c>
      <c r="O725" t="s">
        <v>76</v>
      </c>
      <c r="P725" t="s">
        <v>38</v>
      </c>
      <c r="Q725">
        <v>3857134905033</v>
      </c>
      <c r="R725" t="s">
        <v>2065</v>
      </c>
      <c r="S725">
        <v>1750</v>
      </c>
      <c r="T725" t="s">
        <v>40</v>
      </c>
      <c r="U725">
        <f>+IF(Tabla1[[#This Row],[MONEDA]]="PEN",Tabla1[[#This Row],[MONTO]],Tabla1[[#This Row],[MONTO]]*3.56)</f>
        <v>1750</v>
      </c>
      <c r="X725" t="s">
        <v>41</v>
      </c>
      <c r="Y725" t="s">
        <v>42</v>
      </c>
      <c r="Z725" t="s">
        <v>82</v>
      </c>
      <c r="AA725" t="s">
        <v>2066</v>
      </c>
      <c r="AB725" t="s">
        <v>2067</v>
      </c>
      <c r="AC725" t="s">
        <v>2068</v>
      </c>
      <c r="AD725" t="s">
        <v>2069</v>
      </c>
      <c r="AE725">
        <v>1858.5</v>
      </c>
      <c r="AF725" t="s">
        <v>87</v>
      </c>
      <c r="AG725" t="s">
        <v>169</v>
      </c>
    </row>
    <row r="726" spans="1:33" hidden="1" x14ac:dyDescent="0.25">
      <c r="A726">
        <v>38902</v>
      </c>
      <c r="B726" t="s">
        <v>32</v>
      </c>
      <c r="C726">
        <v>1</v>
      </c>
      <c r="D726" t="s">
        <v>2707</v>
      </c>
      <c r="E726" t="s">
        <v>70</v>
      </c>
      <c r="F726" t="s">
        <v>33</v>
      </c>
      <c r="G726" t="s">
        <v>71</v>
      </c>
      <c r="H726" t="s">
        <v>35</v>
      </c>
      <c r="I726" t="s">
        <v>2689</v>
      </c>
      <c r="J726" t="s">
        <v>2708</v>
      </c>
      <c r="K726" t="s">
        <v>36</v>
      </c>
      <c r="L726" t="s">
        <v>33</v>
      </c>
      <c r="M726">
        <v>20614084708</v>
      </c>
      <c r="N726" t="s">
        <v>327</v>
      </c>
      <c r="O726" t="s">
        <v>76</v>
      </c>
      <c r="P726" t="s">
        <v>38</v>
      </c>
      <c r="Q726">
        <v>3857134905033</v>
      </c>
      <c r="R726" t="s">
        <v>2709</v>
      </c>
      <c r="S726">
        <v>3150</v>
      </c>
      <c r="T726" t="s">
        <v>40</v>
      </c>
      <c r="U726">
        <f>+IF(Tabla1[[#This Row],[MONEDA]]="PEN",Tabla1[[#This Row],[MONTO]],Tabla1[[#This Row],[MONTO]]*3.56)</f>
        <v>3150</v>
      </c>
      <c r="X726" t="s">
        <v>41</v>
      </c>
      <c r="Y726" t="s">
        <v>42</v>
      </c>
      <c r="Z726" t="s">
        <v>82</v>
      </c>
      <c r="AA726" t="s">
        <v>2710</v>
      </c>
      <c r="AB726" t="s">
        <v>2711</v>
      </c>
      <c r="AC726" t="s">
        <v>2712</v>
      </c>
      <c r="AD726" t="s">
        <v>2713</v>
      </c>
      <c r="AE726">
        <v>3345.3</v>
      </c>
      <c r="AF726" t="s">
        <v>87</v>
      </c>
      <c r="AG726" t="s">
        <v>169</v>
      </c>
    </row>
    <row r="727" spans="1:33" hidden="1" x14ac:dyDescent="0.25">
      <c r="A727">
        <v>37813</v>
      </c>
      <c r="B727" t="s">
        <v>32</v>
      </c>
      <c r="C727">
        <v>1</v>
      </c>
      <c r="D727" t="s">
        <v>3057</v>
      </c>
      <c r="E727" t="s">
        <v>70</v>
      </c>
      <c r="F727" t="s">
        <v>33</v>
      </c>
      <c r="G727" t="s">
        <v>71</v>
      </c>
      <c r="H727" t="s">
        <v>35</v>
      </c>
      <c r="I727" t="s">
        <v>3058</v>
      </c>
      <c r="J727" t="s">
        <v>3059</v>
      </c>
      <c r="K727" t="s">
        <v>36</v>
      </c>
      <c r="L727" t="s">
        <v>33</v>
      </c>
      <c r="M727">
        <v>20614084708</v>
      </c>
      <c r="N727" t="s">
        <v>327</v>
      </c>
      <c r="O727" t="s">
        <v>76</v>
      </c>
      <c r="P727" t="s">
        <v>38</v>
      </c>
      <c r="Q727">
        <v>3857134905033</v>
      </c>
      <c r="S727">
        <v>2100</v>
      </c>
      <c r="T727" t="s">
        <v>40</v>
      </c>
      <c r="U727">
        <f>+IF(Tabla1[[#This Row],[MONEDA]]="PEN",Tabla1[[#This Row],[MONTO]],Tabla1[[#This Row],[MONTO]]*3.56)</f>
        <v>2100</v>
      </c>
      <c r="X727" t="s">
        <v>41</v>
      </c>
      <c r="Y727" t="s">
        <v>42</v>
      </c>
      <c r="Z727" t="s">
        <v>82</v>
      </c>
      <c r="AA727" t="s">
        <v>3060</v>
      </c>
      <c r="AB727" t="s">
        <v>3061</v>
      </c>
      <c r="AC727" t="s">
        <v>3062</v>
      </c>
      <c r="AD727" t="s">
        <v>3063</v>
      </c>
      <c r="AE727">
        <v>2230.1999999999998</v>
      </c>
      <c r="AF727" t="s">
        <v>87</v>
      </c>
      <c r="AG727" t="s">
        <v>169</v>
      </c>
    </row>
    <row r="728" spans="1:33" hidden="1" x14ac:dyDescent="0.25">
      <c r="A728">
        <v>34648</v>
      </c>
      <c r="B728" t="s">
        <v>32</v>
      </c>
      <c r="C728">
        <v>1</v>
      </c>
      <c r="D728" t="s">
        <v>4495</v>
      </c>
      <c r="E728" t="s">
        <v>70</v>
      </c>
      <c r="F728" t="s">
        <v>33</v>
      </c>
      <c r="G728" t="s">
        <v>71</v>
      </c>
      <c r="H728" t="s">
        <v>72</v>
      </c>
      <c r="I728" t="s">
        <v>4496</v>
      </c>
      <c r="J728" t="s">
        <v>4497</v>
      </c>
      <c r="K728" t="s">
        <v>36</v>
      </c>
      <c r="L728" t="s">
        <v>33</v>
      </c>
      <c r="M728">
        <v>20614084708</v>
      </c>
      <c r="N728" t="s">
        <v>327</v>
      </c>
      <c r="O728" t="s">
        <v>76</v>
      </c>
      <c r="P728" t="s">
        <v>38</v>
      </c>
      <c r="Q728">
        <v>3857134905033</v>
      </c>
      <c r="R728" t="s">
        <v>4498</v>
      </c>
      <c r="S728">
        <v>2100</v>
      </c>
      <c r="T728" t="s">
        <v>40</v>
      </c>
      <c r="U728">
        <f>+IF(Tabla1[[#This Row],[MONEDA]]="PEN",Tabla1[[#This Row],[MONTO]],Tabla1[[#This Row],[MONTO]]*3.56)</f>
        <v>2100</v>
      </c>
      <c r="X728" t="s">
        <v>828</v>
      </c>
      <c r="Y728" t="s">
        <v>42</v>
      </c>
      <c r="Z728" t="s">
        <v>43</v>
      </c>
      <c r="AA728" t="s">
        <v>4499</v>
      </c>
      <c r="AB728" t="s">
        <v>4500</v>
      </c>
      <c r="AC728" t="s">
        <v>4501</v>
      </c>
      <c r="AD728" t="s">
        <v>4502</v>
      </c>
      <c r="AE728">
        <v>2230.1999999999998</v>
      </c>
      <c r="AF728" t="s">
        <v>87</v>
      </c>
      <c r="AG728" t="s">
        <v>169</v>
      </c>
    </row>
    <row r="729" spans="1:33" x14ac:dyDescent="0.25">
      <c r="A729">
        <v>43328</v>
      </c>
      <c r="B729" t="s">
        <v>32</v>
      </c>
      <c r="C729">
        <v>1</v>
      </c>
      <c r="D729" t="s">
        <v>522</v>
      </c>
      <c r="E729" t="s">
        <v>45</v>
      </c>
      <c r="F729" t="s">
        <v>90</v>
      </c>
      <c r="G729" t="s">
        <v>91</v>
      </c>
      <c r="H729" t="s">
        <v>35</v>
      </c>
      <c r="I729" t="s">
        <v>523</v>
      </c>
      <c r="J729" t="s">
        <v>524</v>
      </c>
      <c r="K729" t="s">
        <v>36</v>
      </c>
      <c r="L729" t="s">
        <v>33</v>
      </c>
      <c r="M729">
        <v>20611349603</v>
      </c>
      <c r="N729" t="s">
        <v>525</v>
      </c>
      <c r="P729" t="s">
        <v>526</v>
      </c>
      <c r="Q729" t="s">
        <v>527</v>
      </c>
      <c r="R729" t="s">
        <v>528</v>
      </c>
      <c r="S729">
        <v>625.4</v>
      </c>
      <c r="T729" t="s">
        <v>80</v>
      </c>
      <c r="U729">
        <f>+IF(Tabla1[[#This Row],[MONEDA]]="PEN",Tabla1[[#This Row],[MONTO]],Tabla1[[#This Row],[MONTO]]*3.56)</f>
        <v>2226.424</v>
      </c>
      <c r="X729" t="s">
        <v>41</v>
      </c>
      <c r="Y729" t="s">
        <v>51</v>
      </c>
      <c r="Z729" t="s">
        <v>43</v>
      </c>
      <c r="AB729" t="s">
        <v>529</v>
      </c>
    </row>
    <row r="730" spans="1:33" hidden="1" x14ac:dyDescent="0.25">
      <c r="A730">
        <v>37788</v>
      </c>
      <c r="B730" t="s">
        <v>32</v>
      </c>
      <c r="C730">
        <v>2</v>
      </c>
      <c r="D730" t="s">
        <v>3173</v>
      </c>
      <c r="E730" t="s">
        <v>70</v>
      </c>
      <c r="F730" t="s">
        <v>33</v>
      </c>
      <c r="G730" t="s">
        <v>71</v>
      </c>
      <c r="H730" t="s">
        <v>35</v>
      </c>
      <c r="I730" t="s">
        <v>3134</v>
      </c>
      <c r="J730" t="s">
        <v>3174</v>
      </c>
      <c r="K730" t="s">
        <v>36</v>
      </c>
      <c r="L730" t="s">
        <v>33</v>
      </c>
      <c r="M730">
        <v>20600201957</v>
      </c>
      <c r="N730" t="s">
        <v>3175</v>
      </c>
      <c r="O730" t="s">
        <v>76</v>
      </c>
      <c r="P730" t="s">
        <v>38</v>
      </c>
      <c r="Q730">
        <v>2152247697025</v>
      </c>
      <c r="R730" t="s">
        <v>3176</v>
      </c>
      <c r="S730">
        <v>240</v>
      </c>
      <c r="T730" t="s">
        <v>40</v>
      </c>
      <c r="U730">
        <f>+IF(Tabla1[[#This Row],[MONEDA]]="PEN",Tabla1[[#This Row],[MONTO]],Tabla1[[#This Row],[MONTO]]*3.56)</f>
        <v>240</v>
      </c>
      <c r="X730" t="s">
        <v>41</v>
      </c>
      <c r="Y730" t="s">
        <v>42</v>
      </c>
      <c r="Z730" t="s">
        <v>82</v>
      </c>
      <c r="AA730" t="s">
        <v>3177</v>
      </c>
      <c r="AB730" t="s">
        <v>3178</v>
      </c>
      <c r="AC730" t="s">
        <v>3179</v>
      </c>
      <c r="AD730" t="s">
        <v>3180</v>
      </c>
      <c r="AE730">
        <v>283.2</v>
      </c>
      <c r="AF730" t="s">
        <v>87</v>
      </c>
      <c r="AG730" t="s">
        <v>169</v>
      </c>
    </row>
    <row r="731" spans="1:33" hidden="1" x14ac:dyDescent="0.25">
      <c r="A731">
        <v>36988</v>
      </c>
      <c r="B731" t="s">
        <v>32</v>
      </c>
      <c r="C731">
        <v>1</v>
      </c>
      <c r="D731" t="s">
        <v>3539</v>
      </c>
      <c r="E731" t="s">
        <v>70</v>
      </c>
      <c r="F731" t="s">
        <v>33</v>
      </c>
      <c r="G731" t="s">
        <v>71</v>
      </c>
      <c r="H731" t="s">
        <v>35</v>
      </c>
      <c r="I731" t="s">
        <v>3536</v>
      </c>
      <c r="J731" t="s">
        <v>3540</v>
      </c>
      <c r="K731" t="s">
        <v>36</v>
      </c>
      <c r="L731" t="s">
        <v>33</v>
      </c>
      <c r="M731">
        <v>20600201957</v>
      </c>
      <c r="N731" t="s">
        <v>3175</v>
      </c>
      <c r="O731" t="s">
        <v>76</v>
      </c>
      <c r="P731" t="s">
        <v>38</v>
      </c>
      <c r="Q731">
        <v>2152247697025</v>
      </c>
      <c r="R731" t="s">
        <v>3541</v>
      </c>
      <c r="S731">
        <v>240</v>
      </c>
      <c r="T731" t="s">
        <v>40</v>
      </c>
      <c r="U731">
        <f>+IF(Tabla1[[#This Row],[MONEDA]]="PEN",Tabla1[[#This Row],[MONTO]],Tabla1[[#This Row],[MONTO]]*3.56)</f>
        <v>240</v>
      </c>
      <c r="X731" t="s">
        <v>41</v>
      </c>
      <c r="Y731" t="s">
        <v>42</v>
      </c>
      <c r="Z731" t="s">
        <v>43</v>
      </c>
      <c r="AA731" t="s">
        <v>3542</v>
      </c>
      <c r="AB731" t="s">
        <v>3543</v>
      </c>
      <c r="AC731" t="s">
        <v>3544</v>
      </c>
      <c r="AD731" t="s">
        <v>3545</v>
      </c>
      <c r="AE731">
        <v>283.2</v>
      </c>
      <c r="AG731" t="s">
        <v>169</v>
      </c>
    </row>
    <row r="732" spans="1:33" hidden="1" x14ac:dyDescent="0.25">
      <c r="A732">
        <v>31801</v>
      </c>
      <c r="B732" t="s">
        <v>32</v>
      </c>
      <c r="C732">
        <v>1</v>
      </c>
      <c r="D732" t="s">
        <v>5661</v>
      </c>
      <c r="E732" t="s">
        <v>70</v>
      </c>
      <c r="F732" t="s">
        <v>33</v>
      </c>
      <c r="G732" t="s">
        <v>71</v>
      </c>
      <c r="H732" t="s">
        <v>72</v>
      </c>
      <c r="I732" t="s">
        <v>5662</v>
      </c>
      <c r="J732" t="s">
        <v>5663</v>
      </c>
      <c r="K732" t="s">
        <v>36</v>
      </c>
      <c r="L732" t="s">
        <v>33</v>
      </c>
      <c r="M732">
        <v>20600201957</v>
      </c>
      <c r="N732" t="s">
        <v>3175</v>
      </c>
      <c r="O732" t="s">
        <v>76</v>
      </c>
      <c r="P732" t="s">
        <v>38</v>
      </c>
      <c r="Q732">
        <v>2152247697025</v>
      </c>
      <c r="R732" t="s">
        <v>5664</v>
      </c>
      <c r="S732">
        <v>188.8</v>
      </c>
      <c r="T732" t="s">
        <v>40</v>
      </c>
      <c r="U732">
        <f>+IF(Tabla1[[#This Row],[MONEDA]]="PEN",Tabla1[[#This Row],[MONTO]],Tabla1[[#This Row],[MONTO]]*3.56)</f>
        <v>188.8</v>
      </c>
      <c r="X732" t="s">
        <v>41</v>
      </c>
      <c r="Y732" t="s">
        <v>42</v>
      </c>
      <c r="Z732" t="s">
        <v>43</v>
      </c>
      <c r="AA732" t="s">
        <v>5665</v>
      </c>
      <c r="AB732" t="s">
        <v>5666</v>
      </c>
      <c r="AC732" t="s">
        <v>5667</v>
      </c>
      <c r="AD732" t="s">
        <v>5668</v>
      </c>
      <c r="AE732">
        <v>188.8</v>
      </c>
      <c r="AF732" t="s">
        <v>87</v>
      </c>
      <c r="AG732" t="s">
        <v>169</v>
      </c>
    </row>
    <row r="733" spans="1:33" hidden="1" x14ac:dyDescent="0.25">
      <c r="A733">
        <v>27324</v>
      </c>
      <c r="B733" t="s">
        <v>32</v>
      </c>
      <c r="C733">
        <v>1</v>
      </c>
      <c r="D733" t="s">
        <v>8535</v>
      </c>
      <c r="E733" t="s">
        <v>70</v>
      </c>
      <c r="F733" t="s">
        <v>33</v>
      </c>
      <c r="G733" t="s">
        <v>71</v>
      </c>
      <c r="H733" t="s">
        <v>72</v>
      </c>
      <c r="I733" t="s">
        <v>8536</v>
      </c>
      <c r="J733" t="s">
        <v>8537</v>
      </c>
      <c r="K733" t="s">
        <v>36</v>
      </c>
      <c r="L733" t="s">
        <v>33</v>
      </c>
      <c r="M733">
        <v>20600201957</v>
      </c>
      <c r="N733" t="s">
        <v>3175</v>
      </c>
      <c r="O733" t="s">
        <v>76</v>
      </c>
      <c r="P733" t="s">
        <v>38</v>
      </c>
      <c r="Q733">
        <v>2152247697025</v>
      </c>
      <c r="R733" t="s">
        <v>8538</v>
      </c>
      <c r="S733">
        <v>354</v>
      </c>
      <c r="T733" t="s">
        <v>40</v>
      </c>
      <c r="U733">
        <f>+IF(Tabla1[[#This Row],[MONEDA]]="PEN",Tabla1[[#This Row],[MONTO]],Tabla1[[#This Row],[MONTO]]*3.56)</f>
        <v>354</v>
      </c>
      <c r="X733" t="s">
        <v>828</v>
      </c>
      <c r="Y733" t="s">
        <v>42</v>
      </c>
      <c r="Z733" t="s">
        <v>43</v>
      </c>
      <c r="AA733" t="s">
        <v>8539</v>
      </c>
      <c r="AB733" t="s">
        <v>8540</v>
      </c>
      <c r="AC733" t="s">
        <v>8541</v>
      </c>
      <c r="AD733" t="s">
        <v>8542</v>
      </c>
      <c r="AE733">
        <v>354</v>
      </c>
      <c r="AF733" t="s">
        <v>87</v>
      </c>
      <c r="AG733" t="s">
        <v>169</v>
      </c>
    </row>
    <row r="734" spans="1:33" x14ac:dyDescent="0.25">
      <c r="A734">
        <v>39229</v>
      </c>
      <c r="B734" t="s">
        <v>32</v>
      </c>
      <c r="C734">
        <v>1</v>
      </c>
      <c r="D734" t="s">
        <v>2532</v>
      </c>
      <c r="E734" t="s">
        <v>70</v>
      </c>
      <c r="F734" t="s">
        <v>90</v>
      </c>
      <c r="G734" t="s">
        <v>91</v>
      </c>
      <c r="H734" t="s">
        <v>35</v>
      </c>
      <c r="I734" t="s">
        <v>2525</v>
      </c>
      <c r="J734" t="s">
        <v>2533</v>
      </c>
      <c r="K734" t="s">
        <v>36</v>
      </c>
      <c r="L734" t="s">
        <v>33</v>
      </c>
      <c r="M734">
        <v>20282818036</v>
      </c>
      <c r="N734" t="s">
        <v>2534</v>
      </c>
      <c r="P734" t="s">
        <v>2535</v>
      </c>
      <c r="Q734" t="s">
        <v>2536</v>
      </c>
      <c r="R734" t="s">
        <v>2537</v>
      </c>
      <c r="S734">
        <v>13452</v>
      </c>
      <c r="T734" t="s">
        <v>80</v>
      </c>
      <c r="U734">
        <f>+IF(Tabla1[[#This Row],[MONEDA]]="PEN",Tabla1[[#This Row],[MONTO]],Tabla1[[#This Row],[MONTO]]*3.56)</f>
        <v>47889.120000000003</v>
      </c>
      <c r="X734" t="s">
        <v>41</v>
      </c>
      <c r="Y734" t="s">
        <v>42</v>
      </c>
      <c r="Z734" t="s">
        <v>82</v>
      </c>
      <c r="AA734" t="s">
        <v>2538</v>
      </c>
      <c r="AB734" t="s">
        <v>2539</v>
      </c>
      <c r="AC734" t="s">
        <v>2540</v>
      </c>
      <c r="AD734" t="s">
        <v>2541</v>
      </c>
      <c r="AE734">
        <v>11837.76</v>
      </c>
      <c r="AF734" t="s">
        <v>87</v>
      </c>
      <c r="AG734" t="s">
        <v>2531</v>
      </c>
    </row>
    <row r="735" spans="1:33" x14ac:dyDescent="0.25">
      <c r="A735">
        <v>37027</v>
      </c>
      <c r="B735" t="s">
        <v>32</v>
      </c>
      <c r="C735">
        <v>1</v>
      </c>
      <c r="D735" t="s">
        <v>3526</v>
      </c>
      <c r="E735" t="s">
        <v>70</v>
      </c>
      <c r="F735" t="s">
        <v>3256</v>
      </c>
      <c r="G735" t="s">
        <v>3257</v>
      </c>
      <c r="H735" t="s">
        <v>159</v>
      </c>
      <c r="I735" t="s">
        <v>3527</v>
      </c>
      <c r="J735" t="s">
        <v>3528</v>
      </c>
      <c r="K735" t="s">
        <v>36</v>
      </c>
      <c r="L735" t="s">
        <v>33</v>
      </c>
      <c r="M735">
        <v>20606236183</v>
      </c>
      <c r="N735" t="s">
        <v>3529</v>
      </c>
      <c r="P735" t="s">
        <v>38</v>
      </c>
      <c r="Q735" t="s">
        <v>3530</v>
      </c>
      <c r="R735" t="s">
        <v>3531</v>
      </c>
      <c r="S735">
        <v>188.8</v>
      </c>
      <c r="T735" t="s">
        <v>40</v>
      </c>
      <c r="U735">
        <f>+IF(Tabla1[[#This Row],[MONEDA]]="PEN",Tabla1[[#This Row],[MONTO]],Tabla1[[#This Row],[MONTO]]*3.56)</f>
        <v>188.8</v>
      </c>
      <c r="X735" t="s">
        <v>41</v>
      </c>
      <c r="Y735" t="s">
        <v>42</v>
      </c>
      <c r="Z735" t="s">
        <v>82</v>
      </c>
      <c r="AA735" t="s">
        <v>3532</v>
      </c>
      <c r="AB735" t="s">
        <v>3533</v>
      </c>
      <c r="AC735" t="s">
        <v>3534</v>
      </c>
      <c r="AD735" t="s">
        <v>3535</v>
      </c>
      <c r="AE735">
        <v>188.8</v>
      </c>
      <c r="AF735" t="s">
        <v>87</v>
      </c>
      <c r="AG735" t="s">
        <v>169</v>
      </c>
    </row>
    <row r="736" spans="1:33" hidden="1" x14ac:dyDescent="0.25">
      <c r="A736">
        <v>44893</v>
      </c>
      <c r="B736" t="s">
        <v>32</v>
      </c>
      <c r="C736">
        <v>2</v>
      </c>
      <c r="D736" t="s">
        <v>402</v>
      </c>
      <c r="E736" t="s">
        <v>70</v>
      </c>
      <c r="F736" t="s">
        <v>33</v>
      </c>
      <c r="G736" t="s">
        <v>71</v>
      </c>
      <c r="H736" t="s">
        <v>35</v>
      </c>
      <c r="I736" t="s">
        <v>368</v>
      </c>
      <c r="J736" t="s">
        <v>403</v>
      </c>
      <c r="K736" t="s">
        <v>36</v>
      </c>
      <c r="L736" t="s">
        <v>33</v>
      </c>
      <c r="M736">
        <v>20612471020</v>
      </c>
      <c r="N736" t="s">
        <v>404</v>
      </c>
      <c r="O736" t="s">
        <v>76</v>
      </c>
      <c r="P736" t="s">
        <v>38</v>
      </c>
      <c r="Q736" t="s">
        <v>405</v>
      </c>
      <c r="R736" t="s">
        <v>406</v>
      </c>
      <c r="S736">
        <v>600</v>
      </c>
      <c r="T736" t="s">
        <v>40</v>
      </c>
      <c r="U736">
        <f>+IF(Tabla1[[#This Row],[MONEDA]]="PEN",Tabla1[[#This Row],[MONTO]],Tabla1[[#This Row],[MONTO]]*3.56)</f>
        <v>600</v>
      </c>
      <c r="X736" t="s">
        <v>81</v>
      </c>
      <c r="Y736" t="s">
        <v>51</v>
      </c>
      <c r="Z736" t="s">
        <v>43</v>
      </c>
      <c r="AA736" t="s">
        <v>407</v>
      </c>
      <c r="AB736" t="s">
        <v>408</v>
      </c>
      <c r="AC736" t="s">
        <v>409</v>
      </c>
      <c r="AE736">
        <v>600</v>
      </c>
      <c r="AF736" t="s">
        <v>87</v>
      </c>
      <c r="AG736" t="s">
        <v>169</v>
      </c>
    </row>
    <row r="737" spans="1:33" hidden="1" x14ac:dyDescent="0.25">
      <c r="A737">
        <v>41899</v>
      </c>
      <c r="B737" t="s">
        <v>32</v>
      </c>
      <c r="C737">
        <v>1</v>
      </c>
      <c r="D737" t="s">
        <v>1119</v>
      </c>
      <c r="E737" t="s">
        <v>70</v>
      </c>
      <c r="F737" t="s">
        <v>33</v>
      </c>
      <c r="G737" t="s">
        <v>71</v>
      </c>
      <c r="H737" t="s">
        <v>35</v>
      </c>
      <c r="I737" t="s">
        <v>1120</v>
      </c>
      <c r="J737" t="s">
        <v>1121</v>
      </c>
      <c r="K737" t="s">
        <v>36</v>
      </c>
      <c r="L737" t="s">
        <v>33</v>
      </c>
      <c r="M737">
        <v>20612471020</v>
      </c>
      <c r="N737" t="s">
        <v>404</v>
      </c>
      <c r="O737" t="s">
        <v>76</v>
      </c>
      <c r="P737" t="s">
        <v>38</v>
      </c>
      <c r="Q737" t="s">
        <v>405</v>
      </c>
      <c r="R737" t="s">
        <v>1122</v>
      </c>
      <c r="S737">
        <v>600</v>
      </c>
      <c r="T737" t="s">
        <v>40</v>
      </c>
      <c r="U737">
        <f>+IF(Tabla1[[#This Row],[MONEDA]]="PEN",Tabla1[[#This Row],[MONTO]],Tabla1[[#This Row],[MONTO]]*3.56)</f>
        <v>600</v>
      </c>
      <c r="X737" t="s">
        <v>81</v>
      </c>
      <c r="Y737" t="s">
        <v>42</v>
      </c>
      <c r="Z737" t="s">
        <v>82</v>
      </c>
      <c r="AA737" t="s">
        <v>1123</v>
      </c>
      <c r="AB737" t="s">
        <v>1124</v>
      </c>
      <c r="AC737" t="s">
        <v>1125</v>
      </c>
      <c r="AD737" t="s">
        <v>1126</v>
      </c>
      <c r="AE737">
        <v>600</v>
      </c>
      <c r="AF737" t="s">
        <v>87</v>
      </c>
      <c r="AG737" t="s">
        <v>169</v>
      </c>
    </row>
    <row r="738" spans="1:33" hidden="1" x14ac:dyDescent="0.25">
      <c r="A738">
        <v>40876</v>
      </c>
      <c r="B738" t="s">
        <v>32</v>
      </c>
      <c r="C738">
        <v>1</v>
      </c>
      <c r="D738" t="s">
        <v>1839</v>
      </c>
      <c r="E738" t="s">
        <v>70</v>
      </c>
      <c r="F738" t="s">
        <v>33</v>
      </c>
      <c r="G738" t="s">
        <v>71</v>
      </c>
      <c r="H738" t="s">
        <v>35</v>
      </c>
      <c r="I738" t="s">
        <v>1830</v>
      </c>
      <c r="J738" t="s">
        <v>1840</v>
      </c>
      <c r="K738" t="s">
        <v>36</v>
      </c>
      <c r="L738" t="s">
        <v>33</v>
      </c>
      <c r="M738">
        <v>20612471020</v>
      </c>
      <c r="N738" t="s">
        <v>404</v>
      </c>
      <c r="O738" t="s">
        <v>76</v>
      </c>
      <c r="P738" t="s">
        <v>38</v>
      </c>
      <c r="Q738" t="s">
        <v>405</v>
      </c>
      <c r="R738" t="s">
        <v>1841</v>
      </c>
      <c r="S738">
        <v>650</v>
      </c>
      <c r="T738" t="s">
        <v>40</v>
      </c>
      <c r="U738">
        <f>+IF(Tabla1[[#This Row],[MONEDA]]="PEN",Tabla1[[#This Row],[MONTO]],Tabla1[[#This Row],[MONTO]]*3.56)</f>
        <v>650</v>
      </c>
      <c r="X738" t="s">
        <v>81</v>
      </c>
      <c r="Y738" t="s">
        <v>42</v>
      </c>
      <c r="Z738" t="s">
        <v>82</v>
      </c>
      <c r="AA738" t="s">
        <v>1842</v>
      </c>
      <c r="AB738" t="s">
        <v>1843</v>
      </c>
      <c r="AC738" t="s">
        <v>1844</v>
      </c>
      <c r="AD738" t="s">
        <v>1845</v>
      </c>
      <c r="AE738">
        <v>650</v>
      </c>
      <c r="AF738" t="s">
        <v>87</v>
      </c>
      <c r="AG738" t="s">
        <v>169</v>
      </c>
    </row>
    <row r="739" spans="1:33" hidden="1" x14ac:dyDescent="0.25">
      <c r="A739">
        <v>37790</v>
      </c>
      <c r="B739" t="s">
        <v>32</v>
      </c>
      <c r="C739">
        <v>2</v>
      </c>
      <c r="D739" t="s">
        <v>3181</v>
      </c>
      <c r="E739" t="s">
        <v>70</v>
      </c>
      <c r="F739" t="s">
        <v>33</v>
      </c>
      <c r="G739" t="s">
        <v>71</v>
      </c>
      <c r="H739" t="s">
        <v>35</v>
      </c>
      <c r="I739" t="s">
        <v>3134</v>
      </c>
      <c r="J739" t="s">
        <v>3182</v>
      </c>
      <c r="K739" t="s">
        <v>36</v>
      </c>
      <c r="L739" t="s">
        <v>33</v>
      </c>
      <c r="M739">
        <v>20612471020</v>
      </c>
      <c r="N739" t="s">
        <v>404</v>
      </c>
      <c r="O739" t="s">
        <v>76</v>
      </c>
      <c r="P739" t="s">
        <v>38</v>
      </c>
      <c r="Q739" t="s">
        <v>405</v>
      </c>
      <c r="R739" t="s">
        <v>3183</v>
      </c>
      <c r="S739">
        <v>300</v>
      </c>
      <c r="T739" t="s">
        <v>40</v>
      </c>
      <c r="U739">
        <f>+IF(Tabla1[[#This Row],[MONEDA]]="PEN",Tabla1[[#This Row],[MONTO]],Tabla1[[#This Row],[MONTO]]*3.56)</f>
        <v>300</v>
      </c>
      <c r="X739" t="s">
        <v>81</v>
      </c>
      <c r="Y739" t="s">
        <v>42</v>
      </c>
      <c r="Z739" t="s">
        <v>82</v>
      </c>
      <c r="AA739" t="s">
        <v>3184</v>
      </c>
      <c r="AB739" t="s">
        <v>3185</v>
      </c>
      <c r="AC739" t="s">
        <v>3186</v>
      </c>
      <c r="AD739" t="s">
        <v>3187</v>
      </c>
      <c r="AE739">
        <v>300</v>
      </c>
      <c r="AF739" t="s">
        <v>87</v>
      </c>
      <c r="AG739" t="s">
        <v>169</v>
      </c>
    </row>
    <row r="740" spans="1:33" hidden="1" x14ac:dyDescent="0.25">
      <c r="A740">
        <v>35832</v>
      </c>
      <c r="B740" t="s">
        <v>32</v>
      </c>
      <c r="C740">
        <v>1</v>
      </c>
      <c r="D740" t="s">
        <v>4161</v>
      </c>
      <c r="E740" t="s">
        <v>70</v>
      </c>
      <c r="F740" t="s">
        <v>33</v>
      </c>
      <c r="G740" t="s">
        <v>71</v>
      </c>
      <c r="H740" t="s">
        <v>35</v>
      </c>
      <c r="I740" t="s">
        <v>4162</v>
      </c>
      <c r="J740" t="s">
        <v>4163</v>
      </c>
      <c r="K740" t="s">
        <v>36</v>
      </c>
      <c r="L740" t="s">
        <v>33</v>
      </c>
      <c r="M740">
        <v>20612471020</v>
      </c>
      <c r="N740" t="s">
        <v>404</v>
      </c>
      <c r="O740" t="s">
        <v>76</v>
      </c>
      <c r="P740" t="s">
        <v>38</v>
      </c>
      <c r="Q740" t="s">
        <v>405</v>
      </c>
      <c r="R740" t="s">
        <v>4164</v>
      </c>
      <c r="S740">
        <v>720</v>
      </c>
      <c r="T740" t="s">
        <v>40</v>
      </c>
      <c r="U740">
        <f>+IF(Tabla1[[#This Row],[MONEDA]]="PEN",Tabla1[[#This Row],[MONTO]],Tabla1[[#This Row],[MONTO]]*3.56)</f>
        <v>720</v>
      </c>
      <c r="X740" t="s">
        <v>81</v>
      </c>
      <c r="Y740" t="s">
        <v>42</v>
      </c>
      <c r="Z740" t="s">
        <v>43</v>
      </c>
      <c r="AA740" t="s">
        <v>4165</v>
      </c>
      <c r="AB740" t="s">
        <v>4166</v>
      </c>
      <c r="AC740" t="s">
        <v>4167</v>
      </c>
      <c r="AD740" t="s">
        <v>4168</v>
      </c>
      <c r="AE740">
        <v>698.4</v>
      </c>
      <c r="AF740" t="s">
        <v>87</v>
      </c>
      <c r="AG740" t="s">
        <v>169</v>
      </c>
    </row>
    <row r="741" spans="1:33" hidden="1" x14ac:dyDescent="0.25">
      <c r="A741">
        <v>33826</v>
      </c>
      <c r="B741" t="s">
        <v>32</v>
      </c>
      <c r="C741">
        <v>1</v>
      </c>
      <c r="D741" t="s">
        <v>4842</v>
      </c>
      <c r="E741" t="s">
        <v>70</v>
      </c>
      <c r="F741" t="s">
        <v>33</v>
      </c>
      <c r="G741" t="s">
        <v>71</v>
      </c>
      <c r="H741" t="s">
        <v>35</v>
      </c>
      <c r="I741" t="s">
        <v>4828</v>
      </c>
      <c r="J741" t="s">
        <v>4843</v>
      </c>
      <c r="K741" t="s">
        <v>36</v>
      </c>
      <c r="L741" t="s">
        <v>33</v>
      </c>
      <c r="M741">
        <v>20612471020</v>
      </c>
      <c r="N741" t="s">
        <v>404</v>
      </c>
      <c r="O741" t="s">
        <v>76</v>
      </c>
      <c r="P741" t="s">
        <v>38</v>
      </c>
      <c r="Q741" t="s">
        <v>405</v>
      </c>
      <c r="R741" t="s">
        <v>4844</v>
      </c>
      <c r="S741">
        <v>500</v>
      </c>
      <c r="T741" t="s">
        <v>40</v>
      </c>
      <c r="U741">
        <f>+IF(Tabla1[[#This Row],[MONEDA]]="PEN",Tabla1[[#This Row],[MONTO]],Tabla1[[#This Row],[MONTO]]*3.56)</f>
        <v>500</v>
      </c>
      <c r="X741" t="s">
        <v>81</v>
      </c>
      <c r="Y741" t="s">
        <v>42</v>
      </c>
      <c r="Z741" t="s">
        <v>43</v>
      </c>
      <c r="AA741" t="s">
        <v>4845</v>
      </c>
      <c r="AB741" t="s">
        <v>4846</v>
      </c>
      <c r="AC741" t="s">
        <v>4847</v>
      </c>
      <c r="AD741" t="s">
        <v>4848</v>
      </c>
      <c r="AE741">
        <v>500</v>
      </c>
      <c r="AF741" t="s">
        <v>87</v>
      </c>
      <c r="AG741" t="s">
        <v>169</v>
      </c>
    </row>
    <row r="742" spans="1:33" hidden="1" x14ac:dyDescent="0.25">
      <c r="A742">
        <v>32824</v>
      </c>
      <c r="B742" t="s">
        <v>32</v>
      </c>
      <c r="C742">
        <v>1</v>
      </c>
      <c r="D742" t="s">
        <v>5205</v>
      </c>
      <c r="E742" t="s">
        <v>70</v>
      </c>
      <c r="F742" t="s">
        <v>33</v>
      </c>
      <c r="G742" t="s">
        <v>71</v>
      </c>
      <c r="H742" t="s">
        <v>35</v>
      </c>
      <c r="I742" t="s">
        <v>5199</v>
      </c>
      <c r="J742" t="s">
        <v>5206</v>
      </c>
      <c r="K742" t="s">
        <v>36</v>
      </c>
      <c r="L742" t="s">
        <v>33</v>
      </c>
      <c r="M742">
        <v>20612471020</v>
      </c>
      <c r="N742" t="s">
        <v>404</v>
      </c>
      <c r="O742" t="s">
        <v>76</v>
      </c>
      <c r="P742" t="s">
        <v>38</v>
      </c>
      <c r="Q742" t="s">
        <v>405</v>
      </c>
      <c r="R742" t="s">
        <v>5207</v>
      </c>
      <c r="S742">
        <v>400</v>
      </c>
      <c r="T742" t="s">
        <v>40</v>
      </c>
      <c r="U742">
        <f>+IF(Tabla1[[#This Row],[MONEDA]]="PEN",Tabla1[[#This Row],[MONTO]],Tabla1[[#This Row],[MONTO]]*3.56)</f>
        <v>400</v>
      </c>
      <c r="X742" t="s">
        <v>81</v>
      </c>
      <c r="Y742" t="s">
        <v>42</v>
      </c>
      <c r="Z742" t="s">
        <v>43</v>
      </c>
      <c r="AA742" t="s">
        <v>5208</v>
      </c>
      <c r="AB742" t="s">
        <v>5209</v>
      </c>
      <c r="AC742" t="s">
        <v>5210</v>
      </c>
      <c r="AD742" t="s">
        <v>5211</v>
      </c>
      <c r="AE742">
        <v>400</v>
      </c>
      <c r="AF742" t="s">
        <v>87</v>
      </c>
      <c r="AG742" t="s">
        <v>169</v>
      </c>
    </row>
    <row r="743" spans="1:33" hidden="1" x14ac:dyDescent="0.25">
      <c r="A743">
        <v>29741</v>
      </c>
      <c r="B743" t="s">
        <v>32</v>
      </c>
      <c r="C743">
        <v>1</v>
      </c>
      <c r="D743" t="s">
        <v>6855</v>
      </c>
      <c r="E743" t="s">
        <v>70</v>
      </c>
      <c r="F743" t="s">
        <v>33</v>
      </c>
      <c r="G743" t="s">
        <v>71</v>
      </c>
      <c r="H743" t="s">
        <v>35</v>
      </c>
      <c r="I743" t="s">
        <v>6848</v>
      </c>
      <c r="J743" t="s">
        <v>6856</v>
      </c>
      <c r="K743" t="s">
        <v>36</v>
      </c>
      <c r="L743" t="s">
        <v>33</v>
      </c>
      <c r="M743">
        <v>20612471020</v>
      </c>
      <c r="N743" t="s">
        <v>404</v>
      </c>
      <c r="O743" t="s">
        <v>76</v>
      </c>
      <c r="P743" t="s">
        <v>38</v>
      </c>
      <c r="Q743" t="s">
        <v>405</v>
      </c>
      <c r="R743" t="s">
        <v>6857</v>
      </c>
      <c r="S743">
        <v>200</v>
      </c>
      <c r="T743" t="s">
        <v>40</v>
      </c>
      <c r="U743">
        <f>+IF(Tabla1[[#This Row],[MONEDA]]="PEN",Tabla1[[#This Row],[MONTO]],Tabla1[[#This Row],[MONTO]]*3.56)</f>
        <v>200</v>
      </c>
      <c r="X743" t="s">
        <v>81</v>
      </c>
      <c r="Y743" t="s">
        <v>42</v>
      </c>
      <c r="Z743" t="s">
        <v>43</v>
      </c>
      <c r="AA743" t="s">
        <v>6858</v>
      </c>
      <c r="AB743" t="s">
        <v>6859</v>
      </c>
      <c r="AC743" t="s">
        <v>6860</v>
      </c>
      <c r="AD743" t="s">
        <v>6861</v>
      </c>
      <c r="AE743">
        <v>200</v>
      </c>
      <c r="AF743" t="s">
        <v>87</v>
      </c>
      <c r="AG743" t="s">
        <v>169</v>
      </c>
    </row>
    <row r="744" spans="1:33" x14ac:dyDescent="0.25">
      <c r="A744">
        <v>28784</v>
      </c>
      <c r="B744" t="s">
        <v>32</v>
      </c>
      <c r="C744">
        <v>1</v>
      </c>
      <c r="D744" t="s">
        <v>7378</v>
      </c>
      <c r="E744" t="s">
        <v>70</v>
      </c>
      <c r="F744" t="s">
        <v>5328</v>
      </c>
      <c r="G744" t="s">
        <v>5329</v>
      </c>
      <c r="H744" t="s">
        <v>72</v>
      </c>
      <c r="I744" t="s">
        <v>7371</v>
      </c>
      <c r="J744" t="s">
        <v>7379</v>
      </c>
      <c r="K744" t="s">
        <v>36</v>
      </c>
      <c r="L744" t="s">
        <v>33</v>
      </c>
      <c r="M744">
        <v>20612471020</v>
      </c>
      <c r="N744" t="s">
        <v>404</v>
      </c>
      <c r="O744" t="s">
        <v>6159</v>
      </c>
      <c r="P744" t="s">
        <v>38</v>
      </c>
      <c r="Q744" t="s">
        <v>405</v>
      </c>
      <c r="R744" t="s">
        <v>7380</v>
      </c>
      <c r="S744">
        <v>400</v>
      </c>
      <c r="T744" t="s">
        <v>40</v>
      </c>
      <c r="U744">
        <f>+IF(Tabla1[[#This Row],[MONEDA]]="PEN",Tabla1[[#This Row],[MONTO]],Tabla1[[#This Row],[MONTO]]*3.56)</f>
        <v>400</v>
      </c>
      <c r="X744" t="s">
        <v>81</v>
      </c>
      <c r="Y744" t="s">
        <v>42</v>
      </c>
      <c r="Z744" t="s">
        <v>43</v>
      </c>
      <c r="AA744" t="s">
        <v>7381</v>
      </c>
      <c r="AB744" t="s">
        <v>7382</v>
      </c>
      <c r="AC744" t="s">
        <v>7383</v>
      </c>
      <c r="AD744" t="s">
        <v>7384</v>
      </c>
      <c r="AE744">
        <v>400</v>
      </c>
      <c r="AF744" t="s">
        <v>87</v>
      </c>
      <c r="AG744" t="s">
        <v>169</v>
      </c>
    </row>
    <row r="745" spans="1:33" x14ac:dyDescent="0.25">
      <c r="A745">
        <v>27621</v>
      </c>
      <c r="B745" t="s">
        <v>32</v>
      </c>
      <c r="C745">
        <v>1</v>
      </c>
      <c r="D745" t="s">
        <v>8167</v>
      </c>
      <c r="E745" t="s">
        <v>70</v>
      </c>
      <c r="F745" t="s">
        <v>5328</v>
      </c>
      <c r="G745" t="s">
        <v>5329</v>
      </c>
      <c r="H745" t="s">
        <v>72</v>
      </c>
      <c r="I745" t="s">
        <v>8168</v>
      </c>
      <c r="J745" t="s">
        <v>8169</v>
      </c>
      <c r="K745" t="s">
        <v>36</v>
      </c>
      <c r="L745" t="s">
        <v>33</v>
      </c>
      <c r="M745">
        <v>20612471020</v>
      </c>
      <c r="N745" t="s">
        <v>404</v>
      </c>
      <c r="O745" t="s">
        <v>6159</v>
      </c>
      <c r="P745" t="s">
        <v>38</v>
      </c>
      <c r="Q745" t="s">
        <v>405</v>
      </c>
      <c r="R745" t="s">
        <v>8170</v>
      </c>
      <c r="S745">
        <v>400</v>
      </c>
      <c r="T745" t="s">
        <v>40</v>
      </c>
      <c r="U745">
        <f>+IF(Tabla1[[#This Row],[MONEDA]]="PEN",Tabla1[[#This Row],[MONTO]],Tabla1[[#This Row],[MONTO]]*3.56)</f>
        <v>400</v>
      </c>
      <c r="X745" t="s">
        <v>81</v>
      </c>
      <c r="Y745" t="s">
        <v>42</v>
      </c>
      <c r="Z745" t="s">
        <v>82</v>
      </c>
      <c r="AA745" t="s">
        <v>8171</v>
      </c>
      <c r="AB745" t="s">
        <v>8172</v>
      </c>
      <c r="AC745" t="s">
        <v>8173</v>
      </c>
      <c r="AD745" t="s">
        <v>8174</v>
      </c>
      <c r="AE745">
        <v>400</v>
      </c>
      <c r="AF745" t="s">
        <v>87</v>
      </c>
      <c r="AG745" t="s">
        <v>169</v>
      </c>
    </row>
    <row r="746" spans="1:33" x14ac:dyDescent="0.25">
      <c r="A746">
        <v>27212</v>
      </c>
      <c r="B746" t="s">
        <v>32</v>
      </c>
      <c r="C746">
        <v>1</v>
      </c>
      <c r="D746" t="s">
        <v>8656</v>
      </c>
      <c r="E746" t="s">
        <v>70</v>
      </c>
      <c r="F746" t="s">
        <v>5328</v>
      </c>
      <c r="G746" t="s">
        <v>5329</v>
      </c>
      <c r="H746" t="s">
        <v>72</v>
      </c>
      <c r="I746" t="s">
        <v>8642</v>
      </c>
      <c r="J746" t="s">
        <v>8657</v>
      </c>
      <c r="K746" t="s">
        <v>36</v>
      </c>
      <c r="L746" t="s">
        <v>33</v>
      </c>
      <c r="M746">
        <v>20612471020</v>
      </c>
      <c r="N746" t="s">
        <v>404</v>
      </c>
      <c r="O746" t="s">
        <v>6159</v>
      </c>
      <c r="P746" t="s">
        <v>38</v>
      </c>
      <c r="Q746" t="s">
        <v>405</v>
      </c>
      <c r="R746" t="s">
        <v>8658</v>
      </c>
      <c r="S746">
        <v>400</v>
      </c>
      <c r="T746" t="s">
        <v>40</v>
      </c>
      <c r="U746">
        <f>+IF(Tabla1[[#This Row],[MONEDA]]="PEN",Tabla1[[#This Row],[MONTO]],Tabla1[[#This Row],[MONTO]]*3.56)</f>
        <v>400</v>
      </c>
      <c r="X746" t="s">
        <v>81</v>
      </c>
      <c r="Y746" t="s">
        <v>42</v>
      </c>
      <c r="Z746" t="s">
        <v>82</v>
      </c>
      <c r="AA746" t="s">
        <v>8659</v>
      </c>
      <c r="AB746" t="s">
        <v>8660</v>
      </c>
      <c r="AC746" t="s">
        <v>8661</v>
      </c>
      <c r="AD746" t="s">
        <v>8662</v>
      </c>
      <c r="AE746">
        <v>400</v>
      </c>
      <c r="AF746" t="s">
        <v>87</v>
      </c>
      <c r="AG746" t="s">
        <v>169</v>
      </c>
    </row>
    <row r="747" spans="1:33" hidden="1" x14ac:dyDescent="0.25">
      <c r="A747">
        <v>25973</v>
      </c>
      <c r="B747" t="s">
        <v>32</v>
      </c>
      <c r="C747">
        <v>1</v>
      </c>
      <c r="D747" t="s">
        <v>9495</v>
      </c>
      <c r="E747" t="s">
        <v>70</v>
      </c>
      <c r="F747" t="s">
        <v>33</v>
      </c>
      <c r="G747" t="s">
        <v>71</v>
      </c>
      <c r="H747" t="s">
        <v>72</v>
      </c>
      <c r="I747" t="s">
        <v>9469</v>
      </c>
      <c r="J747" t="s">
        <v>9496</v>
      </c>
      <c r="K747" t="s">
        <v>36</v>
      </c>
      <c r="L747" t="s">
        <v>33</v>
      </c>
      <c r="M747">
        <v>20612471020</v>
      </c>
      <c r="N747" t="s">
        <v>404</v>
      </c>
      <c r="O747" t="s">
        <v>76</v>
      </c>
      <c r="P747" t="s">
        <v>38</v>
      </c>
      <c r="Q747" t="s">
        <v>405</v>
      </c>
      <c r="R747" t="s">
        <v>9497</v>
      </c>
      <c r="S747">
        <v>500</v>
      </c>
      <c r="T747" t="s">
        <v>40</v>
      </c>
      <c r="U747">
        <f>+IF(Tabla1[[#This Row],[MONEDA]]="PEN",Tabla1[[#This Row],[MONTO]],Tabla1[[#This Row],[MONTO]]*3.56)</f>
        <v>500</v>
      </c>
      <c r="X747" t="s">
        <v>81</v>
      </c>
      <c r="Y747" t="s">
        <v>42</v>
      </c>
      <c r="Z747" t="s">
        <v>82</v>
      </c>
      <c r="AA747" t="s">
        <v>9498</v>
      </c>
      <c r="AB747" t="s">
        <v>9499</v>
      </c>
      <c r="AC747" t="s">
        <v>9500</v>
      </c>
      <c r="AD747" t="s">
        <v>9501</v>
      </c>
      <c r="AE747">
        <v>500</v>
      </c>
      <c r="AF747" t="s">
        <v>87</v>
      </c>
      <c r="AG747" t="s">
        <v>169</v>
      </c>
    </row>
    <row r="748" spans="1:33" hidden="1" x14ac:dyDescent="0.25">
      <c r="A748">
        <v>23085</v>
      </c>
      <c r="B748" t="s">
        <v>32</v>
      </c>
      <c r="C748">
        <v>1</v>
      </c>
      <c r="D748" t="s">
        <v>11614</v>
      </c>
      <c r="E748" t="s">
        <v>70</v>
      </c>
      <c r="F748" t="s">
        <v>33</v>
      </c>
      <c r="G748" t="s">
        <v>9422</v>
      </c>
      <c r="H748" t="s">
        <v>72</v>
      </c>
      <c r="I748" t="s">
        <v>11573</v>
      </c>
      <c r="J748" t="s">
        <v>11615</v>
      </c>
      <c r="K748" t="s">
        <v>36</v>
      </c>
      <c r="L748" t="s">
        <v>33</v>
      </c>
      <c r="M748">
        <v>20612471020</v>
      </c>
      <c r="N748" t="s">
        <v>404</v>
      </c>
      <c r="O748" t="s">
        <v>9423</v>
      </c>
      <c r="P748" t="s">
        <v>38</v>
      </c>
      <c r="Q748" t="s">
        <v>405</v>
      </c>
      <c r="R748" t="s">
        <v>11616</v>
      </c>
      <c r="S748">
        <v>400</v>
      </c>
      <c r="T748" t="s">
        <v>40</v>
      </c>
      <c r="U748">
        <f>+IF(Tabla1[[#This Row],[MONEDA]]="PEN",Tabla1[[#This Row],[MONTO]],Tabla1[[#This Row],[MONTO]]*3.56)</f>
        <v>400</v>
      </c>
      <c r="X748" t="s">
        <v>41</v>
      </c>
      <c r="Y748" t="s">
        <v>42</v>
      </c>
      <c r="Z748" t="s">
        <v>43</v>
      </c>
      <c r="AA748" t="s">
        <v>11617</v>
      </c>
      <c r="AB748" t="s">
        <v>11618</v>
      </c>
      <c r="AC748" t="s">
        <v>11619</v>
      </c>
      <c r="AD748" t="s">
        <v>11620</v>
      </c>
      <c r="AE748">
        <v>400</v>
      </c>
      <c r="AF748" t="s">
        <v>87</v>
      </c>
      <c r="AG748" t="s">
        <v>169</v>
      </c>
    </row>
    <row r="749" spans="1:33" hidden="1" x14ac:dyDescent="0.25">
      <c r="A749">
        <v>21082</v>
      </c>
      <c r="B749" t="s">
        <v>32</v>
      </c>
      <c r="C749">
        <v>1</v>
      </c>
      <c r="D749" t="s">
        <v>12720</v>
      </c>
      <c r="E749" t="s">
        <v>70</v>
      </c>
      <c r="F749" t="s">
        <v>33</v>
      </c>
      <c r="G749" t="s">
        <v>71</v>
      </c>
      <c r="H749" t="s">
        <v>72</v>
      </c>
      <c r="I749" t="s">
        <v>12692</v>
      </c>
      <c r="J749" t="s">
        <v>12721</v>
      </c>
      <c r="K749" t="s">
        <v>36</v>
      </c>
      <c r="L749" t="s">
        <v>33</v>
      </c>
      <c r="M749">
        <v>20612471020</v>
      </c>
      <c r="N749" t="s">
        <v>404</v>
      </c>
      <c r="O749" t="s">
        <v>76</v>
      </c>
      <c r="P749" t="s">
        <v>38</v>
      </c>
      <c r="Q749" t="s">
        <v>405</v>
      </c>
      <c r="R749" t="s">
        <v>12722</v>
      </c>
      <c r="S749">
        <v>562.5</v>
      </c>
      <c r="T749" t="s">
        <v>40</v>
      </c>
      <c r="U749">
        <f>+IF(Tabla1[[#This Row],[MONEDA]]="PEN",Tabla1[[#This Row],[MONTO]],Tabla1[[#This Row],[MONTO]]*3.56)</f>
        <v>562.5</v>
      </c>
      <c r="X749" t="s">
        <v>81</v>
      </c>
      <c r="Y749" t="s">
        <v>42</v>
      </c>
      <c r="Z749" t="s">
        <v>43</v>
      </c>
      <c r="AA749" t="s">
        <v>12723</v>
      </c>
      <c r="AB749" t="s">
        <v>12724</v>
      </c>
      <c r="AC749" t="s">
        <v>12725</v>
      </c>
      <c r="AD749" t="s">
        <v>12726</v>
      </c>
      <c r="AE749">
        <v>562.5</v>
      </c>
      <c r="AF749" t="s">
        <v>87</v>
      </c>
      <c r="AG749" t="s">
        <v>12184</v>
      </c>
    </row>
    <row r="750" spans="1:33" hidden="1" x14ac:dyDescent="0.25">
      <c r="A750">
        <v>44894</v>
      </c>
      <c r="B750" t="s">
        <v>32</v>
      </c>
      <c r="C750">
        <v>2</v>
      </c>
      <c r="D750" t="s">
        <v>410</v>
      </c>
      <c r="E750" t="s">
        <v>70</v>
      </c>
      <c r="F750" t="s">
        <v>33</v>
      </c>
      <c r="G750" t="s">
        <v>71</v>
      </c>
      <c r="H750" t="s">
        <v>35</v>
      </c>
      <c r="I750" t="s">
        <v>368</v>
      </c>
      <c r="J750" t="s">
        <v>411</v>
      </c>
      <c r="K750" t="s">
        <v>36</v>
      </c>
      <c r="L750" t="s">
        <v>33</v>
      </c>
      <c r="M750">
        <v>20449280513</v>
      </c>
      <c r="N750" t="s">
        <v>412</v>
      </c>
      <c r="O750" t="s">
        <v>76</v>
      </c>
      <c r="P750" t="s">
        <v>38</v>
      </c>
      <c r="Q750" t="s">
        <v>413</v>
      </c>
      <c r="R750" t="s">
        <v>414</v>
      </c>
      <c r="S750">
        <v>320</v>
      </c>
      <c r="T750" t="s">
        <v>40</v>
      </c>
      <c r="U750">
        <f>+IF(Tabla1[[#This Row],[MONEDA]]="PEN",Tabla1[[#This Row],[MONTO]],Tabla1[[#This Row],[MONTO]]*3.56)</f>
        <v>320</v>
      </c>
      <c r="X750" t="s">
        <v>139</v>
      </c>
      <c r="Y750" t="s">
        <v>42</v>
      </c>
      <c r="Z750" t="s">
        <v>82</v>
      </c>
      <c r="AA750" t="s">
        <v>415</v>
      </c>
      <c r="AB750" t="s">
        <v>416</v>
      </c>
      <c r="AC750" t="s">
        <v>417</v>
      </c>
      <c r="AD750" t="s">
        <v>418</v>
      </c>
      <c r="AE750">
        <v>320</v>
      </c>
      <c r="AF750" t="s">
        <v>87</v>
      </c>
      <c r="AG750" t="s">
        <v>169</v>
      </c>
    </row>
    <row r="751" spans="1:33" hidden="1" x14ac:dyDescent="0.25">
      <c r="A751">
        <v>43102</v>
      </c>
      <c r="B751" t="s">
        <v>32</v>
      </c>
      <c r="C751">
        <v>1</v>
      </c>
      <c r="D751" t="s">
        <v>926</v>
      </c>
      <c r="E751" t="s">
        <v>70</v>
      </c>
      <c r="F751" t="s">
        <v>33</v>
      </c>
      <c r="G751" t="s">
        <v>71</v>
      </c>
      <c r="H751" t="s">
        <v>35</v>
      </c>
      <c r="I751" t="s">
        <v>915</v>
      </c>
      <c r="J751" t="s">
        <v>927</v>
      </c>
      <c r="K751" t="s">
        <v>36</v>
      </c>
      <c r="L751" t="s">
        <v>33</v>
      </c>
      <c r="M751">
        <v>20449280513</v>
      </c>
      <c r="N751" t="s">
        <v>412</v>
      </c>
      <c r="O751" t="s">
        <v>76</v>
      </c>
      <c r="P751" t="s">
        <v>38</v>
      </c>
      <c r="Q751" t="s">
        <v>413</v>
      </c>
      <c r="R751" t="s">
        <v>928</v>
      </c>
      <c r="S751">
        <v>600</v>
      </c>
      <c r="T751" t="s">
        <v>40</v>
      </c>
      <c r="U751">
        <f>+IF(Tabla1[[#This Row],[MONEDA]]="PEN",Tabla1[[#This Row],[MONTO]],Tabla1[[#This Row],[MONTO]]*3.56)</f>
        <v>600</v>
      </c>
      <c r="X751" t="s">
        <v>41</v>
      </c>
      <c r="Y751" t="s">
        <v>42</v>
      </c>
      <c r="Z751" t="s">
        <v>82</v>
      </c>
      <c r="AA751" t="s">
        <v>929</v>
      </c>
      <c r="AB751" t="s">
        <v>930</v>
      </c>
      <c r="AC751" t="s">
        <v>931</v>
      </c>
      <c r="AD751" t="s">
        <v>932</v>
      </c>
      <c r="AE751">
        <v>600</v>
      </c>
      <c r="AF751" t="s">
        <v>87</v>
      </c>
      <c r="AG751" t="s">
        <v>169</v>
      </c>
    </row>
    <row r="752" spans="1:33" hidden="1" x14ac:dyDescent="0.25">
      <c r="A752">
        <v>37814</v>
      </c>
      <c r="B752" t="s">
        <v>32</v>
      </c>
      <c r="C752">
        <v>1</v>
      </c>
      <c r="D752" t="s">
        <v>3064</v>
      </c>
      <c r="E752" t="s">
        <v>70</v>
      </c>
      <c r="F752" t="s">
        <v>33</v>
      </c>
      <c r="G752" t="s">
        <v>71</v>
      </c>
      <c r="H752" t="s">
        <v>35</v>
      </c>
      <c r="I752" t="s">
        <v>3058</v>
      </c>
      <c r="J752" t="s">
        <v>3065</v>
      </c>
      <c r="K752" t="s">
        <v>36</v>
      </c>
      <c r="L752" t="s">
        <v>33</v>
      </c>
      <c r="M752">
        <v>20449280513</v>
      </c>
      <c r="N752" t="s">
        <v>412</v>
      </c>
      <c r="O752" t="s">
        <v>76</v>
      </c>
      <c r="P752" t="s">
        <v>38</v>
      </c>
      <c r="Q752" t="s">
        <v>413</v>
      </c>
      <c r="R752" t="s">
        <v>3066</v>
      </c>
      <c r="S752">
        <v>125</v>
      </c>
      <c r="T752" t="s">
        <v>40</v>
      </c>
      <c r="U752">
        <f>+IF(Tabla1[[#This Row],[MONEDA]]="PEN",Tabla1[[#This Row],[MONTO]],Tabla1[[#This Row],[MONTO]]*3.56)</f>
        <v>125</v>
      </c>
      <c r="X752" t="s">
        <v>41</v>
      </c>
      <c r="Y752" t="s">
        <v>42</v>
      </c>
      <c r="Z752" t="s">
        <v>82</v>
      </c>
      <c r="AA752" t="s">
        <v>3067</v>
      </c>
      <c r="AB752" t="s">
        <v>3068</v>
      </c>
      <c r="AC752" t="s">
        <v>3069</v>
      </c>
      <c r="AD752" t="s">
        <v>3070</v>
      </c>
      <c r="AE752">
        <v>125</v>
      </c>
      <c r="AF752" t="s">
        <v>87</v>
      </c>
      <c r="AG752" t="s">
        <v>169</v>
      </c>
    </row>
    <row r="753" spans="1:33" hidden="1" x14ac:dyDescent="0.25">
      <c r="A753">
        <v>24778</v>
      </c>
      <c r="B753" t="s">
        <v>32</v>
      </c>
      <c r="C753">
        <v>1</v>
      </c>
      <c r="D753" t="s">
        <v>10090</v>
      </c>
      <c r="E753" t="s">
        <v>70</v>
      </c>
      <c r="F753" t="s">
        <v>33</v>
      </c>
      <c r="G753" t="s">
        <v>71</v>
      </c>
      <c r="H753" t="s">
        <v>72</v>
      </c>
      <c r="I753" t="s">
        <v>10076</v>
      </c>
      <c r="J753" t="s">
        <v>10091</v>
      </c>
      <c r="K753" t="s">
        <v>36</v>
      </c>
      <c r="L753" t="s">
        <v>33</v>
      </c>
      <c r="M753">
        <v>20449280513</v>
      </c>
      <c r="N753" t="s">
        <v>412</v>
      </c>
      <c r="O753" t="s">
        <v>76</v>
      </c>
      <c r="P753" t="s">
        <v>38</v>
      </c>
      <c r="Q753" t="s">
        <v>413</v>
      </c>
      <c r="R753" t="s">
        <v>10092</v>
      </c>
      <c r="S753">
        <v>2600</v>
      </c>
      <c r="T753" t="s">
        <v>40</v>
      </c>
      <c r="U753">
        <f>+IF(Tabla1[[#This Row],[MONEDA]]="PEN",Tabla1[[#This Row],[MONTO]],Tabla1[[#This Row],[MONTO]]*3.56)</f>
        <v>2600</v>
      </c>
      <c r="X753" t="s">
        <v>41</v>
      </c>
      <c r="Y753" t="s">
        <v>42</v>
      </c>
      <c r="Z753" t="s">
        <v>82</v>
      </c>
      <c r="AA753" t="s">
        <v>10093</v>
      </c>
      <c r="AB753" t="s">
        <v>10094</v>
      </c>
      <c r="AC753" t="s">
        <v>10095</v>
      </c>
      <c r="AD753" t="s">
        <v>10096</v>
      </c>
      <c r="AE753">
        <v>2340</v>
      </c>
      <c r="AF753" t="s">
        <v>87</v>
      </c>
      <c r="AG753" t="s">
        <v>169</v>
      </c>
    </row>
    <row r="754" spans="1:33" hidden="1" x14ac:dyDescent="0.25">
      <c r="A754">
        <v>24362</v>
      </c>
      <c r="B754" t="s">
        <v>32</v>
      </c>
      <c r="C754">
        <v>1</v>
      </c>
      <c r="D754" t="s">
        <v>10459</v>
      </c>
      <c r="E754" t="s">
        <v>70</v>
      </c>
      <c r="F754" t="s">
        <v>33</v>
      </c>
      <c r="G754" t="s">
        <v>71</v>
      </c>
      <c r="H754" t="s">
        <v>72</v>
      </c>
      <c r="I754" t="s">
        <v>10460</v>
      </c>
      <c r="J754" t="s">
        <v>10469</v>
      </c>
      <c r="K754" t="s">
        <v>36</v>
      </c>
      <c r="L754" t="s">
        <v>33</v>
      </c>
      <c r="M754">
        <v>20449280513</v>
      </c>
      <c r="N754" t="s">
        <v>412</v>
      </c>
      <c r="O754" t="s">
        <v>76</v>
      </c>
      <c r="R754" t="s">
        <v>10470</v>
      </c>
      <c r="S754">
        <v>135</v>
      </c>
      <c r="T754" t="s">
        <v>40</v>
      </c>
      <c r="U754">
        <f>+IF(Tabla1[[#This Row],[MONEDA]]="PEN",Tabla1[[#This Row],[MONTO]],Tabla1[[#This Row],[MONTO]]*3.56)</f>
        <v>135</v>
      </c>
      <c r="V754" t="s">
        <v>190</v>
      </c>
      <c r="W754">
        <v>23138</v>
      </c>
      <c r="X754" t="s">
        <v>81</v>
      </c>
      <c r="Y754" t="s">
        <v>42</v>
      </c>
      <c r="Z754" t="s">
        <v>82</v>
      </c>
      <c r="AA754" t="s">
        <v>10471</v>
      </c>
      <c r="AC754" t="s">
        <v>10472</v>
      </c>
      <c r="AD754" t="s">
        <v>10473</v>
      </c>
    </row>
    <row r="755" spans="1:33" hidden="1" x14ac:dyDescent="0.25">
      <c r="A755">
        <v>24089</v>
      </c>
      <c r="B755" t="s">
        <v>32</v>
      </c>
      <c r="C755">
        <v>1</v>
      </c>
      <c r="D755" t="s">
        <v>10835</v>
      </c>
      <c r="E755" t="s">
        <v>70</v>
      </c>
      <c r="F755" t="s">
        <v>33</v>
      </c>
      <c r="G755" t="s">
        <v>71</v>
      </c>
      <c r="H755" t="s">
        <v>72</v>
      </c>
      <c r="I755" t="s">
        <v>10836</v>
      </c>
      <c r="J755" t="s">
        <v>10837</v>
      </c>
      <c r="K755" t="s">
        <v>36</v>
      </c>
      <c r="L755" t="s">
        <v>33</v>
      </c>
      <c r="M755">
        <v>20449280513</v>
      </c>
      <c r="N755" t="s">
        <v>412</v>
      </c>
      <c r="O755" t="s">
        <v>76</v>
      </c>
      <c r="R755" t="s">
        <v>10838</v>
      </c>
      <c r="S755">
        <v>100</v>
      </c>
      <c r="T755" t="s">
        <v>40</v>
      </c>
      <c r="U755">
        <f>+IF(Tabla1[[#This Row],[MONEDA]]="PEN",Tabla1[[#This Row],[MONTO]],Tabla1[[#This Row],[MONTO]]*3.56)</f>
        <v>100</v>
      </c>
      <c r="V755" t="s">
        <v>190</v>
      </c>
      <c r="W755">
        <v>21787</v>
      </c>
      <c r="X755" t="s">
        <v>81</v>
      </c>
      <c r="Y755" t="s">
        <v>42</v>
      </c>
      <c r="Z755" t="s">
        <v>82</v>
      </c>
      <c r="AA755" t="s">
        <v>10839</v>
      </c>
      <c r="AC755" t="s">
        <v>10840</v>
      </c>
      <c r="AD755" t="s">
        <v>10841</v>
      </c>
    </row>
    <row r="756" spans="1:33" x14ac:dyDescent="0.25">
      <c r="A756">
        <v>38948</v>
      </c>
      <c r="B756" t="s">
        <v>32</v>
      </c>
      <c r="C756">
        <v>1</v>
      </c>
      <c r="D756" t="s">
        <v>2651</v>
      </c>
      <c r="E756" t="s">
        <v>70</v>
      </c>
      <c r="F756" t="s">
        <v>90</v>
      </c>
      <c r="G756" t="s">
        <v>91</v>
      </c>
      <c r="H756" t="s">
        <v>35</v>
      </c>
      <c r="I756" t="s">
        <v>2624</v>
      </c>
      <c r="J756" t="s">
        <v>2652</v>
      </c>
      <c r="K756" t="s">
        <v>36</v>
      </c>
      <c r="L756" t="s">
        <v>33</v>
      </c>
      <c r="M756">
        <v>20608332619</v>
      </c>
      <c r="N756" t="s">
        <v>61</v>
      </c>
      <c r="P756" t="s">
        <v>62</v>
      </c>
      <c r="Q756">
        <v>7427707448</v>
      </c>
      <c r="R756" t="s">
        <v>2653</v>
      </c>
      <c r="S756">
        <v>3894</v>
      </c>
      <c r="T756" t="s">
        <v>40</v>
      </c>
      <c r="U756">
        <f>+IF(Tabla1[[#This Row],[MONEDA]]="PEN",Tabla1[[#This Row],[MONTO]],Tabla1[[#This Row],[MONTO]]*3.56)</f>
        <v>3894</v>
      </c>
      <c r="X756" t="s">
        <v>41</v>
      </c>
      <c r="Y756" t="s">
        <v>42</v>
      </c>
      <c r="Z756" t="s">
        <v>82</v>
      </c>
      <c r="AA756" t="s">
        <v>2654</v>
      </c>
      <c r="AB756" t="s">
        <v>2655</v>
      </c>
      <c r="AC756" t="s">
        <v>2656</v>
      </c>
      <c r="AD756" t="s">
        <v>2657</v>
      </c>
      <c r="AE756">
        <v>3504.6</v>
      </c>
      <c r="AF756" t="s">
        <v>87</v>
      </c>
      <c r="AG756" t="s">
        <v>515</v>
      </c>
    </row>
    <row r="757" spans="1:33" x14ac:dyDescent="0.25">
      <c r="A757">
        <v>38898</v>
      </c>
      <c r="B757" t="s">
        <v>32</v>
      </c>
      <c r="C757">
        <v>1</v>
      </c>
      <c r="D757" t="s">
        <v>2688</v>
      </c>
      <c r="E757" t="s">
        <v>70</v>
      </c>
      <c r="F757" t="s">
        <v>90</v>
      </c>
      <c r="G757" t="s">
        <v>91</v>
      </c>
      <c r="H757" t="s">
        <v>35</v>
      </c>
      <c r="I757" t="s">
        <v>2689</v>
      </c>
      <c r="J757" t="s">
        <v>2690</v>
      </c>
      <c r="K757" t="s">
        <v>36</v>
      </c>
      <c r="L757" t="s">
        <v>33</v>
      </c>
      <c r="M757">
        <v>20608332619</v>
      </c>
      <c r="N757" t="s">
        <v>61</v>
      </c>
      <c r="P757" t="s">
        <v>62</v>
      </c>
      <c r="Q757">
        <v>7427707448</v>
      </c>
      <c r="R757" t="s">
        <v>2691</v>
      </c>
      <c r="S757">
        <v>590</v>
      </c>
      <c r="T757" t="s">
        <v>40</v>
      </c>
      <c r="U757">
        <f>+IF(Tabla1[[#This Row],[MONEDA]]="PEN",Tabla1[[#This Row],[MONTO]],Tabla1[[#This Row],[MONTO]]*3.56)</f>
        <v>590</v>
      </c>
      <c r="X757" t="s">
        <v>41</v>
      </c>
      <c r="Y757" t="s">
        <v>42</v>
      </c>
      <c r="Z757" t="s">
        <v>82</v>
      </c>
      <c r="AA757" t="s">
        <v>2654</v>
      </c>
      <c r="AB757" t="s">
        <v>2692</v>
      </c>
      <c r="AC757" t="s">
        <v>2693</v>
      </c>
      <c r="AD757" t="s">
        <v>2694</v>
      </c>
      <c r="AE757">
        <v>590</v>
      </c>
      <c r="AF757" t="s">
        <v>87</v>
      </c>
      <c r="AG757" t="s">
        <v>515</v>
      </c>
    </row>
    <row r="758" spans="1:33" x14ac:dyDescent="0.25">
      <c r="A758">
        <v>38899</v>
      </c>
      <c r="B758" t="s">
        <v>32</v>
      </c>
      <c r="C758">
        <v>1</v>
      </c>
      <c r="D758" t="s">
        <v>2695</v>
      </c>
      <c r="E758" t="s">
        <v>70</v>
      </c>
      <c r="F758" t="s">
        <v>90</v>
      </c>
      <c r="G758" t="s">
        <v>91</v>
      </c>
      <c r="H758" t="s">
        <v>35</v>
      </c>
      <c r="I758" t="s">
        <v>2689</v>
      </c>
      <c r="J758" t="s">
        <v>2696</v>
      </c>
      <c r="K758" t="s">
        <v>36</v>
      </c>
      <c r="L758" t="s">
        <v>33</v>
      </c>
      <c r="M758">
        <v>20608332619</v>
      </c>
      <c r="N758" t="s">
        <v>61</v>
      </c>
      <c r="P758" t="s">
        <v>62</v>
      </c>
      <c r="Q758">
        <v>7427707448</v>
      </c>
      <c r="R758" t="s">
        <v>2697</v>
      </c>
      <c r="S758">
        <v>944</v>
      </c>
      <c r="T758" t="s">
        <v>40</v>
      </c>
      <c r="U758">
        <f>+IF(Tabla1[[#This Row],[MONEDA]]="PEN",Tabla1[[#This Row],[MONTO]],Tabla1[[#This Row],[MONTO]]*3.56)</f>
        <v>944</v>
      </c>
      <c r="X758" t="s">
        <v>41</v>
      </c>
      <c r="Y758" t="s">
        <v>42</v>
      </c>
      <c r="Z758" t="s">
        <v>43</v>
      </c>
      <c r="AA758" t="s">
        <v>2654</v>
      </c>
      <c r="AB758" t="s">
        <v>2698</v>
      </c>
      <c r="AC758" t="s">
        <v>2699</v>
      </c>
      <c r="AD758" t="s">
        <v>2700</v>
      </c>
      <c r="AE758">
        <v>849.6</v>
      </c>
      <c r="AF758" t="s">
        <v>87</v>
      </c>
      <c r="AG758" t="s">
        <v>515</v>
      </c>
    </row>
    <row r="759" spans="1:33" x14ac:dyDescent="0.25">
      <c r="A759">
        <v>38900</v>
      </c>
      <c r="B759" t="s">
        <v>32</v>
      </c>
      <c r="C759">
        <v>4</v>
      </c>
      <c r="D759" t="s">
        <v>2701</v>
      </c>
      <c r="E759" t="s">
        <v>70</v>
      </c>
      <c r="F759" t="s">
        <v>90</v>
      </c>
      <c r="G759" t="s">
        <v>91</v>
      </c>
      <c r="H759" t="s">
        <v>35</v>
      </c>
      <c r="I759" t="s">
        <v>2689</v>
      </c>
      <c r="J759" t="s">
        <v>2702</v>
      </c>
      <c r="K759" t="s">
        <v>36</v>
      </c>
      <c r="L759" t="s">
        <v>33</v>
      </c>
      <c r="M759">
        <v>20608332619</v>
      </c>
      <c r="N759" t="s">
        <v>61</v>
      </c>
      <c r="P759" t="s">
        <v>62</v>
      </c>
      <c r="Q759">
        <v>7427707448</v>
      </c>
      <c r="R759" t="s">
        <v>2703</v>
      </c>
      <c r="S759">
        <v>590</v>
      </c>
      <c r="T759" t="s">
        <v>40</v>
      </c>
      <c r="U759">
        <f>+IF(Tabla1[[#This Row],[MONEDA]]="PEN",Tabla1[[#This Row],[MONTO]],Tabla1[[#This Row],[MONTO]]*3.56)</f>
        <v>590</v>
      </c>
      <c r="X759" t="s">
        <v>41</v>
      </c>
      <c r="Y759" t="s">
        <v>42</v>
      </c>
      <c r="Z759" t="s">
        <v>82</v>
      </c>
      <c r="AA759" t="s">
        <v>2654</v>
      </c>
      <c r="AB759" t="s">
        <v>2704</v>
      </c>
      <c r="AC759" t="s">
        <v>2705</v>
      </c>
      <c r="AD759" t="s">
        <v>2706</v>
      </c>
      <c r="AE759">
        <v>590</v>
      </c>
      <c r="AF759" t="s">
        <v>87</v>
      </c>
      <c r="AG759" t="s">
        <v>515</v>
      </c>
    </row>
    <row r="760" spans="1:33" x14ac:dyDescent="0.25">
      <c r="A760">
        <v>37182</v>
      </c>
      <c r="B760" t="s">
        <v>32</v>
      </c>
      <c r="C760">
        <v>1</v>
      </c>
      <c r="D760" t="s">
        <v>3351</v>
      </c>
      <c r="E760" t="s">
        <v>70</v>
      </c>
      <c r="F760" t="s">
        <v>90</v>
      </c>
      <c r="G760" t="s">
        <v>91</v>
      </c>
      <c r="H760" t="s">
        <v>35</v>
      </c>
      <c r="I760" t="s">
        <v>3352</v>
      </c>
      <c r="J760" t="s">
        <v>3353</v>
      </c>
      <c r="K760" t="s">
        <v>36</v>
      </c>
      <c r="L760" t="s">
        <v>33</v>
      </c>
      <c r="M760">
        <v>20608332619</v>
      </c>
      <c r="N760" t="s">
        <v>61</v>
      </c>
      <c r="P760" t="s">
        <v>62</v>
      </c>
      <c r="Q760">
        <v>7427707448</v>
      </c>
      <c r="R760" t="s">
        <v>3354</v>
      </c>
      <c r="S760">
        <v>3894</v>
      </c>
      <c r="T760" t="s">
        <v>40</v>
      </c>
      <c r="U760">
        <f>+IF(Tabla1[[#This Row],[MONEDA]]="PEN",Tabla1[[#This Row],[MONTO]],Tabla1[[#This Row],[MONTO]]*3.56)</f>
        <v>3894</v>
      </c>
      <c r="X760" t="s">
        <v>41</v>
      </c>
      <c r="Y760" t="s">
        <v>42</v>
      </c>
      <c r="Z760" t="s">
        <v>82</v>
      </c>
      <c r="AA760" t="s">
        <v>3355</v>
      </c>
      <c r="AB760" t="s">
        <v>3356</v>
      </c>
      <c r="AC760" t="s">
        <v>3357</v>
      </c>
      <c r="AD760" t="s">
        <v>3358</v>
      </c>
      <c r="AE760">
        <v>3504.6</v>
      </c>
      <c r="AG760" t="s">
        <v>515</v>
      </c>
    </row>
    <row r="761" spans="1:33" x14ac:dyDescent="0.25">
      <c r="A761">
        <v>35908</v>
      </c>
      <c r="B761" t="s">
        <v>32</v>
      </c>
      <c r="C761">
        <v>1</v>
      </c>
      <c r="D761" t="s">
        <v>4012</v>
      </c>
      <c r="E761" t="s">
        <v>70</v>
      </c>
      <c r="F761" t="s">
        <v>90</v>
      </c>
      <c r="G761" t="s">
        <v>91</v>
      </c>
      <c r="H761" t="s">
        <v>35</v>
      </c>
      <c r="I761" t="s">
        <v>4013</v>
      </c>
      <c r="J761" t="s">
        <v>4014</v>
      </c>
      <c r="K761" t="s">
        <v>36</v>
      </c>
      <c r="L761" t="s">
        <v>33</v>
      </c>
      <c r="M761">
        <v>20608332619</v>
      </c>
      <c r="N761" t="s">
        <v>61</v>
      </c>
      <c r="P761" t="s">
        <v>62</v>
      </c>
      <c r="Q761">
        <v>7427707448</v>
      </c>
      <c r="R761" t="s">
        <v>4015</v>
      </c>
      <c r="S761">
        <v>590</v>
      </c>
      <c r="T761" t="s">
        <v>40</v>
      </c>
      <c r="U761">
        <f>+IF(Tabla1[[#This Row],[MONEDA]]="PEN",Tabla1[[#This Row],[MONTO]],Tabla1[[#This Row],[MONTO]]*3.56)</f>
        <v>590</v>
      </c>
      <c r="X761" t="s">
        <v>41</v>
      </c>
      <c r="Y761" t="s">
        <v>42</v>
      </c>
      <c r="Z761" t="s">
        <v>82</v>
      </c>
      <c r="AA761" t="s">
        <v>3355</v>
      </c>
      <c r="AB761" t="s">
        <v>4016</v>
      </c>
      <c r="AC761" t="s">
        <v>4017</v>
      </c>
      <c r="AD761" t="s">
        <v>4018</v>
      </c>
      <c r="AE761">
        <v>590</v>
      </c>
      <c r="AG761" t="s">
        <v>515</v>
      </c>
    </row>
    <row r="762" spans="1:33" x14ac:dyDescent="0.25">
      <c r="A762">
        <v>35909</v>
      </c>
      <c r="B762" t="s">
        <v>32</v>
      </c>
      <c r="C762">
        <v>1</v>
      </c>
      <c r="D762" t="s">
        <v>4019</v>
      </c>
      <c r="E762" t="s">
        <v>70</v>
      </c>
      <c r="F762" t="s">
        <v>90</v>
      </c>
      <c r="G762" t="s">
        <v>91</v>
      </c>
      <c r="H762" t="s">
        <v>35</v>
      </c>
      <c r="I762" t="s">
        <v>4013</v>
      </c>
      <c r="J762" t="s">
        <v>4020</v>
      </c>
      <c r="K762" t="s">
        <v>36</v>
      </c>
      <c r="L762" t="s">
        <v>33</v>
      </c>
      <c r="M762">
        <v>20608332619</v>
      </c>
      <c r="N762" t="s">
        <v>61</v>
      </c>
      <c r="P762" t="s">
        <v>62</v>
      </c>
      <c r="Q762">
        <v>7427707448</v>
      </c>
      <c r="R762" t="s">
        <v>4021</v>
      </c>
      <c r="S762">
        <v>944</v>
      </c>
      <c r="T762" t="s">
        <v>40</v>
      </c>
      <c r="U762">
        <f>+IF(Tabla1[[#This Row],[MONEDA]]="PEN",Tabla1[[#This Row],[MONTO]],Tabla1[[#This Row],[MONTO]]*3.56)</f>
        <v>944</v>
      </c>
      <c r="X762" t="s">
        <v>41</v>
      </c>
      <c r="Y762" t="s">
        <v>42</v>
      </c>
      <c r="Z762" t="s">
        <v>82</v>
      </c>
      <c r="AA762" t="s">
        <v>3355</v>
      </c>
      <c r="AB762" t="s">
        <v>4022</v>
      </c>
      <c r="AC762" t="s">
        <v>4023</v>
      </c>
      <c r="AD762" t="s">
        <v>4024</v>
      </c>
      <c r="AE762">
        <v>849.6</v>
      </c>
      <c r="AG762" t="s">
        <v>515</v>
      </c>
    </row>
    <row r="763" spans="1:33" x14ac:dyDescent="0.25">
      <c r="A763">
        <v>35913</v>
      </c>
      <c r="B763" t="s">
        <v>32</v>
      </c>
      <c r="C763">
        <v>1</v>
      </c>
      <c r="D763" t="s">
        <v>4025</v>
      </c>
      <c r="E763" t="s">
        <v>70</v>
      </c>
      <c r="F763" t="s">
        <v>90</v>
      </c>
      <c r="G763" t="s">
        <v>91</v>
      </c>
      <c r="H763" t="s">
        <v>35</v>
      </c>
      <c r="I763" t="s">
        <v>4013</v>
      </c>
      <c r="J763" t="s">
        <v>4026</v>
      </c>
      <c r="K763" t="s">
        <v>36</v>
      </c>
      <c r="L763" t="s">
        <v>33</v>
      </c>
      <c r="M763">
        <v>20608332619</v>
      </c>
      <c r="N763" t="s">
        <v>61</v>
      </c>
      <c r="P763" t="s">
        <v>62</v>
      </c>
      <c r="Q763">
        <v>7427707448</v>
      </c>
      <c r="R763" t="s">
        <v>4027</v>
      </c>
      <c r="S763">
        <v>590</v>
      </c>
      <c r="T763" t="s">
        <v>40</v>
      </c>
      <c r="U763">
        <f>+IF(Tabla1[[#This Row],[MONEDA]]="PEN",Tabla1[[#This Row],[MONTO]],Tabla1[[#This Row],[MONTO]]*3.56)</f>
        <v>590</v>
      </c>
      <c r="X763" t="s">
        <v>41</v>
      </c>
      <c r="Y763" t="s">
        <v>42</v>
      </c>
      <c r="Z763" t="s">
        <v>82</v>
      </c>
      <c r="AA763" t="s">
        <v>3355</v>
      </c>
      <c r="AB763" t="s">
        <v>4028</v>
      </c>
      <c r="AC763" t="s">
        <v>4029</v>
      </c>
      <c r="AD763" t="s">
        <v>4030</v>
      </c>
      <c r="AE763">
        <v>590</v>
      </c>
      <c r="AG763" t="s">
        <v>515</v>
      </c>
    </row>
    <row r="764" spans="1:33" x14ac:dyDescent="0.25">
      <c r="A764">
        <v>30876</v>
      </c>
      <c r="B764" t="s">
        <v>32</v>
      </c>
      <c r="C764">
        <v>1</v>
      </c>
      <c r="D764" t="s">
        <v>4277</v>
      </c>
      <c r="E764" t="s">
        <v>70</v>
      </c>
      <c r="F764" t="s">
        <v>90</v>
      </c>
      <c r="G764" t="s">
        <v>91</v>
      </c>
      <c r="H764" t="s">
        <v>72</v>
      </c>
      <c r="I764" t="s">
        <v>4278</v>
      </c>
      <c r="J764" t="s">
        <v>4279</v>
      </c>
      <c r="K764" t="s">
        <v>36</v>
      </c>
      <c r="L764" t="s">
        <v>33</v>
      </c>
      <c r="M764">
        <v>20608332619</v>
      </c>
      <c r="N764" t="s">
        <v>61</v>
      </c>
      <c r="P764" t="s">
        <v>62</v>
      </c>
      <c r="Q764">
        <v>7427707448</v>
      </c>
      <c r="R764" t="s">
        <v>4280</v>
      </c>
      <c r="S764">
        <v>3300</v>
      </c>
      <c r="T764" t="s">
        <v>40</v>
      </c>
      <c r="U764">
        <f>+IF(Tabla1[[#This Row],[MONEDA]]="PEN",Tabla1[[#This Row],[MONTO]],Tabla1[[#This Row],[MONTO]]*3.56)</f>
        <v>3300</v>
      </c>
      <c r="X764" t="s">
        <v>41</v>
      </c>
      <c r="Y764" t="s">
        <v>42</v>
      </c>
      <c r="Z764" t="s">
        <v>43</v>
      </c>
      <c r="AA764" t="s">
        <v>4281</v>
      </c>
      <c r="AB764" t="s">
        <v>4282</v>
      </c>
      <c r="AC764" t="s">
        <v>4283</v>
      </c>
      <c r="AD764" t="s">
        <v>4284</v>
      </c>
      <c r="AE764">
        <v>3504.6</v>
      </c>
      <c r="AF764" t="s">
        <v>87</v>
      </c>
      <c r="AG764" t="s">
        <v>515</v>
      </c>
    </row>
    <row r="765" spans="1:33" x14ac:dyDescent="0.25">
      <c r="A765">
        <v>33835</v>
      </c>
      <c r="B765" t="s">
        <v>32</v>
      </c>
      <c r="C765">
        <v>1</v>
      </c>
      <c r="D765" t="s">
        <v>4819</v>
      </c>
      <c r="E765" t="s">
        <v>70</v>
      </c>
      <c r="F765" t="s">
        <v>90</v>
      </c>
      <c r="G765" t="s">
        <v>91</v>
      </c>
      <c r="H765" t="s">
        <v>35</v>
      </c>
      <c r="I765" t="s">
        <v>4820</v>
      </c>
      <c r="J765" t="s">
        <v>4821</v>
      </c>
      <c r="K765" t="s">
        <v>36</v>
      </c>
      <c r="L765" t="s">
        <v>33</v>
      </c>
      <c r="M765">
        <v>20608332619</v>
      </c>
      <c r="N765" t="s">
        <v>61</v>
      </c>
      <c r="P765" t="s">
        <v>62</v>
      </c>
      <c r="Q765">
        <v>7427707448</v>
      </c>
      <c r="R765" t="s">
        <v>4822</v>
      </c>
      <c r="S765">
        <v>590</v>
      </c>
      <c r="T765" t="s">
        <v>40</v>
      </c>
      <c r="U765">
        <f>+IF(Tabla1[[#This Row],[MONEDA]]="PEN",Tabla1[[#This Row],[MONTO]],Tabla1[[#This Row],[MONTO]]*3.56)</f>
        <v>590</v>
      </c>
      <c r="X765" t="s">
        <v>41</v>
      </c>
      <c r="Y765" t="s">
        <v>42</v>
      </c>
      <c r="Z765" t="s">
        <v>43</v>
      </c>
      <c r="AA765" t="s">
        <v>4823</v>
      </c>
      <c r="AB765" t="s">
        <v>4824</v>
      </c>
      <c r="AC765" t="s">
        <v>4825</v>
      </c>
      <c r="AD765" t="s">
        <v>4826</v>
      </c>
      <c r="AE765">
        <v>590</v>
      </c>
      <c r="AG765" t="s">
        <v>515</v>
      </c>
    </row>
    <row r="766" spans="1:33" x14ac:dyDescent="0.25">
      <c r="A766">
        <v>30878</v>
      </c>
      <c r="B766" t="s">
        <v>32</v>
      </c>
      <c r="C766">
        <v>1</v>
      </c>
      <c r="D766" t="s">
        <v>6212</v>
      </c>
      <c r="E766" t="s">
        <v>70</v>
      </c>
      <c r="F766" t="s">
        <v>90</v>
      </c>
      <c r="G766" t="s">
        <v>91</v>
      </c>
      <c r="H766" t="s">
        <v>35</v>
      </c>
      <c r="I766" t="s">
        <v>6213</v>
      </c>
      <c r="J766" t="s">
        <v>6214</v>
      </c>
      <c r="K766" t="s">
        <v>36</v>
      </c>
      <c r="L766" t="s">
        <v>33</v>
      </c>
      <c r="M766">
        <v>20608332619</v>
      </c>
      <c r="N766" t="s">
        <v>61</v>
      </c>
      <c r="P766" t="s">
        <v>62</v>
      </c>
      <c r="Q766">
        <v>7427707448</v>
      </c>
      <c r="R766" t="s">
        <v>6215</v>
      </c>
      <c r="S766">
        <v>500</v>
      </c>
      <c r="T766" t="s">
        <v>40</v>
      </c>
      <c r="U766">
        <f>+IF(Tabla1[[#This Row],[MONEDA]]="PEN",Tabla1[[#This Row],[MONTO]],Tabla1[[#This Row],[MONTO]]*3.56)</f>
        <v>500</v>
      </c>
      <c r="X766" t="s">
        <v>41</v>
      </c>
      <c r="Y766" t="s">
        <v>42</v>
      </c>
      <c r="Z766" t="s">
        <v>43</v>
      </c>
      <c r="AA766" t="s">
        <v>4823</v>
      </c>
      <c r="AB766" t="s">
        <v>6216</v>
      </c>
      <c r="AC766" t="s">
        <v>6217</v>
      </c>
      <c r="AD766" t="s">
        <v>6218</v>
      </c>
      <c r="AE766">
        <v>590</v>
      </c>
      <c r="AG766" t="s">
        <v>515</v>
      </c>
    </row>
    <row r="767" spans="1:33" x14ac:dyDescent="0.25">
      <c r="A767">
        <v>30877</v>
      </c>
      <c r="B767" t="s">
        <v>32</v>
      </c>
      <c r="C767">
        <v>1</v>
      </c>
      <c r="D767" t="s">
        <v>6227</v>
      </c>
      <c r="E767" t="s">
        <v>70</v>
      </c>
      <c r="F767" t="s">
        <v>90</v>
      </c>
      <c r="G767" t="s">
        <v>91</v>
      </c>
      <c r="H767" t="s">
        <v>35</v>
      </c>
      <c r="I767" t="s">
        <v>6220</v>
      </c>
      <c r="J767" t="s">
        <v>6228</v>
      </c>
      <c r="K767" t="s">
        <v>36</v>
      </c>
      <c r="L767" t="s">
        <v>33</v>
      </c>
      <c r="M767">
        <v>20608332619</v>
      </c>
      <c r="N767" t="s">
        <v>61</v>
      </c>
      <c r="P767" t="s">
        <v>62</v>
      </c>
      <c r="Q767">
        <v>7427707448</v>
      </c>
      <c r="R767" t="s">
        <v>6229</v>
      </c>
      <c r="S767">
        <v>800</v>
      </c>
      <c r="T767" t="s">
        <v>40</v>
      </c>
      <c r="U767">
        <f>+IF(Tabla1[[#This Row],[MONEDA]]="PEN",Tabla1[[#This Row],[MONTO]],Tabla1[[#This Row],[MONTO]]*3.56)</f>
        <v>800</v>
      </c>
      <c r="X767" t="s">
        <v>41</v>
      </c>
      <c r="Y767" t="s">
        <v>42</v>
      </c>
      <c r="Z767" t="s">
        <v>43</v>
      </c>
      <c r="AA767" t="s">
        <v>4823</v>
      </c>
      <c r="AB767" t="s">
        <v>6230</v>
      </c>
      <c r="AC767" t="s">
        <v>6231</v>
      </c>
      <c r="AD767" t="s">
        <v>6232</v>
      </c>
      <c r="AE767">
        <v>849.6</v>
      </c>
      <c r="AG767" t="s">
        <v>515</v>
      </c>
    </row>
    <row r="768" spans="1:33" x14ac:dyDescent="0.25">
      <c r="A768">
        <v>30550</v>
      </c>
      <c r="B768" t="s">
        <v>32</v>
      </c>
      <c r="C768">
        <v>1</v>
      </c>
      <c r="D768" t="s">
        <v>6297</v>
      </c>
      <c r="E768" t="s">
        <v>70</v>
      </c>
      <c r="F768" t="s">
        <v>90</v>
      </c>
      <c r="G768" t="s">
        <v>91</v>
      </c>
      <c r="H768" t="s">
        <v>35</v>
      </c>
      <c r="I768" t="s">
        <v>6298</v>
      </c>
      <c r="J768" t="s">
        <v>6299</v>
      </c>
      <c r="K768" t="s">
        <v>36</v>
      </c>
      <c r="L768" t="s">
        <v>33</v>
      </c>
      <c r="M768">
        <v>20608332619</v>
      </c>
      <c r="N768" t="s">
        <v>61</v>
      </c>
      <c r="P768" t="s">
        <v>62</v>
      </c>
      <c r="Q768">
        <v>7427707448</v>
      </c>
      <c r="R768" t="s">
        <v>6300</v>
      </c>
      <c r="S768">
        <v>500</v>
      </c>
      <c r="T768" t="s">
        <v>40</v>
      </c>
      <c r="U768">
        <f>+IF(Tabla1[[#This Row],[MONEDA]]="PEN",Tabla1[[#This Row],[MONTO]],Tabla1[[#This Row],[MONTO]]*3.56)</f>
        <v>500</v>
      </c>
      <c r="X768" t="s">
        <v>41</v>
      </c>
      <c r="Y768" t="s">
        <v>42</v>
      </c>
      <c r="Z768" t="s">
        <v>43</v>
      </c>
      <c r="AA768" t="s">
        <v>6301</v>
      </c>
      <c r="AB768" t="s">
        <v>6302</v>
      </c>
      <c r="AC768" t="s">
        <v>6303</v>
      </c>
      <c r="AD768" t="s">
        <v>6304</v>
      </c>
      <c r="AE768">
        <v>590</v>
      </c>
      <c r="AF768" t="s">
        <v>87</v>
      </c>
      <c r="AG768" t="s">
        <v>515</v>
      </c>
    </row>
    <row r="769" spans="1:33" x14ac:dyDescent="0.25">
      <c r="A769">
        <v>28127</v>
      </c>
      <c r="B769" t="s">
        <v>32</v>
      </c>
      <c r="C769">
        <v>1</v>
      </c>
      <c r="D769" t="s">
        <v>7544</v>
      </c>
      <c r="E769" t="s">
        <v>70</v>
      </c>
      <c r="F769" t="s">
        <v>90</v>
      </c>
      <c r="G769" t="s">
        <v>91</v>
      </c>
      <c r="H769" t="s">
        <v>72</v>
      </c>
      <c r="I769" t="s">
        <v>7531</v>
      </c>
      <c r="J769" t="s">
        <v>7545</v>
      </c>
      <c r="K769" t="s">
        <v>36</v>
      </c>
      <c r="L769" t="s">
        <v>33</v>
      </c>
      <c r="M769">
        <v>20608332619</v>
      </c>
      <c r="N769" t="s">
        <v>61</v>
      </c>
      <c r="P769" t="s">
        <v>62</v>
      </c>
      <c r="Q769">
        <v>7427707448</v>
      </c>
      <c r="R769" t="s">
        <v>7546</v>
      </c>
      <c r="S769">
        <v>590</v>
      </c>
      <c r="T769" t="s">
        <v>40</v>
      </c>
      <c r="U769">
        <f>+IF(Tabla1[[#This Row],[MONEDA]]="PEN",Tabla1[[#This Row],[MONTO]],Tabla1[[#This Row],[MONTO]]*3.56)</f>
        <v>590</v>
      </c>
      <c r="X769" t="s">
        <v>41</v>
      </c>
      <c r="Y769" t="s">
        <v>42</v>
      </c>
      <c r="Z769" t="s">
        <v>82</v>
      </c>
      <c r="AA769" t="s">
        <v>7547</v>
      </c>
      <c r="AB769" t="s">
        <v>7548</v>
      </c>
      <c r="AC769" t="s">
        <v>7549</v>
      </c>
      <c r="AD769" t="s">
        <v>7550</v>
      </c>
      <c r="AE769">
        <v>590</v>
      </c>
      <c r="AF769" t="s">
        <v>87</v>
      </c>
      <c r="AG769" t="s">
        <v>515</v>
      </c>
    </row>
    <row r="770" spans="1:33" x14ac:dyDescent="0.25">
      <c r="A770">
        <v>28128</v>
      </c>
      <c r="B770" t="s">
        <v>32</v>
      </c>
      <c r="C770">
        <v>1</v>
      </c>
      <c r="D770" t="s">
        <v>7551</v>
      </c>
      <c r="E770" t="s">
        <v>70</v>
      </c>
      <c r="F770" t="s">
        <v>90</v>
      </c>
      <c r="G770" t="s">
        <v>91</v>
      </c>
      <c r="H770" t="s">
        <v>72</v>
      </c>
      <c r="I770" t="s">
        <v>7531</v>
      </c>
      <c r="J770" t="s">
        <v>7552</v>
      </c>
      <c r="K770" t="s">
        <v>36</v>
      </c>
      <c r="L770" t="s">
        <v>33</v>
      </c>
      <c r="M770">
        <v>20608332619</v>
      </c>
      <c r="N770" t="s">
        <v>61</v>
      </c>
      <c r="P770" t="s">
        <v>62</v>
      </c>
      <c r="Q770">
        <v>7427707448</v>
      </c>
      <c r="R770" t="s">
        <v>7553</v>
      </c>
      <c r="S770">
        <v>3894</v>
      </c>
      <c r="T770" t="s">
        <v>40</v>
      </c>
      <c r="U770">
        <f>+IF(Tabla1[[#This Row],[MONEDA]]="PEN",Tabla1[[#This Row],[MONTO]],Tabla1[[#This Row],[MONTO]]*3.56)</f>
        <v>3894</v>
      </c>
      <c r="X770" t="s">
        <v>41</v>
      </c>
      <c r="Y770" t="s">
        <v>42</v>
      </c>
      <c r="Z770" t="s">
        <v>43</v>
      </c>
      <c r="AA770" t="s">
        <v>7547</v>
      </c>
      <c r="AB770" t="s">
        <v>7554</v>
      </c>
      <c r="AC770" t="s">
        <v>7555</v>
      </c>
      <c r="AD770" t="s">
        <v>7556</v>
      </c>
      <c r="AE770">
        <v>3504.6</v>
      </c>
      <c r="AF770" t="s">
        <v>87</v>
      </c>
      <c r="AG770" t="s">
        <v>515</v>
      </c>
    </row>
    <row r="771" spans="1:33" x14ac:dyDescent="0.25">
      <c r="A771">
        <v>28129</v>
      </c>
      <c r="B771" t="s">
        <v>32</v>
      </c>
      <c r="C771">
        <v>1</v>
      </c>
      <c r="D771" t="s">
        <v>7557</v>
      </c>
      <c r="E771" t="s">
        <v>70</v>
      </c>
      <c r="F771" t="s">
        <v>90</v>
      </c>
      <c r="G771" t="s">
        <v>91</v>
      </c>
      <c r="H771" t="s">
        <v>72</v>
      </c>
      <c r="I771" t="s">
        <v>7531</v>
      </c>
      <c r="J771" t="s">
        <v>7558</v>
      </c>
      <c r="K771" t="s">
        <v>36</v>
      </c>
      <c r="L771" t="s">
        <v>33</v>
      </c>
      <c r="M771">
        <v>20608332619</v>
      </c>
      <c r="N771" t="s">
        <v>61</v>
      </c>
      <c r="P771" t="s">
        <v>62</v>
      </c>
      <c r="Q771">
        <v>7427707448</v>
      </c>
      <c r="R771" t="s">
        <v>7559</v>
      </c>
      <c r="S771">
        <v>3894</v>
      </c>
      <c r="T771" t="s">
        <v>40</v>
      </c>
      <c r="U771">
        <f>+IF(Tabla1[[#This Row],[MONEDA]]="PEN",Tabla1[[#This Row],[MONTO]],Tabla1[[#This Row],[MONTO]]*3.56)</f>
        <v>3894</v>
      </c>
      <c r="X771" t="s">
        <v>41</v>
      </c>
      <c r="Y771" t="s">
        <v>42</v>
      </c>
      <c r="Z771" t="s">
        <v>43</v>
      </c>
      <c r="AA771" t="s">
        <v>7560</v>
      </c>
      <c r="AB771" t="s">
        <v>7561</v>
      </c>
      <c r="AC771" t="s">
        <v>7562</v>
      </c>
      <c r="AD771" t="s">
        <v>7563</v>
      </c>
      <c r="AE771">
        <v>3504.6</v>
      </c>
      <c r="AF771" t="s">
        <v>87</v>
      </c>
      <c r="AG771" t="s">
        <v>515</v>
      </c>
    </row>
    <row r="772" spans="1:33" x14ac:dyDescent="0.25">
      <c r="A772">
        <v>28132</v>
      </c>
      <c r="B772" t="s">
        <v>32</v>
      </c>
      <c r="C772">
        <v>1</v>
      </c>
      <c r="D772" t="s">
        <v>7564</v>
      </c>
      <c r="E772" t="s">
        <v>70</v>
      </c>
      <c r="F772" t="s">
        <v>90</v>
      </c>
      <c r="G772" t="s">
        <v>91</v>
      </c>
      <c r="H772" t="s">
        <v>72</v>
      </c>
      <c r="I772" t="s">
        <v>7531</v>
      </c>
      <c r="J772" t="s">
        <v>7565</v>
      </c>
      <c r="K772" t="s">
        <v>36</v>
      </c>
      <c r="L772" t="s">
        <v>33</v>
      </c>
      <c r="M772">
        <v>20608332619</v>
      </c>
      <c r="N772" t="s">
        <v>61</v>
      </c>
      <c r="P772" t="s">
        <v>62</v>
      </c>
      <c r="Q772">
        <v>7427707448</v>
      </c>
      <c r="R772" t="s">
        <v>7566</v>
      </c>
      <c r="S772">
        <v>590</v>
      </c>
      <c r="T772" t="s">
        <v>40</v>
      </c>
      <c r="U772">
        <f>+IF(Tabla1[[#This Row],[MONEDA]]="PEN",Tabla1[[#This Row],[MONTO]],Tabla1[[#This Row],[MONTO]]*3.56)</f>
        <v>590</v>
      </c>
      <c r="X772" t="s">
        <v>41</v>
      </c>
      <c r="Y772" t="s">
        <v>42</v>
      </c>
      <c r="Z772" t="s">
        <v>43</v>
      </c>
      <c r="AA772" t="s">
        <v>7560</v>
      </c>
      <c r="AB772" t="s">
        <v>7567</v>
      </c>
      <c r="AC772" t="s">
        <v>7568</v>
      </c>
      <c r="AD772" t="s">
        <v>7569</v>
      </c>
      <c r="AE772">
        <v>590</v>
      </c>
      <c r="AF772" t="s">
        <v>87</v>
      </c>
      <c r="AG772" t="s">
        <v>515</v>
      </c>
    </row>
    <row r="773" spans="1:33" x14ac:dyDescent="0.25">
      <c r="A773">
        <v>28133</v>
      </c>
      <c r="B773" t="s">
        <v>32</v>
      </c>
      <c r="C773">
        <v>1</v>
      </c>
      <c r="D773" t="s">
        <v>7570</v>
      </c>
      <c r="E773" t="s">
        <v>70</v>
      </c>
      <c r="F773" t="s">
        <v>90</v>
      </c>
      <c r="G773" t="s">
        <v>91</v>
      </c>
      <c r="H773" t="s">
        <v>72</v>
      </c>
      <c r="I773" t="s">
        <v>7531</v>
      </c>
      <c r="J773" t="s">
        <v>7571</v>
      </c>
      <c r="K773" t="s">
        <v>36</v>
      </c>
      <c r="L773" t="s">
        <v>33</v>
      </c>
      <c r="M773">
        <v>20608332619</v>
      </c>
      <c r="N773" t="s">
        <v>61</v>
      </c>
      <c r="P773" t="s">
        <v>62</v>
      </c>
      <c r="Q773">
        <v>7427707448</v>
      </c>
      <c r="R773" t="s">
        <v>7572</v>
      </c>
      <c r="S773">
        <v>944</v>
      </c>
      <c r="T773" t="s">
        <v>40</v>
      </c>
      <c r="U773">
        <f>+IF(Tabla1[[#This Row],[MONEDA]]="PEN",Tabla1[[#This Row],[MONTO]],Tabla1[[#This Row],[MONTO]]*3.56)</f>
        <v>944</v>
      </c>
      <c r="X773" t="s">
        <v>41</v>
      </c>
      <c r="Y773" t="s">
        <v>42</v>
      </c>
      <c r="Z773" t="s">
        <v>43</v>
      </c>
      <c r="AA773" t="s">
        <v>7560</v>
      </c>
      <c r="AB773" t="s">
        <v>7573</v>
      </c>
      <c r="AC773" t="s">
        <v>7574</v>
      </c>
      <c r="AD773" t="s">
        <v>7575</v>
      </c>
      <c r="AE773">
        <v>849.6</v>
      </c>
      <c r="AF773" t="s">
        <v>87</v>
      </c>
      <c r="AG773" t="s">
        <v>515</v>
      </c>
    </row>
    <row r="774" spans="1:33" x14ac:dyDescent="0.25">
      <c r="A774">
        <v>25133</v>
      </c>
      <c r="B774" t="s">
        <v>32</v>
      </c>
      <c r="C774">
        <v>1</v>
      </c>
      <c r="D774" t="s">
        <v>9965</v>
      </c>
      <c r="E774" t="s">
        <v>70</v>
      </c>
      <c r="F774" t="s">
        <v>90</v>
      </c>
      <c r="G774" t="s">
        <v>91</v>
      </c>
      <c r="H774" t="s">
        <v>72</v>
      </c>
      <c r="I774" t="s">
        <v>9958</v>
      </c>
      <c r="J774" t="s">
        <v>9966</v>
      </c>
      <c r="K774" t="s">
        <v>36</v>
      </c>
      <c r="L774" t="s">
        <v>33</v>
      </c>
      <c r="M774">
        <v>20608332619</v>
      </c>
      <c r="N774" t="s">
        <v>61</v>
      </c>
      <c r="P774" t="s">
        <v>62</v>
      </c>
      <c r="Q774">
        <v>7427707448</v>
      </c>
      <c r="R774" t="s">
        <v>9967</v>
      </c>
      <c r="S774">
        <v>3894</v>
      </c>
      <c r="T774" t="s">
        <v>40</v>
      </c>
      <c r="U774">
        <f>+IF(Tabla1[[#This Row],[MONEDA]]="PEN",Tabla1[[#This Row],[MONTO]],Tabla1[[#This Row],[MONTO]]*3.56)</f>
        <v>3894</v>
      </c>
      <c r="X774" t="s">
        <v>41</v>
      </c>
      <c r="Y774" t="s">
        <v>42</v>
      </c>
      <c r="Z774" t="s">
        <v>43</v>
      </c>
      <c r="AA774" t="s">
        <v>9968</v>
      </c>
      <c r="AB774" t="s">
        <v>9969</v>
      </c>
      <c r="AC774" t="s">
        <v>9970</v>
      </c>
      <c r="AD774" t="s">
        <v>9971</v>
      </c>
      <c r="AE774">
        <v>3504.6</v>
      </c>
      <c r="AF774" t="s">
        <v>87</v>
      </c>
      <c r="AG774" t="s">
        <v>515</v>
      </c>
    </row>
    <row r="775" spans="1:33" x14ac:dyDescent="0.25">
      <c r="A775">
        <v>25135</v>
      </c>
      <c r="B775" t="s">
        <v>32</v>
      </c>
      <c r="C775">
        <v>1</v>
      </c>
      <c r="D775" t="s">
        <v>9972</v>
      </c>
      <c r="E775" t="s">
        <v>70</v>
      </c>
      <c r="F775" t="s">
        <v>90</v>
      </c>
      <c r="G775" t="s">
        <v>91</v>
      </c>
      <c r="H775" t="s">
        <v>72</v>
      </c>
      <c r="I775" t="s">
        <v>9958</v>
      </c>
      <c r="J775" t="s">
        <v>9973</v>
      </c>
      <c r="K775" t="s">
        <v>36</v>
      </c>
      <c r="L775" t="s">
        <v>33</v>
      </c>
      <c r="M775">
        <v>20608332619</v>
      </c>
      <c r="N775" t="s">
        <v>61</v>
      </c>
      <c r="P775" t="s">
        <v>62</v>
      </c>
      <c r="Q775">
        <v>7427707448</v>
      </c>
      <c r="R775" t="s">
        <v>9974</v>
      </c>
      <c r="S775">
        <v>590</v>
      </c>
      <c r="T775" t="s">
        <v>40</v>
      </c>
      <c r="U775">
        <f>+IF(Tabla1[[#This Row],[MONEDA]]="PEN",Tabla1[[#This Row],[MONTO]],Tabla1[[#This Row],[MONTO]]*3.56)</f>
        <v>590</v>
      </c>
      <c r="X775" t="s">
        <v>41</v>
      </c>
      <c r="Y775" t="s">
        <v>42</v>
      </c>
      <c r="Z775" t="s">
        <v>43</v>
      </c>
      <c r="AA775" t="s">
        <v>9975</v>
      </c>
      <c r="AB775" t="s">
        <v>9976</v>
      </c>
      <c r="AC775" t="s">
        <v>9977</v>
      </c>
      <c r="AD775" t="s">
        <v>9978</v>
      </c>
      <c r="AE775">
        <v>590</v>
      </c>
      <c r="AF775" t="s">
        <v>87</v>
      </c>
      <c r="AG775" t="s">
        <v>515</v>
      </c>
    </row>
    <row r="776" spans="1:33" x14ac:dyDescent="0.25">
      <c r="A776">
        <v>23113</v>
      </c>
      <c r="B776" t="s">
        <v>32</v>
      </c>
      <c r="C776">
        <v>1</v>
      </c>
      <c r="D776" t="s">
        <v>11295</v>
      </c>
      <c r="E776" t="s">
        <v>70</v>
      </c>
      <c r="F776" t="s">
        <v>90</v>
      </c>
      <c r="G776" t="s">
        <v>91</v>
      </c>
      <c r="H776" t="s">
        <v>72</v>
      </c>
      <c r="I776" t="s">
        <v>11296</v>
      </c>
      <c r="J776" t="s">
        <v>11297</v>
      </c>
      <c r="K776" t="s">
        <v>36</v>
      </c>
      <c r="L776" t="s">
        <v>33</v>
      </c>
      <c r="M776">
        <v>20608332619</v>
      </c>
      <c r="N776" t="s">
        <v>61</v>
      </c>
      <c r="O776" t="s">
        <v>1747</v>
      </c>
      <c r="P776" t="s">
        <v>62</v>
      </c>
      <c r="Q776">
        <v>7427707448</v>
      </c>
      <c r="R776" t="s">
        <v>11298</v>
      </c>
      <c r="S776">
        <v>590</v>
      </c>
      <c r="T776" t="s">
        <v>40</v>
      </c>
      <c r="U776">
        <f>+IF(Tabla1[[#This Row],[MONEDA]]="PEN",Tabla1[[#This Row],[MONTO]],Tabla1[[#This Row],[MONTO]]*3.56)</f>
        <v>590</v>
      </c>
      <c r="X776" t="s">
        <v>41</v>
      </c>
      <c r="Y776" t="s">
        <v>42</v>
      </c>
      <c r="Z776" t="s">
        <v>43</v>
      </c>
      <c r="AA776" t="s">
        <v>11299</v>
      </c>
      <c r="AB776" t="s">
        <v>11300</v>
      </c>
      <c r="AC776" t="s">
        <v>11301</v>
      </c>
      <c r="AD776" t="s">
        <v>11302</v>
      </c>
      <c r="AE776">
        <v>590</v>
      </c>
      <c r="AF776" t="s">
        <v>87</v>
      </c>
      <c r="AG776" t="s">
        <v>515</v>
      </c>
    </row>
    <row r="777" spans="1:33" x14ac:dyDescent="0.25">
      <c r="A777">
        <v>21872</v>
      </c>
      <c r="B777" t="s">
        <v>32</v>
      </c>
      <c r="C777">
        <v>1</v>
      </c>
      <c r="D777" t="s">
        <v>12145</v>
      </c>
      <c r="E777" t="s">
        <v>70</v>
      </c>
      <c r="F777" t="s">
        <v>90</v>
      </c>
      <c r="G777" t="s">
        <v>91</v>
      </c>
      <c r="H777" t="s">
        <v>72</v>
      </c>
      <c r="I777" t="s">
        <v>12146</v>
      </c>
      <c r="J777" t="s">
        <v>12147</v>
      </c>
      <c r="K777" t="s">
        <v>36</v>
      </c>
      <c r="L777" t="s">
        <v>33</v>
      </c>
      <c r="M777">
        <v>20608332619</v>
      </c>
      <c r="N777" t="s">
        <v>61</v>
      </c>
      <c r="O777" t="s">
        <v>1747</v>
      </c>
      <c r="P777" t="s">
        <v>62</v>
      </c>
      <c r="Q777">
        <v>7427707448</v>
      </c>
      <c r="R777" t="s">
        <v>12148</v>
      </c>
      <c r="S777">
        <v>1652</v>
      </c>
      <c r="T777" t="s">
        <v>40</v>
      </c>
      <c r="U777">
        <f>+IF(Tabla1[[#This Row],[MONEDA]]="PEN",Tabla1[[#This Row],[MONTO]],Tabla1[[#This Row],[MONTO]]*3.56)</f>
        <v>1652</v>
      </c>
      <c r="X777" t="s">
        <v>41</v>
      </c>
      <c r="Y777" t="s">
        <v>42</v>
      </c>
      <c r="Z777" t="s">
        <v>43</v>
      </c>
      <c r="AA777" t="s">
        <v>12149</v>
      </c>
      <c r="AC777" t="s">
        <v>12150</v>
      </c>
      <c r="AD777" t="s">
        <v>12151</v>
      </c>
      <c r="AE777">
        <v>1486.8</v>
      </c>
      <c r="AF777" t="s">
        <v>87</v>
      </c>
      <c r="AG777" t="s">
        <v>515</v>
      </c>
    </row>
    <row r="778" spans="1:33" x14ac:dyDescent="0.25">
      <c r="A778">
        <v>21232</v>
      </c>
      <c r="B778" t="s">
        <v>32</v>
      </c>
      <c r="C778">
        <v>1</v>
      </c>
      <c r="D778" t="s">
        <v>12599</v>
      </c>
      <c r="E778" t="s">
        <v>70</v>
      </c>
      <c r="F778" t="s">
        <v>90</v>
      </c>
      <c r="G778" t="s">
        <v>91</v>
      </c>
      <c r="H778" t="s">
        <v>72</v>
      </c>
      <c r="I778" t="s">
        <v>12600</v>
      </c>
      <c r="J778" t="s">
        <v>12601</v>
      </c>
      <c r="K778" t="s">
        <v>36</v>
      </c>
      <c r="L778" t="s">
        <v>33</v>
      </c>
      <c r="M778">
        <v>20608332619</v>
      </c>
      <c r="N778" t="s">
        <v>61</v>
      </c>
      <c r="O778" t="s">
        <v>1747</v>
      </c>
      <c r="P778" t="s">
        <v>62</v>
      </c>
      <c r="Q778">
        <v>7427707448</v>
      </c>
      <c r="R778" t="s">
        <v>12602</v>
      </c>
      <c r="S778">
        <v>2242</v>
      </c>
      <c r="T778" t="s">
        <v>40</v>
      </c>
      <c r="U778">
        <f>+IF(Tabla1[[#This Row],[MONEDA]]="PEN",Tabla1[[#This Row],[MONTO]],Tabla1[[#This Row],[MONTO]]*3.56)</f>
        <v>2242</v>
      </c>
      <c r="X778" t="s">
        <v>41</v>
      </c>
      <c r="Y778" t="s">
        <v>42</v>
      </c>
      <c r="Z778" t="s">
        <v>43</v>
      </c>
      <c r="AA778" t="s">
        <v>12603</v>
      </c>
      <c r="AB778" t="s">
        <v>12604</v>
      </c>
      <c r="AC778" t="s">
        <v>12605</v>
      </c>
      <c r="AD778" t="s">
        <v>12606</v>
      </c>
      <c r="AE778">
        <v>2017.8</v>
      </c>
      <c r="AF778" t="s">
        <v>87</v>
      </c>
      <c r="AG778" t="s">
        <v>515</v>
      </c>
    </row>
    <row r="779" spans="1:33" hidden="1" x14ac:dyDescent="0.25">
      <c r="A779">
        <v>45135</v>
      </c>
      <c r="B779" t="s">
        <v>32</v>
      </c>
      <c r="C779">
        <v>3</v>
      </c>
      <c r="D779" t="s">
        <v>59</v>
      </c>
      <c r="E779" t="s">
        <v>45</v>
      </c>
      <c r="F779" t="s">
        <v>33</v>
      </c>
      <c r="G779" t="s">
        <v>34</v>
      </c>
      <c r="H779" t="s">
        <v>35</v>
      </c>
      <c r="I779" t="s">
        <v>46</v>
      </c>
      <c r="J779" t="s">
        <v>60</v>
      </c>
      <c r="K779" t="s">
        <v>36</v>
      </c>
      <c r="L779" t="s">
        <v>33</v>
      </c>
      <c r="M779">
        <v>20608332619</v>
      </c>
      <c r="N779" t="s">
        <v>61</v>
      </c>
      <c r="P779" t="s">
        <v>62</v>
      </c>
      <c r="Q779">
        <v>7427707448</v>
      </c>
      <c r="R779" t="s">
        <v>63</v>
      </c>
      <c r="S779">
        <v>3894</v>
      </c>
      <c r="T779" t="s">
        <v>40</v>
      </c>
      <c r="U779">
        <f>+IF(Tabla1[[#This Row],[MONEDA]]="PEN",Tabla1[[#This Row],[MONTO]],Tabla1[[#This Row],[MONTO]]*3.56)</f>
        <v>3894</v>
      </c>
      <c r="X779" t="s">
        <v>41</v>
      </c>
      <c r="Y779" t="s">
        <v>51</v>
      </c>
      <c r="Z779" t="s">
        <v>43</v>
      </c>
      <c r="AB779" t="s">
        <v>64</v>
      </c>
    </row>
    <row r="780" spans="1:33" hidden="1" x14ac:dyDescent="0.25">
      <c r="A780">
        <v>45172</v>
      </c>
      <c r="B780" t="s">
        <v>32</v>
      </c>
      <c r="C780">
        <v>3</v>
      </c>
      <c r="D780" t="s">
        <v>65</v>
      </c>
      <c r="E780" t="s">
        <v>45</v>
      </c>
      <c r="F780" t="s">
        <v>33</v>
      </c>
      <c r="G780" t="s">
        <v>34</v>
      </c>
      <c r="H780" t="s">
        <v>35</v>
      </c>
      <c r="I780" t="s">
        <v>46</v>
      </c>
      <c r="J780" t="s">
        <v>66</v>
      </c>
      <c r="K780" t="s">
        <v>36</v>
      </c>
      <c r="L780" t="s">
        <v>33</v>
      </c>
      <c r="M780">
        <v>20608332619</v>
      </c>
      <c r="N780" t="s">
        <v>61</v>
      </c>
      <c r="P780" t="s">
        <v>62</v>
      </c>
      <c r="Q780">
        <v>7427707448</v>
      </c>
      <c r="R780" t="s">
        <v>67</v>
      </c>
      <c r="S780">
        <v>590</v>
      </c>
      <c r="T780" t="s">
        <v>40</v>
      </c>
      <c r="U780">
        <f>+IF(Tabla1[[#This Row],[MONEDA]]="PEN",Tabla1[[#This Row],[MONTO]],Tabla1[[#This Row],[MONTO]]*3.56)</f>
        <v>590</v>
      </c>
      <c r="X780" t="s">
        <v>41</v>
      </c>
      <c r="Y780" t="s">
        <v>51</v>
      </c>
      <c r="Z780" t="s">
        <v>43</v>
      </c>
      <c r="AB780" t="s">
        <v>68</v>
      </c>
    </row>
    <row r="781" spans="1:33" hidden="1" x14ac:dyDescent="0.25">
      <c r="A781">
        <v>45149</v>
      </c>
      <c r="B781" t="s">
        <v>32</v>
      </c>
      <c r="C781">
        <v>6</v>
      </c>
      <c r="D781" t="s">
        <v>333</v>
      </c>
      <c r="E781" t="s">
        <v>45</v>
      </c>
      <c r="F781" t="s">
        <v>33</v>
      </c>
      <c r="G781" t="s">
        <v>34</v>
      </c>
      <c r="H781" t="s">
        <v>35</v>
      </c>
      <c r="I781" t="s">
        <v>334</v>
      </c>
      <c r="J781" t="s">
        <v>335</v>
      </c>
      <c r="K781" t="s">
        <v>36</v>
      </c>
      <c r="L781" t="s">
        <v>33</v>
      </c>
      <c r="M781">
        <v>20608332619</v>
      </c>
      <c r="N781" t="s">
        <v>61</v>
      </c>
      <c r="P781" t="s">
        <v>62</v>
      </c>
      <c r="Q781">
        <v>7427707448</v>
      </c>
      <c r="R781" t="s">
        <v>336</v>
      </c>
      <c r="S781">
        <v>590</v>
      </c>
      <c r="T781" t="s">
        <v>40</v>
      </c>
      <c r="U781">
        <f>+IF(Tabla1[[#This Row],[MONEDA]]="PEN",Tabla1[[#This Row],[MONTO]],Tabla1[[#This Row],[MONTO]]*3.56)</f>
        <v>590</v>
      </c>
      <c r="X781" t="s">
        <v>41</v>
      </c>
      <c r="Y781" t="s">
        <v>51</v>
      </c>
      <c r="Z781" t="s">
        <v>43</v>
      </c>
      <c r="AB781" t="s">
        <v>337</v>
      </c>
    </row>
    <row r="782" spans="1:33" hidden="1" x14ac:dyDescent="0.25">
      <c r="A782">
        <v>43623</v>
      </c>
      <c r="B782" t="s">
        <v>32</v>
      </c>
      <c r="C782">
        <v>3</v>
      </c>
      <c r="D782" t="s">
        <v>382</v>
      </c>
      <c r="E782" t="s">
        <v>45</v>
      </c>
      <c r="F782" t="s">
        <v>33</v>
      </c>
      <c r="G782" t="s">
        <v>34</v>
      </c>
      <c r="H782" t="s">
        <v>35</v>
      </c>
      <c r="I782" t="s">
        <v>368</v>
      </c>
      <c r="J782" t="s">
        <v>383</v>
      </c>
      <c r="K782" t="s">
        <v>36</v>
      </c>
      <c r="L782" t="s">
        <v>33</v>
      </c>
      <c r="M782">
        <v>20608332619</v>
      </c>
      <c r="N782" t="s">
        <v>61</v>
      </c>
      <c r="P782" t="s">
        <v>62</v>
      </c>
      <c r="Q782">
        <v>7427707448</v>
      </c>
      <c r="R782" t="s">
        <v>384</v>
      </c>
      <c r="S782">
        <v>590</v>
      </c>
      <c r="T782" t="s">
        <v>40</v>
      </c>
      <c r="U782">
        <f>+IF(Tabla1[[#This Row],[MONEDA]]="PEN",Tabla1[[#This Row],[MONTO]],Tabla1[[#This Row],[MONTO]]*3.56)</f>
        <v>590</v>
      </c>
      <c r="X782" t="s">
        <v>41</v>
      </c>
      <c r="Y782" t="s">
        <v>51</v>
      </c>
      <c r="Z782" t="s">
        <v>43</v>
      </c>
      <c r="AB782" t="s">
        <v>385</v>
      </c>
      <c r="AD782" t="s">
        <v>386</v>
      </c>
    </row>
    <row r="783" spans="1:33" hidden="1" x14ac:dyDescent="0.25">
      <c r="A783">
        <v>43626</v>
      </c>
      <c r="B783" t="s">
        <v>32</v>
      </c>
      <c r="C783">
        <v>3</v>
      </c>
      <c r="D783" t="s">
        <v>387</v>
      </c>
      <c r="E783" t="s">
        <v>45</v>
      </c>
      <c r="F783" t="s">
        <v>33</v>
      </c>
      <c r="G783" t="s">
        <v>34</v>
      </c>
      <c r="H783" t="s">
        <v>35</v>
      </c>
      <c r="I783" t="s">
        <v>368</v>
      </c>
      <c r="J783" t="s">
        <v>388</v>
      </c>
      <c r="K783" t="s">
        <v>36</v>
      </c>
      <c r="L783" t="s">
        <v>33</v>
      </c>
      <c r="M783">
        <v>20608332619</v>
      </c>
      <c r="N783" t="s">
        <v>61</v>
      </c>
      <c r="P783" t="s">
        <v>62</v>
      </c>
      <c r="Q783">
        <v>7427707448</v>
      </c>
      <c r="R783" t="s">
        <v>389</v>
      </c>
      <c r="S783">
        <v>944</v>
      </c>
      <c r="T783" t="s">
        <v>40</v>
      </c>
      <c r="U783">
        <f>+IF(Tabla1[[#This Row],[MONEDA]]="PEN",Tabla1[[#This Row],[MONTO]],Tabla1[[#This Row],[MONTO]]*3.56)</f>
        <v>944</v>
      </c>
      <c r="X783" t="s">
        <v>41</v>
      </c>
      <c r="Y783" t="s">
        <v>51</v>
      </c>
      <c r="Z783" t="s">
        <v>43</v>
      </c>
      <c r="AB783" t="s">
        <v>390</v>
      </c>
      <c r="AD783" t="s">
        <v>391</v>
      </c>
    </row>
    <row r="784" spans="1:33" hidden="1" x14ac:dyDescent="0.25">
      <c r="A784">
        <v>43629</v>
      </c>
      <c r="B784" t="s">
        <v>32</v>
      </c>
      <c r="C784">
        <v>3</v>
      </c>
      <c r="D784" t="s">
        <v>392</v>
      </c>
      <c r="E784" t="s">
        <v>45</v>
      </c>
      <c r="F784" t="s">
        <v>33</v>
      </c>
      <c r="G784" t="s">
        <v>34</v>
      </c>
      <c r="H784" t="s">
        <v>35</v>
      </c>
      <c r="I784" t="s">
        <v>368</v>
      </c>
      <c r="J784" t="s">
        <v>393</v>
      </c>
      <c r="K784" t="s">
        <v>36</v>
      </c>
      <c r="L784" t="s">
        <v>33</v>
      </c>
      <c r="M784">
        <v>20608332619</v>
      </c>
      <c r="N784" t="s">
        <v>61</v>
      </c>
      <c r="P784" t="s">
        <v>62</v>
      </c>
      <c r="Q784">
        <v>7427707448</v>
      </c>
      <c r="R784" t="s">
        <v>394</v>
      </c>
      <c r="S784">
        <v>590</v>
      </c>
      <c r="T784" t="s">
        <v>40</v>
      </c>
      <c r="U784">
        <f>+IF(Tabla1[[#This Row],[MONEDA]]="PEN",Tabla1[[#This Row],[MONTO]],Tabla1[[#This Row],[MONTO]]*3.56)</f>
        <v>590</v>
      </c>
      <c r="X784" t="s">
        <v>41</v>
      </c>
      <c r="Y784" t="s">
        <v>51</v>
      </c>
      <c r="Z784" t="s">
        <v>43</v>
      </c>
      <c r="AB784" t="s">
        <v>395</v>
      </c>
      <c r="AD784" t="s">
        <v>396</v>
      </c>
    </row>
    <row r="785" spans="1:33" hidden="1" x14ac:dyDescent="0.25">
      <c r="A785">
        <v>43635</v>
      </c>
      <c r="B785" t="s">
        <v>32</v>
      </c>
      <c r="C785">
        <v>3</v>
      </c>
      <c r="D785" t="s">
        <v>397</v>
      </c>
      <c r="E785" t="s">
        <v>45</v>
      </c>
      <c r="F785" t="s">
        <v>33</v>
      </c>
      <c r="G785" t="s">
        <v>34</v>
      </c>
      <c r="H785" t="s">
        <v>35</v>
      </c>
      <c r="I785" t="s">
        <v>368</v>
      </c>
      <c r="J785" t="s">
        <v>398</v>
      </c>
      <c r="K785" t="s">
        <v>36</v>
      </c>
      <c r="L785" t="s">
        <v>33</v>
      </c>
      <c r="M785">
        <v>20608332619</v>
      </c>
      <c r="N785" t="s">
        <v>61</v>
      </c>
      <c r="P785" t="s">
        <v>62</v>
      </c>
      <c r="Q785">
        <v>7427707448</v>
      </c>
      <c r="R785" t="s">
        <v>399</v>
      </c>
      <c r="S785">
        <v>3894</v>
      </c>
      <c r="T785" t="s">
        <v>40</v>
      </c>
      <c r="U785">
        <f>+IF(Tabla1[[#This Row],[MONEDA]]="PEN",Tabla1[[#This Row],[MONTO]],Tabla1[[#This Row],[MONTO]]*3.56)</f>
        <v>3894</v>
      </c>
      <c r="X785" t="s">
        <v>41</v>
      </c>
      <c r="Y785" t="s">
        <v>51</v>
      </c>
      <c r="Z785" t="s">
        <v>43</v>
      </c>
      <c r="AB785" t="s">
        <v>400</v>
      </c>
      <c r="AD785" t="s">
        <v>401</v>
      </c>
    </row>
    <row r="786" spans="1:33" x14ac:dyDescent="0.25">
      <c r="A786">
        <v>39581</v>
      </c>
      <c r="B786" t="s">
        <v>32</v>
      </c>
      <c r="C786">
        <v>1</v>
      </c>
      <c r="D786" t="s">
        <v>2294</v>
      </c>
      <c r="E786" t="s">
        <v>70</v>
      </c>
      <c r="F786" t="s">
        <v>157</v>
      </c>
      <c r="G786" t="s">
        <v>158</v>
      </c>
      <c r="H786" t="s">
        <v>159</v>
      </c>
      <c r="I786" t="s">
        <v>2295</v>
      </c>
      <c r="J786" t="s">
        <v>2296</v>
      </c>
      <c r="K786" t="s">
        <v>36</v>
      </c>
      <c r="L786" t="s">
        <v>33</v>
      </c>
      <c r="M786">
        <v>20601441269</v>
      </c>
      <c r="N786" t="s">
        <v>2297</v>
      </c>
      <c r="P786" t="s">
        <v>38</v>
      </c>
      <c r="Q786" t="s">
        <v>2298</v>
      </c>
      <c r="R786" t="s">
        <v>2299</v>
      </c>
      <c r="S786">
        <v>220</v>
      </c>
      <c r="T786" t="s">
        <v>40</v>
      </c>
      <c r="U786">
        <f>+IF(Tabla1[[#This Row],[MONEDA]]="PEN",Tabla1[[#This Row],[MONTO]],Tabla1[[#This Row],[MONTO]]*3.56)</f>
        <v>220</v>
      </c>
      <c r="X786" t="s">
        <v>41</v>
      </c>
      <c r="Y786" t="s">
        <v>42</v>
      </c>
      <c r="Z786" t="s">
        <v>82</v>
      </c>
      <c r="AA786" t="s">
        <v>2300</v>
      </c>
      <c r="AB786" t="s">
        <v>2301</v>
      </c>
      <c r="AC786" t="s">
        <v>2302</v>
      </c>
      <c r="AD786" t="s">
        <v>2303</v>
      </c>
      <c r="AE786">
        <v>220</v>
      </c>
      <c r="AF786" t="s">
        <v>87</v>
      </c>
      <c r="AG786" t="s">
        <v>169</v>
      </c>
    </row>
    <row r="787" spans="1:33" hidden="1" x14ac:dyDescent="0.25">
      <c r="A787">
        <v>29939</v>
      </c>
      <c r="B787" t="s">
        <v>32</v>
      </c>
      <c r="C787">
        <v>6</v>
      </c>
      <c r="D787" t="s">
        <v>6393</v>
      </c>
      <c r="E787" t="s">
        <v>70</v>
      </c>
      <c r="F787" t="s">
        <v>33</v>
      </c>
      <c r="G787" t="s">
        <v>71</v>
      </c>
      <c r="H787" t="s">
        <v>72</v>
      </c>
      <c r="I787" t="s">
        <v>6379</v>
      </c>
      <c r="J787" t="s">
        <v>6394</v>
      </c>
      <c r="K787" t="s">
        <v>36</v>
      </c>
      <c r="L787" t="s">
        <v>33</v>
      </c>
      <c r="M787">
        <v>20455921628</v>
      </c>
      <c r="N787" t="s">
        <v>6395</v>
      </c>
      <c r="O787" t="s">
        <v>76</v>
      </c>
      <c r="P787" t="s">
        <v>62</v>
      </c>
      <c r="Q787" t="s">
        <v>6396</v>
      </c>
      <c r="R787" t="s">
        <v>6397</v>
      </c>
      <c r="S787">
        <v>1300</v>
      </c>
      <c r="T787" t="s">
        <v>40</v>
      </c>
      <c r="U787">
        <f>+IF(Tabla1[[#This Row],[MONEDA]]="PEN",Tabla1[[#This Row],[MONTO]],Tabla1[[#This Row],[MONTO]]*3.56)</f>
        <v>1300</v>
      </c>
      <c r="X787" t="s">
        <v>81</v>
      </c>
      <c r="Y787" t="s">
        <v>42</v>
      </c>
      <c r="Z787" t="s">
        <v>43</v>
      </c>
      <c r="AA787" t="s">
        <v>6398</v>
      </c>
      <c r="AB787" t="s">
        <v>6399</v>
      </c>
      <c r="AC787" t="s">
        <v>6400</v>
      </c>
      <c r="AD787" t="s">
        <v>6401</v>
      </c>
      <c r="AE787">
        <v>1261</v>
      </c>
      <c r="AF787" t="s">
        <v>87</v>
      </c>
      <c r="AG787" t="s">
        <v>515</v>
      </c>
    </row>
    <row r="788" spans="1:33" x14ac:dyDescent="0.25">
      <c r="A788">
        <v>27726</v>
      </c>
      <c r="B788" t="s">
        <v>32</v>
      </c>
      <c r="C788">
        <v>1</v>
      </c>
      <c r="D788" t="s">
        <v>8130</v>
      </c>
      <c r="E788" t="s">
        <v>70</v>
      </c>
      <c r="F788" t="s">
        <v>5328</v>
      </c>
      <c r="G788" t="s">
        <v>5329</v>
      </c>
      <c r="H788" t="s">
        <v>72</v>
      </c>
      <c r="I788" t="s">
        <v>8122</v>
      </c>
      <c r="J788" t="s">
        <v>8131</v>
      </c>
      <c r="K788" t="s">
        <v>36</v>
      </c>
      <c r="L788" t="s">
        <v>33</v>
      </c>
      <c r="M788">
        <v>20455921628</v>
      </c>
      <c r="N788" t="s">
        <v>6395</v>
      </c>
      <c r="O788" t="s">
        <v>6159</v>
      </c>
      <c r="P788" t="s">
        <v>62</v>
      </c>
      <c r="Q788" t="s">
        <v>6396</v>
      </c>
      <c r="R788" t="s">
        <v>8132</v>
      </c>
      <c r="S788">
        <v>3520</v>
      </c>
      <c r="T788" t="s">
        <v>40</v>
      </c>
      <c r="U788">
        <f>+IF(Tabla1[[#This Row],[MONEDA]]="PEN",Tabla1[[#This Row],[MONTO]],Tabla1[[#This Row],[MONTO]]*3.56)</f>
        <v>3520</v>
      </c>
      <c r="X788" t="s">
        <v>81</v>
      </c>
      <c r="Y788" t="s">
        <v>42</v>
      </c>
      <c r="Z788" t="s">
        <v>43</v>
      </c>
      <c r="AA788" t="s">
        <v>8133</v>
      </c>
      <c r="AB788" t="s">
        <v>8134</v>
      </c>
      <c r="AC788" t="s">
        <v>8135</v>
      </c>
      <c r="AD788" t="s">
        <v>8136</v>
      </c>
      <c r="AE788">
        <v>3414.4</v>
      </c>
      <c r="AF788" t="s">
        <v>87</v>
      </c>
      <c r="AG788" t="s">
        <v>515</v>
      </c>
    </row>
    <row r="789" spans="1:33" hidden="1" x14ac:dyDescent="0.25">
      <c r="A789">
        <v>27192</v>
      </c>
      <c r="B789" t="s">
        <v>32</v>
      </c>
      <c r="C789">
        <v>1</v>
      </c>
      <c r="D789" t="s">
        <v>8695</v>
      </c>
      <c r="E789" t="s">
        <v>70</v>
      </c>
      <c r="F789" t="s">
        <v>33</v>
      </c>
      <c r="G789" t="s">
        <v>71</v>
      </c>
      <c r="H789" t="s">
        <v>72</v>
      </c>
      <c r="I789" t="s">
        <v>8664</v>
      </c>
      <c r="J789" t="s">
        <v>8696</v>
      </c>
      <c r="K789" t="s">
        <v>36</v>
      </c>
      <c r="L789" t="s">
        <v>33</v>
      </c>
      <c r="M789">
        <v>20455921628</v>
      </c>
      <c r="N789" t="s">
        <v>6395</v>
      </c>
      <c r="O789" t="s">
        <v>76</v>
      </c>
      <c r="P789" t="s">
        <v>62</v>
      </c>
      <c r="Q789" t="s">
        <v>6396</v>
      </c>
      <c r="R789" t="s">
        <v>8697</v>
      </c>
      <c r="S789">
        <v>1780</v>
      </c>
      <c r="T789" t="s">
        <v>40</v>
      </c>
      <c r="U789">
        <f>+IF(Tabla1[[#This Row],[MONEDA]]="PEN",Tabla1[[#This Row],[MONTO]],Tabla1[[#This Row],[MONTO]]*3.56)</f>
        <v>1780</v>
      </c>
      <c r="X789" t="s">
        <v>81</v>
      </c>
      <c r="Y789" t="s">
        <v>42</v>
      </c>
      <c r="Z789" t="s">
        <v>43</v>
      </c>
      <c r="AA789" t="s">
        <v>8698</v>
      </c>
      <c r="AB789" t="s">
        <v>8699</v>
      </c>
      <c r="AC789" t="s">
        <v>8700</v>
      </c>
      <c r="AD789" t="s">
        <v>8701</v>
      </c>
      <c r="AE789">
        <v>1726.6</v>
      </c>
      <c r="AF789" t="s">
        <v>87</v>
      </c>
      <c r="AG789" t="s">
        <v>515</v>
      </c>
    </row>
    <row r="790" spans="1:33" hidden="1" x14ac:dyDescent="0.25">
      <c r="A790">
        <v>25664</v>
      </c>
      <c r="B790" t="s">
        <v>32</v>
      </c>
      <c r="C790">
        <v>1</v>
      </c>
      <c r="D790" t="s">
        <v>9667</v>
      </c>
      <c r="E790" t="s">
        <v>70</v>
      </c>
      <c r="F790" t="s">
        <v>33</v>
      </c>
      <c r="G790" t="s">
        <v>71</v>
      </c>
      <c r="H790" t="s">
        <v>72</v>
      </c>
      <c r="I790" t="s">
        <v>9631</v>
      </c>
      <c r="J790" t="s">
        <v>9668</v>
      </c>
      <c r="K790" t="s">
        <v>36</v>
      </c>
      <c r="L790" t="s">
        <v>33</v>
      </c>
      <c r="M790">
        <v>20455921628</v>
      </c>
      <c r="N790" t="s">
        <v>6395</v>
      </c>
      <c r="O790" t="s">
        <v>76</v>
      </c>
      <c r="P790" t="s">
        <v>62</v>
      </c>
      <c r="Q790" t="s">
        <v>6396</v>
      </c>
      <c r="R790" t="s">
        <v>9669</v>
      </c>
      <c r="S790">
        <v>650</v>
      </c>
      <c r="T790" t="s">
        <v>40</v>
      </c>
      <c r="U790">
        <f>+IF(Tabla1[[#This Row],[MONEDA]]="PEN",Tabla1[[#This Row],[MONTO]],Tabla1[[#This Row],[MONTO]]*3.56)</f>
        <v>650</v>
      </c>
      <c r="X790" t="s">
        <v>81</v>
      </c>
      <c r="Y790" t="s">
        <v>42</v>
      </c>
      <c r="Z790" t="s">
        <v>82</v>
      </c>
      <c r="AA790" t="s">
        <v>9670</v>
      </c>
      <c r="AB790" t="s">
        <v>9671</v>
      </c>
      <c r="AC790" t="s">
        <v>9672</v>
      </c>
      <c r="AD790" t="s">
        <v>9673</v>
      </c>
      <c r="AE790">
        <v>650</v>
      </c>
      <c r="AF790" t="s">
        <v>87</v>
      </c>
      <c r="AG790" t="s">
        <v>515</v>
      </c>
    </row>
    <row r="791" spans="1:33" hidden="1" x14ac:dyDescent="0.25">
      <c r="A791">
        <v>23307</v>
      </c>
      <c r="B791" t="s">
        <v>32</v>
      </c>
      <c r="C791">
        <v>1</v>
      </c>
      <c r="D791" t="s">
        <v>11348</v>
      </c>
      <c r="E791" t="s">
        <v>70</v>
      </c>
      <c r="F791" t="s">
        <v>33</v>
      </c>
      <c r="G791" t="s">
        <v>9422</v>
      </c>
      <c r="H791" t="s">
        <v>72</v>
      </c>
      <c r="I791" t="s">
        <v>11333</v>
      </c>
      <c r="J791" t="s">
        <v>11349</v>
      </c>
      <c r="K791" t="s">
        <v>36</v>
      </c>
      <c r="L791" t="s">
        <v>33</v>
      </c>
      <c r="M791">
        <v>20455921628</v>
      </c>
      <c r="N791" t="s">
        <v>6395</v>
      </c>
      <c r="O791" t="s">
        <v>9423</v>
      </c>
      <c r="P791" t="s">
        <v>62</v>
      </c>
      <c r="Q791" t="s">
        <v>6396</v>
      </c>
      <c r="R791" t="s">
        <v>11350</v>
      </c>
      <c r="S791">
        <v>1300</v>
      </c>
      <c r="T791" t="s">
        <v>40</v>
      </c>
      <c r="U791">
        <f>+IF(Tabla1[[#This Row],[MONEDA]]="PEN",Tabla1[[#This Row],[MONTO]],Tabla1[[#This Row],[MONTO]]*3.56)</f>
        <v>1300</v>
      </c>
      <c r="X791" t="s">
        <v>41</v>
      </c>
      <c r="Y791" t="s">
        <v>42</v>
      </c>
      <c r="Z791" t="s">
        <v>43</v>
      </c>
      <c r="AA791" t="s">
        <v>11299</v>
      </c>
      <c r="AB791" t="s">
        <v>11351</v>
      </c>
      <c r="AC791" t="s">
        <v>11352</v>
      </c>
      <c r="AD791" t="s">
        <v>11353</v>
      </c>
      <c r="AE791">
        <v>1261</v>
      </c>
      <c r="AF791" t="s">
        <v>87</v>
      </c>
      <c r="AG791" t="s">
        <v>515</v>
      </c>
    </row>
    <row r="792" spans="1:33" hidden="1" x14ac:dyDescent="0.25">
      <c r="A792">
        <v>23034</v>
      </c>
      <c r="B792" t="s">
        <v>32</v>
      </c>
      <c r="C792">
        <v>1</v>
      </c>
      <c r="D792" t="s">
        <v>11572</v>
      </c>
      <c r="E792" t="s">
        <v>70</v>
      </c>
      <c r="F792" t="s">
        <v>33</v>
      </c>
      <c r="G792" t="s">
        <v>9422</v>
      </c>
      <c r="H792" t="s">
        <v>72</v>
      </c>
      <c r="I792" t="s">
        <v>11573</v>
      </c>
      <c r="J792" t="s">
        <v>11574</v>
      </c>
      <c r="K792" t="s">
        <v>36</v>
      </c>
      <c r="L792" t="s">
        <v>33</v>
      </c>
      <c r="M792">
        <v>20455921628</v>
      </c>
      <c r="N792" t="s">
        <v>6395</v>
      </c>
      <c r="O792" t="s">
        <v>9423</v>
      </c>
      <c r="P792" t="s">
        <v>62</v>
      </c>
      <c r="Q792" t="s">
        <v>6396</v>
      </c>
      <c r="R792" t="s">
        <v>11575</v>
      </c>
      <c r="S792">
        <v>650</v>
      </c>
      <c r="T792" t="s">
        <v>40</v>
      </c>
      <c r="U792">
        <f>+IF(Tabla1[[#This Row],[MONEDA]]="PEN",Tabla1[[#This Row],[MONTO]],Tabla1[[#This Row],[MONTO]]*3.56)</f>
        <v>650</v>
      </c>
      <c r="X792" t="s">
        <v>41</v>
      </c>
      <c r="Y792" t="s">
        <v>42</v>
      </c>
      <c r="Z792" t="s">
        <v>43</v>
      </c>
      <c r="AA792" t="s">
        <v>11576</v>
      </c>
      <c r="AB792" t="s">
        <v>11577</v>
      </c>
      <c r="AC792" t="s">
        <v>11578</v>
      </c>
      <c r="AD792" t="s">
        <v>11579</v>
      </c>
      <c r="AE792">
        <v>650</v>
      </c>
      <c r="AF792" t="s">
        <v>87</v>
      </c>
      <c r="AG792" t="s">
        <v>515</v>
      </c>
    </row>
    <row r="793" spans="1:33" hidden="1" x14ac:dyDescent="0.25">
      <c r="A793">
        <v>21627</v>
      </c>
      <c r="B793" t="s">
        <v>32</v>
      </c>
      <c r="C793">
        <v>1</v>
      </c>
      <c r="D793" t="s">
        <v>12361</v>
      </c>
      <c r="E793" t="s">
        <v>70</v>
      </c>
      <c r="F793" t="s">
        <v>33</v>
      </c>
      <c r="G793" t="s">
        <v>71</v>
      </c>
      <c r="H793" t="s">
        <v>72</v>
      </c>
      <c r="I793" t="s">
        <v>12320</v>
      </c>
      <c r="J793" t="s">
        <v>12362</v>
      </c>
      <c r="K793" t="s">
        <v>36</v>
      </c>
      <c r="L793" t="s">
        <v>33</v>
      </c>
      <c r="M793">
        <v>20455921628</v>
      </c>
      <c r="N793" t="s">
        <v>6395</v>
      </c>
      <c r="O793" t="s">
        <v>76</v>
      </c>
      <c r="P793" t="s">
        <v>62</v>
      </c>
      <c r="Q793" t="s">
        <v>6396</v>
      </c>
      <c r="R793" t="s">
        <v>12363</v>
      </c>
      <c r="S793">
        <v>2704.56</v>
      </c>
      <c r="T793" t="s">
        <v>40</v>
      </c>
      <c r="U793">
        <f>+IF(Tabla1[[#This Row],[MONEDA]]="PEN",Tabla1[[#This Row],[MONTO]],Tabla1[[#This Row],[MONTO]]*3.56)</f>
        <v>2704.56</v>
      </c>
      <c r="X793" t="s">
        <v>828</v>
      </c>
      <c r="Y793" t="s">
        <v>42</v>
      </c>
      <c r="Z793" t="s">
        <v>43</v>
      </c>
      <c r="AA793" t="s">
        <v>12364</v>
      </c>
      <c r="AB793" t="s">
        <v>12365</v>
      </c>
      <c r="AC793" t="s">
        <v>12366</v>
      </c>
      <c r="AD793" t="s">
        <v>12367</v>
      </c>
      <c r="AE793">
        <v>2623.42</v>
      </c>
      <c r="AF793" t="s">
        <v>87</v>
      </c>
      <c r="AG793" t="s">
        <v>515</v>
      </c>
    </row>
    <row r="794" spans="1:33" hidden="1" x14ac:dyDescent="0.25">
      <c r="A794">
        <v>23785</v>
      </c>
      <c r="B794" t="s">
        <v>32</v>
      </c>
      <c r="C794">
        <v>1</v>
      </c>
      <c r="D794" t="s">
        <v>10931</v>
      </c>
      <c r="E794" t="s">
        <v>70</v>
      </c>
      <c r="F794" t="s">
        <v>33</v>
      </c>
      <c r="G794" t="s">
        <v>9943</v>
      </c>
      <c r="H794" t="s">
        <v>9503</v>
      </c>
      <c r="I794" t="s">
        <v>10932</v>
      </c>
      <c r="J794" t="s">
        <v>10933</v>
      </c>
      <c r="K794" t="s">
        <v>36</v>
      </c>
      <c r="L794" t="s">
        <v>33</v>
      </c>
      <c r="M794">
        <v>20604246548</v>
      </c>
      <c r="N794" t="s">
        <v>10934</v>
      </c>
      <c r="P794" t="s">
        <v>38</v>
      </c>
      <c r="Q794" t="s">
        <v>10935</v>
      </c>
      <c r="R794" t="s">
        <v>10936</v>
      </c>
      <c r="S794">
        <v>1298</v>
      </c>
      <c r="T794" t="s">
        <v>40</v>
      </c>
      <c r="U794">
        <f>+IF(Tabla1[[#This Row],[MONEDA]]="PEN",Tabla1[[#This Row],[MONTO]],Tabla1[[#This Row],[MONTO]]*3.56)</f>
        <v>1298</v>
      </c>
      <c r="X794" t="s">
        <v>41</v>
      </c>
      <c r="Y794" t="s">
        <v>42</v>
      </c>
      <c r="Z794" t="s">
        <v>82</v>
      </c>
      <c r="AA794" t="s">
        <v>10937</v>
      </c>
      <c r="AB794" t="s">
        <v>10938</v>
      </c>
      <c r="AC794" t="s">
        <v>10939</v>
      </c>
      <c r="AD794" t="s">
        <v>10940</v>
      </c>
      <c r="AE794">
        <v>1142.24</v>
      </c>
      <c r="AF794" t="s">
        <v>87</v>
      </c>
      <c r="AG794" t="s">
        <v>169</v>
      </c>
    </row>
    <row r="795" spans="1:33" x14ac:dyDescent="0.25">
      <c r="A795">
        <v>28995</v>
      </c>
      <c r="B795" t="s">
        <v>32</v>
      </c>
      <c r="C795">
        <v>1</v>
      </c>
      <c r="D795" t="s">
        <v>7209</v>
      </c>
      <c r="E795" t="s">
        <v>70</v>
      </c>
      <c r="F795" t="s">
        <v>5328</v>
      </c>
      <c r="G795" t="s">
        <v>5329</v>
      </c>
      <c r="H795" t="s">
        <v>72</v>
      </c>
      <c r="I795" t="s">
        <v>7200</v>
      </c>
      <c r="J795" t="s">
        <v>7210</v>
      </c>
      <c r="K795" t="s">
        <v>36</v>
      </c>
      <c r="L795" t="s">
        <v>33</v>
      </c>
      <c r="M795">
        <v>20538244989</v>
      </c>
      <c r="N795" t="s">
        <v>7211</v>
      </c>
      <c r="O795" t="s">
        <v>6159</v>
      </c>
      <c r="P795" t="s">
        <v>38</v>
      </c>
      <c r="Q795">
        <v>1911938291096</v>
      </c>
      <c r="R795" t="s">
        <v>7212</v>
      </c>
      <c r="S795">
        <v>365</v>
      </c>
      <c r="T795" t="s">
        <v>40</v>
      </c>
      <c r="U795">
        <f>+IF(Tabla1[[#This Row],[MONEDA]]="PEN",Tabla1[[#This Row],[MONTO]],Tabla1[[#This Row],[MONTO]]*3.56)</f>
        <v>365</v>
      </c>
      <c r="X795" t="s">
        <v>81</v>
      </c>
      <c r="Y795" t="s">
        <v>42</v>
      </c>
      <c r="Z795" t="s">
        <v>43</v>
      </c>
      <c r="AA795" t="s">
        <v>7213</v>
      </c>
      <c r="AB795" t="s">
        <v>7214</v>
      </c>
      <c r="AC795" t="s">
        <v>7215</v>
      </c>
      <c r="AD795" t="s">
        <v>7216</v>
      </c>
      <c r="AE795">
        <v>365</v>
      </c>
      <c r="AF795" t="s">
        <v>87</v>
      </c>
      <c r="AG795" t="s">
        <v>169</v>
      </c>
    </row>
    <row r="796" spans="1:33" hidden="1" x14ac:dyDescent="0.25">
      <c r="A796">
        <v>30995</v>
      </c>
      <c r="B796" t="s">
        <v>32</v>
      </c>
      <c r="C796">
        <v>1</v>
      </c>
      <c r="D796" t="s">
        <v>6128</v>
      </c>
      <c r="E796" t="s">
        <v>70</v>
      </c>
      <c r="F796" t="s">
        <v>33</v>
      </c>
      <c r="G796" t="s">
        <v>71</v>
      </c>
      <c r="H796" t="s">
        <v>35</v>
      </c>
      <c r="I796" t="s">
        <v>6103</v>
      </c>
      <c r="J796" t="s">
        <v>6129</v>
      </c>
      <c r="K796" t="s">
        <v>36</v>
      </c>
      <c r="L796" t="s">
        <v>33</v>
      </c>
      <c r="M796">
        <v>20566329728</v>
      </c>
      <c r="N796" t="s">
        <v>6130</v>
      </c>
      <c r="O796" t="s">
        <v>76</v>
      </c>
      <c r="P796" t="s">
        <v>224</v>
      </c>
      <c r="Q796" t="s">
        <v>6131</v>
      </c>
      <c r="R796" t="s">
        <v>6132</v>
      </c>
      <c r="S796">
        <v>872</v>
      </c>
      <c r="T796" t="s">
        <v>40</v>
      </c>
      <c r="U796">
        <f>+IF(Tabla1[[#This Row],[MONEDA]]="PEN",Tabla1[[#This Row],[MONTO]],Tabla1[[#This Row],[MONTO]]*3.56)</f>
        <v>872</v>
      </c>
      <c r="X796" t="s">
        <v>81</v>
      </c>
      <c r="Y796" t="s">
        <v>42</v>
      </c>
      <c r="Z796" t="s">
        <v>43</v>
      </c>
      <c r="AA796" t="s">
        <v>6133</v>
      </c>
      <c r="AB796" t="s">
        <v>6134</v>
      </c>
      <c r="AC796" t="s">
        <v>6135</v>
      </c>
      <c r="AD796" t="s">
        <v>6136</v>
      </c>
      <c r="AE796">
        <v>845.84</v>
      </c>
      <c r="AF796" t="s">
        <v>87</v>
      </c>
      <c r="AG796" t="s">
        <v>1798</v>
      </c>
    </row>
    <row r="797" spans="1:33" x14ac:dyDescent="0.25">
      <c r="A797">
        <v>40950</v>
      </c>
      <c r="B797" t="s">
        <v>32</v>
      </c>
      <c r="C797">
        <v>1</v>
      </c>
      <c r="D797" t="s">
        <v>1752</v>
      </c>
      <c r="E797" t="s">
        <v>70</v>
      </c>
      <c r="F797" t="s">
        <v>90</v>
      </c>
      <c r="G797" t="s">
        <v>91</v>
      </c>
      <c r="H797" t="s">
        <v>35</v>
      </c>
      <c r="I797" t="s">
        <v>1738</v>
      </c>
      <c r="J797" t="s">
        <v>1753</v>
      </c>
      <c r="K797" t="s">
        <v>36</v>
      </c>
      <c r="L797" t="s">
        <v>33</v>
      </c>
      <c r="M797">
        <v>20601020743</v>
      </c>
      <c r="N797" t="s">
        <v>1754</v>
      </c>
      <c r="P797" t="s">
        <v>38</v>
      </c>
      <c r="Q797">
        <v>4302302435052</v>
      </c>
      <c r="R797" t="s">
        <v>1755</v>
      </c>
      <c r="S797">
        <v>1327.5</v>
      </c>
      <c r="T797" t="s">
        <v>40</v>
      </c>
      <c r="U797">
        <f>+IF(Tabla1[[#This Row],[MONEDA]]="PEN",Tabla1[[#This Row],[MONTO]],Tabla1[[#This Row],[MONTO]]*3.56)</f>
        <v>1327.5</v>
      </c>
      <c r="X797" t="s">
        <v>41</v>
      </c>
      <c r="Y797" t="s">
        <v>42</v>
      </c>
      <c r="Z797" t="s">
        <v>82</v>
      </c>
      <c r="AA797" t="s">
        <v>1756</v>
      </c>
      <c r="AC797" t="s">
        <v>1757</v>
      </c>
      <c r="AD797" t="s">
        <v>1758</v>
      </c>
      <c r="AE797">
        <v>1168.2</v>
      </c>
      <c r="AF797" t="s">
        <v>87</v>
      </c>
      <c r="AG797" t="s">
        <v>169</v>
      </c>
    </row>
    <row r="798" spans="1:33" hidden="1" x14ac:dyDescent="0.25">
      <c r="A798">
        <v>33388</v>
      </c>
      <c r="B798" t="s">
        <v>32</v>
      </c>
      <c r="C798">
        <v>1</v>
      </c>
      <c r="D798" t="s">
        <v>4929</v>
      </c>
      <c r="E798" t="s">
        <v>70</v>
      </c>
      <c r="F798" t="s">
        <v>33</v>
      </c>
      <c r="G798" t="s">
        <v>71</v>
      </c>
      <c r="H798" t="s">
        <v>72</v>
      </c>
      <c r="I798" t="s">
        <v>4897</v>
      </c>
      <c r="J798" t="s">
        <v>4930</v>
      </c>
      <c r="K798" t="s">
        <v>36</v>
      </c>
      <c r="L798" t="s">
        <v>33</v>
      </c>
      <c r="M798">
        <v>20610963235</v>
      </c>
      <c r="N798" t="s">
        <v>4931</v>
      </c>
      <c r="O798" t="s">
        <v>76</v>
      </c>
      <c r="P798" t="s">
        <v>38</v>
      </c>
      <c r="Q798">
        <v>2159933811040</v>
      </c>
      <c r="R798" t="s">
        <v>4932</v>
      </c>
      <c r="S798">
        <v>8230</v>
      </c>
      <c r="T798" t="s">
        <v>40</v>
      </c>
      <c r="U798">
        <f>+IF(Tabla1[[#This Row],[MONEDA]]="PEN",Tabla1[[#This Row],[MONTO]],Tabla1[[#This Row],[MONTO]]*3.56)</f>
        <v>8230</v>
      </c>
      <c r="X798" t="s">
        <v>81</v>
      </c>
      <c r="Y798" t="s">
        <v>42</v>
      </c>
      <c r="Z798" t="s">
        <v>82</v>
      </c>
      <c r="AA798" t="s">
        <v>4933</v>
      </c>
      <c r="AB798" t="s">
        <v>4934</v>
      </c>
      <c r="AC798" t="s">
        <v>4935</v>
      </c>
      <c r="AD798" t="s">
        <v>4936</v>
      </c>
      <c r="AE798">
        <v>7983.1</v>
      </c>
      <c r="AF798" t="s">
        <v>87</v>
      </c>
      <c r="AG798" t="s">
        <v>169</v>
      </c>
    </row>
    <row r="799" spans="1:33" x14ac:dyDescent="0.25">
      <c r="A799">
        <v>35083</v>
      </c>
      <c r="B799" t="s">
        <v>32</v>
      </c>
      <c r="C799">
        <v>4</v>
      </c>
      <c r="D799" t="s">
        <v>3644</v>
      </c>
      <c r="E799" t="s">
        <v>70</v>
      </c>
      <c r="F799" t="s">
        <v>3645</v>
      </c>
      <c r="G799" t="s">
        <v>3646</v>
      </c>
      <c r="H799" t="s">
        <v>72</v>
      </c>
      <c r="I799" t="s">
        <v>3647</v>
      </c>
      <c r="J799" t="s">
        <v>3648</v>
      </c>
      <c r="K799" t="s">
        <v>36</v>
      </c>
      <c r="L799" t="s">
        <v>33</v>
      </c>
      <c r="M799">
        <v>20100210909</v>
      </c>
      <c r="N799" t="s">
        <v>3649</v>
      </c>
      <c r="P799" t="s">
        <v>1237</v>
      </c>
      <c r="Q799" t="s">
        <v>1237</v>
      </c>
      <c r="R799" t="s">
        <v>3650</v>
      </c>
      <c r="S799">
        <v>3402.4349999999999</v>
      </c>
      <c r="T799" t="s">
        <v>80</v>
      </c>
      <c r="U799">
        <f>+IF(Tabla1[[#This Row],[MONEDA]]="PEN",Tabla1[[#This Row],[MONTO]],Tabla1[[#This Row],[MONTO]]*3.56)</f>
        <v>12112.668600000001</v>
      </c>
      <c r="X799" t="s">
        <v>41</v>
      </c>
      <c r="Y799" t="s">
        <v>42</v>
      </c>
      <c r="Z799" t="s">
        <v>82</v>
      </c>
      <c r="AA799" t="s">
        <v>3651</v>
      </c>
      <c r="AB799" t="s">
        <v>3652</v>
      </c>
      <c r="AC799" t="s">
        <v>3653</v>
      </c>
      <c r="AD799" t="s">
        <v>3654</v>
      </c>
      <c r="AE799">
        <v>3402.44</v>
      </c>
      <c r="AF799" t="s">
        <v>87</v>
      </c>
      <c r="AG799" t="s">
        <v>88</v>
      </c>
    </row>
    <row r="800" spans="1:33" x14ac:dyDescent="0.25">
      <c r="A800">
        <v>35084</v>
      </c>
      <c r="B800" t="s">
        <v>32</v>
      </c>
      <c r="C800">
        <v>1</v>
      </c>
      <c r="D800" t="s">
        <v>3644</v>
      </c>
      <c r="E800" t="s">
        <v>70</v>
      </c>
      <c r="F800" t="s">
        <v>3645</v>
      </c>
      <c r="G800" t="s">
        <v>3646</v>
      </c>
      <c r="H800" t="s">
        <v>72</v>
      </c>
      <c r="I800" t="s">
        <v>3647</v>
      </c>
      <c r="J800" t="s">
        <v>3655</v>
      </c>
      <c r="K800" t="s">
        <v>36</v>
      </c>
      <c r="L800" t="s">
        <v>33</v>
      </c>
      <c r="M800">
        <v>20100210909</v>
      </c>
      <c r="N800" t="s">
        <v>3649</v>
      </c>
      <c r="P800" t="s">
        <v>1237</v>
      </c>
      <c r="Q800" t="s">
        <v>1237</v>
      </c>
      <c r="R800" t="s">
        <v>3656</v>
      </c>
      <c r="S800">
        <v>3402.4349999999999</v>
      </c>
      <c r="T800" t="s">
        <v>80</v>
      </c>
      <c r="U800">
        <f>+IF(Tabla1[[#This Row],[MONEDA]]="PEN",Tabla1[[#This Row],[MONTO]],Tabla1[[#This Row],[MONTO]]*3.56)</f>
        <v>12112.668600000001</v>
      </c>
      <c r="X800" t="s">
        <v>41</v>
      </c>
      <c r="Y800" t="s">
        <v>42</v>
      </c>
      <c r="Z800" t="s">
        <v>82</v>
      </c>
      <c r="AA800" t="s">
        <v>1756</v>
      </c>
      <c r="AB800" t="s">
        <v>3652</v>
      </c>
      <c r="AC800" t="s">
        <v>3657</v>
      </c>
      <c r="AD800" t="s">
        <v>3658</v>
      </c>
      <c r="AE800">
        <v>3402.44</v>
      </c>
      <c r="AF800" t="s">
        <v>87</v>
      </c>
      <c r="AG800" t="s">
        <v>88</v>
      </c>
    </row>
    <row r="801" spans="1:33" x14ac:dyDescent="0.25">
      <c r="A801">
        <v>23391</v>
      </c>
      <c r="B801" t="s">
        <v>32</v>
      </c>
      <c r="C801">
        <v>2</v>
      </c>
      <c r="D801" t="s">
        <v>10132</v>
      </c>
      <c r="E801" t="s">
        <v>70</v>
      </c>
      <c r="F801" t="s">
        <v>3645</v>
      </c>
      <c r="G801" t="s">
        <v>3646</v>
      </c>
      <c r="H801" t="s">
        <v>72</v>
      </c>
      <c r="I801" t="s">
        <v>10133</v>
      </c>
      <c r="J801" t="s">
        <v>10134</v>
      </c>
      <c r="K801" t="s">
        <v>36</v>
      </c>
      <c r="L801" t="s">
        <v>33</v>
      </c>
      <c r="M801">
        <v>20100210909</v>
      </c>
      <c r="N801" t="s">
        <v>3649</v>
      </c>
      <c r="P801" t="s">
        <v>1237</v>
      </c>
      <c r="Q801" t="s">
        <v>1237</v>
      </c>
      <c r="R801" t="s">
        <v>10135</v>
      </c>
      <c r="S801">
        <v>583.33000000000004</v>
      </c>
      <c r="T801" t="s">
        <v>80</v>
      </c>
      <c r="U801">
        <f>+IF(Tabla1[[#This Row],[MONEDA]]="PEN",Tabla1[[#This Row],[MONTO]],Tabla1[[#This Row],[MONTO]]*3.56)</f>
        <v>2076.6548000000003</v>
      </c>
      <c r="X801" t="s">
        <v>41</v>
      </c>
      <c r="Y801" t="s">
        <v>42</v>
      </c>
      <c r="Z801" t="s">
        <v>82</v>
      </c>
      <c r="AA801" t="s">
        <v>10136</v>
      </c>
      <c r="AB801" t="s">
        <v>10137</v>
      </c>
      <c r="AC801" t="s">
        <v>10138</v>
      </c>
      <c r="AD801" t="s">
        <v>10139</v>
      </c>
      <c r="AE801">
        <v>583.33000000000004</v>
      </c>
      <c r="AF801" t="s">
        <v>87</v>
      </c>
      <c r="AG801" t="s">
        <v>88</v>
      </c>
    </row>
    <row r="802" spans="1:33" x14ac:dyDescent="0.25">
      <c r="A802">
        <v>21965</v>
      </c>
      <c r="B802" t="s">
        <v>32</v>
      </c>
      <c r="C802">
        <v>2</v>
      </c>
      <c r="D802" t="s">
        <v>12114</v>
      </c>
      <c r="E802" t="s">
        <v>70</v>
      </c>
      <c r="F802" t="s">
        <v>3645</v>
      </c>
      <c r="G802" t="s">
        <v>3646</v>
      </c>
      <c r="H802" t="s">
        <v>72</v>
      </c>
      <c r="I802" t="s">
        <v>12084</v>
      </c>
      <c r="J802" t="s">
        <v>12115</v>
      </c>
      <c r="K802" t="s">
        <v>36</v>
      </c>
      <c r="L802" t="s">
        <v>33</v>
      </c>
      <c r="M802">
        <v>20100210909</v>
      </c>
      <c r="N802" t="s">
        <v>3649</v>
      </c>
      <c r="P802" t="s">
        <v>1237</v>
      </c>
      <c r="Q802" t="s">
        <v>1237</v>
      </c>
      <c r="R802" t="s">
        <v>12116</v>
      </c>
      <c r="S802">
        <v>3646.2</v>
      </c>
      <c r="T802" t="s">
        <v>80</v>
      </c>
      <c r="U802">
        <f>+IF(Tabla1[[#This Row],[MONEDA]]="PEN",Tabla1[[#This Row],[MONTO]],Tabla1[[#This Row],[MONTO]]*3.56)</f>
        <v>12980.472</v>
      </c>
      <c r="X802" t="s">
        <v>41</v>
      </c>
      <c r="Y802" t="s">
        <v>42</v>
      </c>
      <c r="Z802" t="s">
        <v>82</v>
      </c>
      <c r="AA802" t="s">
        <v>12117</v>
      </c>
      <c r="AB802" t="s">
        <v>12118</v>
      </c>
      <c r="AC802" t="s">
        <v>12119</v>
      </c>
      <c r="AD802" t="s">
        <v>12120</v>
      </c>
      <c r="AE802">
        <v>3646.2</v>
      </c>
      <c r="AF802" t="s">
        <v>87</v>
      </c>
      <c r="AG802" t="s">
        <v>88</v>
      </c>
    </row>
    <row r="803" spans="1:33" x14ac:dyDescent="0.25">
      <c r="A803">
        <v>41619</v>
      </c>
      <c r="B803" t="s">
        <v>32</v>
      </c>
      <c r="C803">
        <v>1</v>
      </c>
      <c r="D803" t="s">
        <v>1287</v>
      </c>
      <c r="E803" t="s">
        <v>70</v>
      </c>
      <c r="F803" t="s">
        <v>90</v>
      </c>
      <c r="G803" t="s">
        <v>91</v>
      </c>
      <c r="H803" t="s">
        <v>35</v>
      </c>
      <c r="I803" t="s">
        <v>1288</v>
      </c>
      <c r="J803" t="s">
        <v>1289</v>
      </c>
      <c r="K803" t="s">
        <v>36</v>
      </c>
      <c r="L803" t="s">
        <v>33</v>
      </c>
      <c r="M803">
        <v>20341841357</v>
      </c>
      <c r="N803" t="s">
        <v>1290</v>
      </c>
      <c r="P803" t="s">
        <v>1237</v>
      </c>
      <c r="Q803" t="s">
        <v>1291</v>
      </c>
      <c r="R803" t="s">
        <v>1292</v>
      </c>
      <c r="S803">
        <v>190.29</v>
      </c>
      <c r="T803" t="s">
        <v>80</v>
      </c>
      <c r="U803">
        <f>+IF(Tabla1[[#This Row],[MONEDA]]="PEN",Tabla1[[#This Row],[MONTO]],Tabla1[[#This Row],[MONTO]]*3.56)</f>
        <v>677.43240000000003</v>
      </c>
      <c r="X803" t="s">
        <v>41</v>
      </c>
      <c r="Y803" t="s">
        <v>42</v>
      </c>
      <c r="Z803" t="s">
        <v>82</v>
      </c>
      <c r="AA803" t="s">
        <v>1293</v>
      </c>
      <c r="AB803" t="s">
        <v>1294</v>
      </c>
      <c r="AC803" t="s">
        <v>1295</v>
      </c>
      <c r="AD803" t="s">
        <v>1296</v>
      </c>
      <c r="AE803">
        <v>190.29</v>
      </c>
      <c r="AF803" t="s">
        <v>87</v>
      </c>
      <c r="AG803" t="s">
        <v>88</v>
      </c>
    </row>
    <row r="804" spans="1:33" x14ac:dyDescent="0.25">
      <c r="A804">
        <v>41528</v>
      </c>
      <c r="B804" t="s">
        <v>32</v>
      </c>
      <c r="C804">
        <v>1</v>
      </c>
      <c r="D804" t="s">
        <v>1349</v>
      </c>
      <c r="E804" t="s">
        <v>70</v>
      </c>
      <c r="F804" t="s">
        <v>90</v>
      </c>
      <c r="G804" t="s">
        <v>91</v>
      </c>
      <c r="H804" t="s">
        <v>35</v>
      </c>
      <c r="I804" t="s">
        <v>1350</v>
      </c>
      <c r="J804" t="s">
        <v>1351</v>
      </c>
      <c r="K804" t="s">
        <v>36</v>
      </c>
      <c r="L804" t="s">
        <v>33</v>
      </c>
      <c r="M804">
        <v>20341841357</v>
      </c>
      <c r="N804" t="s">
        <v>1290</v>
      </c>
      <c r="P804" t="s">
        <v>1237</v>
      </c>
      <c r="Q804" t="s">
        <v>1291</v>
      </c>
      <c r="R804" t="s">
        <v>1352</v>
      </c>
      <c r="S804">
        <v>126.54</v>
      </c>
      <c r="T804" t="s">
        <v>80</v>
      </c>
      <c r="U804">
        <f>+IF(Tabla1[[#This Row],[MONEDA]]="PEN",Tabla1[[#This Row],[MONTO]],Tabla1[[#This Row],[MONTO]]*3.56)</f>
        <v>450.48240000000004</v>
      </c>
      <c r="X804" t="s">
        <v>41</v>
      </c>
      <c r="Y804" t="s">
        <v>42</v>
      </c>
      <c r="Z804" t="s">
        <v>82</v>
      </c>
      <c r="AA804" t="s">
        <v>1353</v>
      </c>
      <c r="AB804" t="s">
        <v>1354</v>
      </c>
      <c r="AC804" t="s">
        <v>1355</v>
      </c>
      <c r="AD804" t="s">
        <v>1356</v>
      </c>
      <c r="AE804">
        <v>126.54</v>
      </c>
      <c r="AF804" t="s">
        <v>87</v>
      </c>
      <c r="AG804" t="s">
        <v>88</v>
      </c>
    </row>
    <row r="805" spans="1:33" x14ac:dyDescent="0.25">
      <c r="A805">
        <v>39744</v>
      </c>
      <c r="B805" t="s">
        <v>32</v>
      </c>
      <c r="C805">
        <v>1</v>
      </c>
      <c r="D805" t="s">
        <v>2221</v>
      </c>
      <c r="E805" t="s">
        <v>70</v>
      </c>
      <c r="F805" t="s">
        <v>90</v>
      </c>
      <c r="G805" t="s">
        <v>91</v>
      </c>
      <c r="H805" t="s">
        <v>35</v>
      </c>
      <c r="I805" t="s">
        <v>2222</v>
      </c>
      <c r="J805" t="s">
        <v>2223</v>
      </c>
      <c r="K805" t="s">
        <v>36</v>
      </c>
      <c r="L805" t="s">
        <v>33</v>
      </c>
      <c r="M805">
        <v>20341841357</v>
      </c>
      <c r="N805" t="s">
        <v>1290</v>
      </c>
      <c r="P805" t="s">
        <v>526</v>
      </c>
      <c r="Q805" t="s">
        <v>2224</v>
      </c>
      <c r="R805" t="s">
        <v>2225</v>
      </c>
      <c r="S805">
        <v>190.11</v>
      </c>
      <c r="T805" t="s">
        <v>80</v>
      </c>
      <c r="U805">
        <f>+IF(Tabla1[[#This Row],[MONEDA]]="PEN",Tabla1[[#This Row],[MONTO]],Tabla1[[#This Row],[MONTO]]*3.56)</f>
        <v>676.79160000000002</v>
      </c>
      <c r="X805" t="s">
        <v>41</v>
      </c>
      <c r="Y805" t="s">
        <v>42</v>
      </c>
      <c r="Z805" t="s">
        <v>82</v>
      </c>
      <c r="AA805" t="s">
        <v>2226</v>
      </c>
      <c r="AB805" t="s">
        <v>2227</v>
      </c>
      <c r="AC805" t="s">
        <v>2228</v>
      </c>
      <c r="AD805" t="s">
        <v>2229</v>
      </c>
      <c r="AE805">
        <v>190.11</v>
      </c>
      <c r="AF805" t="s">
        <v>87</v>
      </c>
      <c r="AG805" t="s">
        <v>88</v>
      </c>
    </row>
    <row r="806" spans="1:33" x14ac:dyDescent="0.25">
      <c r="A806">
        <v>32426</v>
      </c>
      <c r="B806" t="s">
        <v>32</v>
      </c>
      <c r="C806">
        <v>1</v>
      </c>
      <c r="D806" t="s">
        <v>5366</v>
      </c>
      <c r="E806" t="s">
        <v>70</v>
      </c>
      <c r="F806" t="s">
        <v>90</v>
      </c>
      <c r="G806" t="s">
        <v>91</v>
      </c>
      <c r="H806" t="s">
        <v>35</v>
      </c>
      <c r="I806" t="s">
        <v>5367</v>
      </c>
      <c r="J806" t="s">
        <v>5368</v>
      </c>
      <c r="K806" t="s">
        <v>36</v>
      </c>
      <c r="L806" t="s">
        <v>33</v>
      </c>
      <c r="M806">
        <v>20341841357</v>
      </c>
      <c r="N806" t="s">
        <v>1290</v>
      </c>
      <c r="P806" t="s">
        <v>1237</v>
      </c>
      <c r="Q806" t="s">
        <v>1291</v>
      </c>
      <c r="R806" t="s">
        <v>5369</v>
      </c>
      <c r="S806">
        <v>178.33</v>
      </c>
      <c r="T806" t="s">
        <v>80</v>
      </c>
      <c r="U806">
        <f>+IF(Tabla1[[#This Row],[MONEDA]]="PEN",Tabla1[[#This Row],[MONTO]],Tabla1[[#This Row],[MONTO]]*3.56)</f>
        <v>634.85480000000007</v>
      </c>
      <c r="X806" t="s">
        <v>41</v>
      </c>
      <c r="Y806" t="s">
        <v>42</v>
      </c>
      <c r="Z806" t="s">
        <v>43</v>
      </c>
      <c r="AA806" t="s">
        <v>5370</v>
      </c>
      <c r="AB806" t="s">
        <v>5371</v>
      </c>
      <c r="AC806" t="s">
        <v>5372</v>
      </c>
      <c r="AD806" t="s">
        <v>5373</v>
      </c>
      <c r="AE806">
        <v>178.33</v>
      </c>
      <c r="AG806" t="s">
        <v>88</v>
      </c>
    </row>
    <row r="807" spans="1:33" x14ac:dyDescent="0.25">
      <c r="A807">
        <v>28903</v>
      </c>
      <c r="B807" t="s">
        <v>32</v>
      </c>
      <c r="C807">
        <v>1</v>
      </c>
      <c r="D807" t="s">
        <v>7426</v>
      </c>
      <c r="E807" t="s">
        <v>70</v>
      </c>
      <c r="F807" t="s">
        <v>90</v>
      </c>
      <c r="G807" t="s">
        <v>91</v>
      </c>
      <c r="H807" t="s">
        <v>72</v>
      </c>
      <c r="I807" t="s">
        <v>7401</v>
      </c>
      <c r="J807" t="s">
        <v>7427</v>
      </c>
      <c r="K807" t="s">
        <v>36</v>
      </c>
      <c r="L807" t="s">
        <v>33</v>
      </c>
      <c r="M807">
        <v>20341841357</v>
      </c>
      <c r="N807" t="s">
        <v>1290</v>
      </c>
      <c r="P807" t="s">
        <v>1237</v>
      </c>
      <c r="Q807" t="s">
        <v>1291</v>
      </c>
      <c r="R807" t="s">
        <v>7428</v>
      </c>
      <c r="S807">
        <v>207.83</v>
      </c>
      <c r="T807" t="s">
        <v>80</v>
      </c>
      <c r="U807">
        <f>+IF(Tabla1[[#This Row],[MONEDA]]="PEN",Tabla1[[#This Row],[MONTO]],Tabla1[[#This Row],[MONTO]]*3.56)</f>
        <v>739.87480000000005</v>
      </c>
      <c r="X807" t="s">
        <v>41</v>
      </c>
      <c r="Y807" t="s">
        <v>42</v>
      </c>
      <c r="Z807" t="s">
        <v>43</v>
      </c>
      <c r="AA807" t="s">
        <v>7429</v>
      </c>
      <c r="AB807" t="s">
        <v>7430</v>
      </c>
      <c r="AC807" t="s">
        <v>7431</v>
      </c>
      <c r="AD807" t="s">
        <v>7432</v>
      </c>
      <c r="AE807">
        <v>207.83</v>
      </c>
      <c r="AF807" t="s">
        <v>87</v>
      </c>
      <c r="AG807" t="s">
        <v>88</v>
      </c>
    </row>
    <row r="808" spans="1:33" x14ac:dyDescent="0.25">
      <c r="A808">
        <v>22449</v>
      </c>
      <c r="B808" t="s">
        <v>32</v>
      </c>
      <c r="C808">
        <v>1</v>
      </c>
      <c r="D808" t="s">
        <v>11866</v>
      </c>
      <c r="E808" t="s">
        <v>70</v>
      </c>
      <c r="F808" t="s">
        <v>90</v>
      </c>
      <c r="G808" t="s">
        <v>91</v>
      </c>
      <c r="H808" t="s">
        <v>72</v>
      </c>
      <c r="I808" t="s">
        <v>11867</v>
      </c>
      <c r="J808" t="s">
        <v>11868</v>
      </c>
      <c r="K808" t="s">
        <v>36</v>
      </c>
      <c r="L808" t="s">
        <v>33</v>
      </c>
      <c r="M808">
        <v>20341841357</v>
      </c>
      <c r="N808" t="s">
        <v>1290</v>
      </c>
      <c r="O808" t="s">
        <v>1747</v>
      </c>
      <c r="P808" t="s">
        <v>1237</v>
      </c>
      <c r="Q808" t="s">
        <v>1291</v>
      </c>
      <c r="R808" t="s">
        <v>11869</v>
      </c>
      <c r="S808">
        <v>74.95</v>
      </c>
      <c r="T808" t="s">
        <v>80</v>
      </c>
      <c r="U808">
        <f>+IF(Tabla1[[#This Row],[MONEDA]]="PEN",Tabla1[[#This Row],[MONTO]],Tabla1[[#This Row],[MONTO]]*3.56)</f>
        <v>266.822</v>
      </c>
      <c r="X808" t="s">
        <v>41</v>
      </c>
      <c r="Y808" t="s">
        <v>42</v>
      </c>
      <c r="Z808" t="s">
        <v>43</v>
      </c>
      <c r="AA808" t="s">
        <v>11870</v>
      </c>
      <c r="AB808" t="s">
        <v>11871</v>
      </c>
      <c r="AC808" t="s">
        <v>11872</v>
      </c>
      <c r="AD808" t="s">
        <v>11873</v>
      </c>
      <c r="AE808">
        <v>74.95</v>
      </c>
      <c r="AF808" t="s">
        <v>87</v>
      </c>
      <c r="AG808" t="s">
        <v>88</v>
      </c>
    </row>
    <row r="809" spans="1:33" x14ac:dyDescent="0.25">
      <c r="A809">
        <v>20977</v>
      </c>
      <c r="B809" t="s">
        <v>32</v>
      </c>
      <c r="C809">
        <v>1</v>
      </c>
      <c r="D809" t="s">
        <v>12776</v>
      </c>
      <c r="E809" t="s">
        <v>70</v>
      </c>
      <c r="F809" t="s">
        <v>90</v>
      </c>
      <c r="G809" t="s">
        <v>91</v>
      </c>
      <c r="H809" t="s">
        <v>72</v>
      </c>
      <c r="I809" t="s">
        <v>12751</v>
      </c>
      <c r="J809" t="s">
        <v>12777</v>
      </c>
      <c r="K809" t="s">
        <v>36</v>
      </c>
      <c r="L809" t="s">
        <v>33</v>
      </c>
      <c r="M809">
        <v>20341841357</v>
      </c>
      <c r="N809" t="s">
        <v>1290</v>
      </c>
      <c r="O809" t="s">
        <v>1747</v>
      </c>
      <c r="P809" t="s">
        <v>1237</v>
      </c>
      <c r="Q809" t="s">
        <v>1291</v>
      </c>
      <c r="R809" t="s">
        <v>12778</v>
      </c>
      <c r="S809">
        <v>89.83</v>
      </c>
      <c r="T809" t="s">
        <v>80</v>
      </c>
      <c r="U809">
        <f>+IF(Tabla1[[#This Row],[MONEDA]]="PEN",Tabla1[[#This Row],[MONTO]],Tabla1[[#This Row],[MONTO]]*3.56)</f>
        <v>319.79480000000001</v>
      </c>
      <c r="X809" t="s">
        <v>41</v>
      </c>
      <c r="Y809" t="s">
        <v>42</v>
      </c>
      <c r="Z809" t="s">
        <v>82</v>
      </c>
      <c r="AA809" t="s">
        <v>12779</v>
      </c>
      <c r="AC809" t="s">
        <v>12780</v>
      </c>
      <c r="AD809" t="s">
        <v>12781</v>
      </c>
      <c r="AE809">
        <v>89.83</v>
      </c>
      <c r="AF809" t="s">
        <v>87</v>
      </c>
      <c r="AG809" t="s">
        <v>88</v>
      </c>
    </row>
    <row r="810" spans="1:33" x14ac:dyDescent="0.25">
      <c r="A810">
        <v>20710</v>
      </c>
      <c r="B810" t="s">
        <v>32</v>
      </c>
      <c r="C810">
        <v>1</v>
      </c>
      <c r="D810" t="s">
        <v>12820</v>
      </c>
      <c r="E810" t="s">
        <v>70</v>
      </c>
      <c r="F810" t="s">
        <v>90</v>
      </c>
      <c r="G810" t="s">
        <v>91</v>
      </c>
      <c r="H810" t="s">
        <v>72</v>
      </c>
      <c r="I810" t="s">
        <v>12821</v>
      </c>
      <c r="J810" t="s">
        <v>12822</v>
      </c>
      <c r="K810" t="s">
        <v>36</v>
      </c>
      <c r="L810" t="s">
        <v>33</v>
      </c>
      <c r="M810">
        <v>20341841357</v>
      </c>
      <c r="N810" t="s">
        <v>1290</v>
      </c>
      <c r="O810" t="s">
        <v>1747</v>
      </c>
      <c r="P810" t="s">
        <v>1237</v>
      </c>
      <c r="Q810" t="s">
        <v>1291</v>
      </c>
      <c r="R810" t="s">
        <v>12823</v>
      </c>
      <c r="S810">
        <v>138.21</v>
      </c>
      <c r="T810" t="s">
        <v>80</v>
      </c>
      <c r="U810">
        <f>+IF(Tabla1[[#This Row],[MONEDA]]="PEN",Tabla1[[#This Row],[MONTO]],Tabla1[[#This Row],[MONTO]]*3.56)</f>
        <v>492.02760000000006</v>
      </c>
      <c r="X810" t="s">
        <v>41</v>
      </c>
      <c r="Y810" t="s">
        <v>42</v>
      </c>
      <c r="Z810" t="s">
        <v>43</v>
      </c>
      <c r="AA810" t="s">
        <v>12824</v>
      </c>
      <c r="AB810" t="s">
        <v>12825</v>
      </c>
      <c r="AC810" t="s">
        <v>12826</v>
      </c>
      <c r="AD810" t="s">
        <v>12827</v>
      </c>
      <c r="AE810">
        <v>138.21</v>
      </c>
      <c r="AF810" t="s">
        <v>87</v>
      </c>
      <c r="AG810" t="s">
        <v>88</v>
      </c>
    </row>
    <row r="811" spans="1:33" x14ac:dyDescent="0.25">
      <c r="A811">
        <v>20513</v>
      </c>
      <c r="B811" t="s">
        <v>32</v>
      </c>
      <c r="C811">
        <v>5</v>
      </c>
      <c r="D811" t="s">
        <v>12836</v>
      </c>
      <c r="E811" t="s">
        <v>70</v>
      </c>
      <c r="F811" t="s">
        <v>3256</v>
      </c>
      <c r="G811" t="s">
        <v>12837</v>
      </c>
      <c r="H811" t="s">
        <v>72</v>
      </c>
      <c r="I811" t="s">
        <v>12838</v>
      </c>
      <c r="J811" t="s">
        <v>12839</v>
      </c>
      <c r="K811" t="s">
        <v>36</v>
      </c>
      <c r="L811" t="s">
        <v>33</v>
      </c>
      <c r="M811">
        <v>20341841357</v>
      </c>
      <c r="N811" t="s">
        <v>1290</v>
      </c>
      <c r="P811" t="s">
        <v>1237</v>
      </c>
      <c r="Q811" t="s">
        <v>1291</v>
      </c>
      <c r="R811" t="s">
        <v>12840</v>
      </c>
      <c r="S811">
        <v>209.14</v>
      </c>
      <c r="T811" t="s">
        <v>80</v>
      </c>
      <c r="U811">
        <f>+IF(Tabla1[[#This Row],[MONEDA]]="PEN",Tabla1[[#This Row],[MONTO]],Tabla1[[#This Row],[MONTO]]*3.56)</f>
        <v>744.53839999999991</v>
      </c>
      <c r="X811" t="s">
        <v>41</v>
      </c>
      <c r="Y811" t="s">
        <v>42</v>
      </c>
      <c r="Z811" t="s">
        <v>82</v>
      </c>
      <c r="AA811" t="s">
        <v>12841</v>
      </c>
      <c r="AB811" t="s">
        <v>12842</v>
      </c>
      <c r="AC811" t="s">
        <v>12843</v>
      </c>
      <c r="AE811">
        <v>209.14</v>
      </c>
      <c r="AF811" t="s">
        <v>87</v>
      </c>
      <c r="AG811" t="s">
        <v>88</v>
      </c>
    </row>
    <row r="812" spans="1:33" hidden="1" x14ac:dyDescent="0.25">
      <c r="A812">
        <v>27539</v>
      </c>
      <c r="B812" t="s">
        <v>32</v>
      </c>
      <c r="C812">
        <v>1</v>
      </c>
      <c r="D812" t="s">
        <v>8310</v>
      </c>
      <c r="E812" t="s">
        <v>70</v>
      </c>
      <c r="F812" t="s">
        <v>33</v>
      </c>
      <c r="G812" t="s">
        <v>71</v>
      </c>
      <c r="H812" t="s">
        <v>72</v>
      </c>
      <c r="I812" t="s">
        <v>8311</v>
      </c>
      <c r="J812" t="s">
        <v>8312</v>
      </c>
      <c r="K812" t="s">
        <v>36</v>
      </c>
      <c r="L812" t="s">
        <v>33</v>
      </c>
      <c r="M812">
        <v>10046367095</v>
      </c>
      <c r="N812" t="s">
        <v>8313</v>
      </c>
      <c r="O812" t="s">
        <v>76</v>
      </c>
      <c r="P812" t="s">
        <v>38</v>
      </c>
      <c r="Q812">
        <v>43027099711058</v>
      </c>
      <c r="R812" t="s">
        <v>8314</v>
      </c>
      <c r="S812">
        <v>1500</v>
      </c>
      <c r="T812" t="s">
        <v>40</v>
      </c>
      <c r="U812">
        <f>+IF(Tabla1[[#This Row],[MONEDA]]="PEN",Tabla1[[#This Row],[MONTO]],Tabla1[[#This Row],[MONTO]]*3.56)</f>
        <v>1500</v>
      </c>
      <c r="X812" t="s">
        <v>81</v>
      </c>
      <c r="Y812" t="s">
        <v>42</v>
      </c>
      <c r="Z812" t="s">
        <v>43</v>
      </c>
      <c r="AA812" t="s">
        <v>8315</v>
      </c>
      <c r="AB812" t="s">
        <v>8316</v>
      </c>
      <c r="AC812" t="s">
        <v>8317</v>
      </c>
      <c r="AD812" t="s">
        <v>8318</v>
      </c>
      <c r="AE812">
        <v>1500</v>
      </c>
      <c r="AF812" t="s">
        <v>87</v>
      </c>
      <c r="AG812" t="s">
        <v>169</v>
      </c>
    </row>
    <row r="813" spans="1:33" x14ac:dyDescent="0.25">
      <c r="A813">
        <v>40408</v>
      </c>
      <c r="B813" t="s">
        <v>32</v>
      </c>
      <c r="C813">
        <v>1</v>
      </c>
      <c r="D813" t="s">
        <v>2037</v>
      </c>
      <c r="E813" t="s">
        <v>45</v>
      </c>
      <c r="F813" t="s">
        <v>90</v>
      </c>
      <c r="G813" t="s">
        <v>91</v>
      </c>
      <c r="H813" t="s">
        <v>35</v>
      </c>
      <c r="I813" t="s">
        <v>2024</v>
      </c>
      <c r="J813" t="s">
        <v>2038</v>
      </c>
      <c r="K813" t="s">
        <v>36</v>
      </c>
      <c r="L813" t="s">
        <v>33</v>
      </c>
      <c r="M813">
        <v>10453467894</v>
      </c>
      <c r="N813" t="s">
        <v>2039</v>
      </c>
      <c r="O813" t="s">
        <v>1747</v>
      </c>
      <c r="P813" t="s">
        <v>38</v>
      </c>
      <c r="Q813">
        <v>305198383641001</v>
      </c>
      <c r="R813" t="s">
        <v>2040</v>
      </c>
      <c r="S813">
        <v>5368</v>
      </c>
      <c r="T813" t="s">
        <v>40</v>
      </c>
      <c r="U813">
        <f>+IF(Tabla1[[#This Row],[MONEDA]]="PEN",Tabla1[[#This Row],[MONTO]],Tabla1[[#This Row],[MONTO]]*3.56)</f>
        <v>5368</v>
      </c>
      <c r="X813" t="s">
        <v>41</v>
      </c>
      <c r="Y813" t="s">
        <v>51</v>
      </c>
      <c r="Z813" t="s">
        <v>43</v>
      </c>
      <c r="AB813" t="s">
        <v>2041</v>
      </c>
      <c r="AD813" t="s">
        <v>2042</v>
      </c>
    </row>
    <row r="814" spans="1:33" hidden="1" x14ac:dyDescent="0.25">
      <c r="A814">
        <v>26799</v>
      </c>
      <c r="B814" t="s">
        <v>32</v>
      </c>
      <c r="C814">
        <v>1</v>
      </c>
      <c r="D814" t="s">
        <v>8980</v>
      </c>
      <c r="E814" t="s">
        <v>70</v>
      </c>
      <c r="F814" t="s">
        <v>33</v>
      </c>
      <c r="G814" t="s">
        <v>71</v>
      </c>
      <c r="H814" t="s">
        <v>72</v>
      </c>
      <c r="I814" t="s">
        <v>8972</v>
      </c>
      <c r="J814" t="s">
        <v>8981</v>
      </c>
      <c r="K814" t="s">
        <v>36</v>
      </c>
      <c r="L814" t="s">
        <v>33</v>
      </c>
      <c r="M814">
        <v>20413815071</v>
      </c>
      <c r="N814" t="s">
        <v>8982</v>
      </c>
      <c r="O814" t="s">
        <v>76</v>
      </c>
      <c r="P814" t="s">
        <v>38</v>
      </c>
      <c r="Q814">
        <v>2151103996090</v>
      </c>
      <c r="R814" t="s">
        <v>8983</v>
      </c>
      <c r="S814">
        <v>1090.08</v>
      </c>
      <c r="T814" t="s">
        <v>40</v>
      </c>
      <c r="U814">
        <f>+IF(Tabla1[[#This Row],[MONEDA]]="PEN",Tabla1[[#This Row],[MONTO]],Tabla1[[#This Row],[MONTO]]*3.56)</f>
        <v>1090.08</v>
      </c>
      <c r="X814" t="s">
        <v>41</v>
      </c>
      <c r="Y814" t="s">
        <v>42</v>
      </c>
      <c r="Z814" t="s">
        <v>43</v>
      </c>
      <c r="AA814" t="s">
        <v>8984</v>
      </c>
      <c r="AB814" t="s">
        <v>8985</v>
      </c>
      <c r="AC814" t="s">
        <v>8986</v>
      </c>
      <c r="AD814" t="s">
        <v>8987</v>
      </c>
      <c r="AE814">
        <v>959.27</v>
      </c>
      <c r="AF814" t="s">
        <v>87</v>
      </c>
      <c r="AG814" t="s">
        <v>169</v>
      </c>
    </row>
    <row r="815" spans="1:33" hidden="1" x14ac:dyDescent="0.25">
      <c r="A815">
        <v>25660</v>
      </c>
      <c r="B815" t="s">
        <v>32</v>
      </c>
      <c r="C815">
        <v>1</v>
      </c>
      <c r="D815" t="s">
        <v>9639</v>
      </c>
      <c r="E815" t="s">
        <v>70</v>
      </c>
      <c r="F815" t="s">
        <v>33</v>
      </c>
      <c r="G815" t="s">
        <v>71</v>
      </c>
      <c r="H815" t="s">
        <v>72</v>
      </c>
      <c r="I815" t="s">
        <v>9631</v>
      </c>
      <c r="J815" t="s">
        <v>9640</v>
      </c>
      <c r="K815" t="s">
        <v>36</v>
      </c>
      <c r="L815" t="s">
        <v>33</v>
      </c>
      <c r="M815">
        <v>20413815071</v>
      </c>
      <c r="N815" t="s">
        <v>8982</v>
      </c>
      <c r="O815" t="s">
        <v>76</v>
      </c>
      <c r="P815" t="s">
        <v>38</v>
      </c>
      <c r="Q815">
        <v>2151103996090</v>
      </c>
      <c r="R815" t="s">
        <v>9641</v>
      </c>
      <c r="S815">
        <v>1000.88</v>
      </c>
      <c r="T815" t="s">
        <v>40</v>
      </c>
      <c r="U815">
        <f>+IF(Tabla1[[#This Row],[MONEDA]]="PEN",Tabla1[[#This Row],[MONTO]],Tabla1[[#This Row],[MONTO]]*3.56)</f>
        <v>1000.88</v>
      </c>
      <c r="X815" t="s">
        <v>41</v>
      </c>
      <c r="Y815" t="s">
        <v>42</v>
      </c>
      <c r="Z815" t="s">
        <v>82</v>
      </c>
      <c r="AA815" t="s">
        <v>9642</v>
      </c>
      <c r="AB815" t="s">
        <v>9643</v>
      </c>
      <c r="AC815" t="s">
        <v>9644</v>
      </c>
      <c r="AD815" t="s">
        <v>9645</v>
      </c>
      <c r="AE815">
        <v>880.77</v>
      </c>
      <c r="AF815" t="s">
        <v>87</v>
      </c>
      <c r="AG815" t="s">
        <v>169</v>
      </c>
    </row>
    <row r="816" spans="1:33" hidden="1" x14ac:dyDescent="0.25">
      <c r="A816">
        <v>25279</v>
      </c>
      <c r="B816" t="s">
        <v>32</v>
      </c>
      <c r="C816">
        <v>1</v>
      </c>
      <c r="D816" t="s">
        <v>10052</v>
      </c>
      <c r="E816" t="s">
        <v>70</v>
      </c>
      <c r="F816" t="s">
        <v>33</v>
      </c>
      <c r="G816" t="s">
        <v>71</v>
      </c>
      <c r="H816" t="s">
        <v>72</v>
      </c>
      <c r="I816" t="s">
        <v>10018</v>
      </c>
      <c r="J816" t="s">
        <v>10053</v>
      </c>
      <c r="K816" t="s">
        <v>36</v>
      </c>
      <c r="L816" t="s">
        <v>33</v>
      </c>
      <c r="M816">
        <v>20413815071</v>
      </c>
      <c r="N816" t="s">
        <v>8982</v>
      </c>
      <c r="O816" t="s">
        <v>76</v>
      </c>
      <c r="P816" t="s">
        <v>38</v>
      </c>
      <c r="Q816">
        <v>2151103996090</v>
      </c>
      <c r="R816" t="s">
        <v>10054</v>
      </c>
      <c r="S816">
        <v>884.4</v>
      </c>
      <c r="T816" t="s">
        <v>40</v>
      </c>
      <c r="U816">
        <f>+IF(Tabla1[[#This Row],[MONEDA]]="PEN",Tabla1[[#This Row],[MONTO]],Tabla1[[#This Row],[MONTO]]*3.56)</f>
        <v>884.4</v>
      </c>
      <c r="X816" t="s">
        <v>41</v>
      </c>
      <c r="Y816" t="s">
        <v>42</v>
      </c>
      <c r="Z816" t="s">
        <v>82</v>
      </c>
      <c r="AA816" t="s">
        <v>10055</v>
      </c>
      <c r="AB816" t="s">
        <v>10056</v>
      </c>
      <c r="AC816" t="s">
        <v>10057</v>
      </c>
      <c r="AD816" t="s">
        <v>10058</v>
      </c>
      <c r="AE816">
        <v>884.4</v>
      </c>
      <c r="AF816" t="s">
        <v>87</v>
      </c>
      <c r="AG816" t="s">
        <v>169</v>
      </c>
    </row>
    <row r="817" spans="1:33" hidden="1" x14ac:dyDescent="0.25">
      <c r="A817">
        <v>22567</v>
      </c>
      <c r="B817" t="s">
        <v>32</v>
      </c>
      <c r="C817">
        <v>1</v>
      </c>
      <c r="D817" t="s">
        <v>11771</v>
      </c>
      <c r="E817" t="s">
        <v>70</v>
      </c>
      <c r="F817" t="s">
        <v>33</v>
      </c>
      <c r="G817" t="s">
        <v>9422</v>
      </c>
      <c r="H817" t="s">
        <v>72</v>
      </c>
      <c r="I817" t="s">
        <v>11772</v>
      </c>
      <c r="J817" t="s">
        <v>11773</v>
      </c>
      <c r="K817" t="s">
        <v>36</v>
      </c>
      <c r="L817" t="s">
        <v>33</v>
      </c>
      <c r="M817">
        <v>20610315055</v>
      </c>
      <c r="N817" t="s">
        <v>11774</v>
      </c>
      <c r="O817" t="s">
        <v>9423</v>
      </c>
      <c r="P817" t="s">
        <v>38</v>
      </c>
      <c r="Q817">
        <v>2159951239080</v>
      </c>
      <c r="R817" t="s">
        <v>11775</v>
      </c>
      <c r="S817">
        <v>1327.5</v>
      </c>
      <c r="T817" t="s">
        <v>40</v>
      </c>
      <c r="U817">
        <f>+IF(Tabla1[[#This Row],[MONEDA]]="PEN",Tabla1[[#This Row],[MONTO]],Tabla1[[#This Row],[MONTO]]*3.56)</f>
        <v>1327.5</v>
      </c>
      <c r="X817" t="s">
        <v>81</v>
      </c>
      <c r="Y817" t="s">
        <v>42</v>
      </c>
      <c r="Z817" t="s">
        <v>82</v>
      </c>
      <c r="AA817" t="s">
        <v>11776</v>
      </c>
      <c r="AB817" t="s">
        <v>11777</v>
      </c>
      <c r="AC817" t="s">
        <v>11778</v>
      </c>
      <c r="AD817" t="s">
        <v>11779</v>
      </c>
      <c r="AE817">
        <v>1287.68</v>
      </c>
      <c r="AF817" t="s">
        <v>87</v>
      </c>
      <c r="AG817" t="s">
        <v>169</v>
      </c>
    </row>
    <row r="818" spans="1:33" hidden="1" x14ac:dyDescent="0.25">
      <c r="A818">
        <v>26371</v>
      </c>
      <c r="B818" t="s">
        <v>32</v>
      </c>
      <c r="C818">
        <v>1</v>
      </c>
      <c r="D818" t="s">
        <v>9354</v>
      </c>
      <c r="E818" t="s">
        <v>70</v>
      </c>
      <c r="F818" t="s">
        <v>33</v>
      </c>
      <c r="G818" t="s">
        <v>71</v>
      </c>
      <c r="H818" t="s">
        <v>72</v>
      </c>
      <c r="I818" t="s">
        <v>9337</v>
      </c>
      <c r="J818" t="s">
        <v>9355</v>
      </c>
      <c r="K818" t="s">
        <v>36</v>
      </c>
      <c r="L818" t="s">
        <v>33</v>
      </c>
      <c r="M818">
        <v>10402272355</v>
      </c>
      <c r="N818" t="s">
        <v>9356</v>
      </c>
      <c r="O818" t="s">
        <v>76</v>
      </c>
      <c r="P818" t="s">
        <v>38</v>
      </c>
      <c r="Q818" t="s">
        <v>9357</v>
      </c>
      <c r="R818" t="s">
        <v>9358</v>
      </c>
      <c r="S818">
        <v>936</v>
      </c>
      <c r="T818" t="s">
        <v>40</v>
      </c>
      <c r="U818">
        <f>+IF(Tabla1[[#This Row],[MONEDA]]="PEN",Tabla1[[#This Row],[MONTO]],Tabla1[[#This Row],[MONTO]]*3.56)</f>
        <v>936</v>
      </c>
      <c r="X818" t="s">
        <v>81</v>
      </c>
      <c r="Y818" t="s">
        <v>42</v>
      </c>
      <c r="Z818" t="s">
        <v>82</v>
      </c>
      <c r="AA818" t="s">
        <v>9359</v>
      </c>
      <c r="AB818" t="s">
        <v>9360</v>
      </c>
      <c r="AC818" t="s">
        <v>9361</v>
      </c>
      <c r="AD818" t="s">
        <v>9362</v>
      </c>
      <c r="AE818">
        <v>907.92</v>
      </c>
      <c r="AF818" t="s">
        <v>87</v>
      </c>
      <c r="AG818" t="s">
        <v>169</v>
      </c>
    </row>
    <row r="819" spans="1:33" hidden="1" x14ac:dyDescent="0.25">
      <c r="A819">
        <v>43252</v>
      </c>
      <c r="B819" t="s">
        <v>32</v>
      </c>
      <c r="C819">
        <v>1</v>
      </c>
      <c r="D819" t="s">
        <v>759</v>
      </c>
      <c r="E819" t="s">
        <v>70</v>
      </c>
      <c r="F819" t="s">
        <v>33</v>
      </c>
      <c r="G819" t="s">
        <v>71</v>
      </c>
      <c r="H819" t="s">
        <v>35</v>
      </c>
      <c r="I819" t="s">
        <v>760</v>
      </c>
      <c r="J819" t="s">
        <v>761</v>
      </c>
      <c r="K819" t="s">
        <v>36</v>
      </c>
      <c r="L819" t="s">
        <v>33</v>
      </c>
      <c r="M819">
        <v>10773811992</v>
      </c>
      <c r="N819" t="s">
        <v>299</v>
      </c>
      <c r="O819" t="s">
        <v>76</v>
      </c>
      <c r="P819" t="s">
        <v>38</v>
      </c>
      <c r="Q819" t="s">
        <v>300</v>
      </c>
      <c r="R819" t="s">
        <v>762</v>
      </c>
      <c r="S819">
        <v>1184</v>
      </c>
      <c r="T819" t="s">
        <v>40</v>
      </c>
      <c r="U819">
        <f>+IF(Tabla1[[#This Row],[MONEDA]]="PEN",Tabla1[[#This Row],[MONTO]],Tabla1[[#This Row],[MONTO]]*3.56)</f>
        <v>1184</v>
      </c>
      <c r="X819" t="s">
        <v>81</v>
      </c>
      <c r="Y819" t="s">
        <v>42</v>
      </c>
      <c r="Z819" t="s">
        <v>82</v>
      </c>
      <c r="AA819" t="s">
        <v>763</v>
      </c>
      <c r="AB819" t="s">
        <v>764</v>
      </c>
      <c r="AC819" t="s">
        <v>765</v>
      </c>
      <c r="AD819" t="s">
        <v>766</v>
      </c>
      <c r="AE819">
        <v>1148.48</v>
      </c>
      <c r="AF819" t="s">
        <v>87</v>
      </c>
      <c r="AG819" t="s">
        <v>169</v>
      </c>
    </row>
    <row r="820" spans="1:33" hidden="1" x14ac:dyDescent="0.25">
      <c r="A820">
        <v>42713</v>
      </c>
      <c r="B820" t="s">
        <v>32</v>
      </c>
      <c r="C820">
        <v>1</v>
      </c>
      <c r="D820" t="s">
        <v>873</v>
      </c>
      <c r="E820" t="s">
        <v>70</v>
      </c>
      <c r="F820" t="s">
        <v>33</v>
      </c>
      <c r="G820" t="s">
        <v>71</v>
      </c>
      <c r="H820" t="s">
        <v>72</v>
      </c>
      <c r="I820" t="s">
        <v>874</v>
      </c>
      <c r="J820" t="s">
        <v>875</v>
      </c>
      <c r="K820" t="s">
        <v>36</v>
      </c>
      <c r="L820" t="s">
        <v>33</v>
      </c>
      <c r="M820">
        <v>10773811992</v>
      </c>
      <c r="N820" t="s">
        <v>299</v>
      </c>
      <c r="O820" t="s">
        <v>76</v>
      </c>
      <c r="P820" t="s">
        <v>38</v>
      </c>
      <c r="Q820" t="s">
        <v>300</v>
      </c>
      <c r="R820" t="s">
        <v>876</v>
      </c>
      <c r="S820">
        <v>5107</v>
      </c>
      <c r="T820" t="s">
        <v>40</v>
      </c>
      <c r="U820">
        <f>+IF(Tabla1[[#This Row],[MONEDA]]="PEN",Tabla1[[#This Row],[MONTO]],Tabla1[[#This Row],[MONTO]]*3.56)</f>
        <v>5107</v>
      </c>
      <c r="X820" t="s">
        <v>81</v>
      </c>
      <c r="Y820" t="s">
        <v>42</v>
      </c>
      <c r="Z820" t="s">
        <v>82</v>
      </c>
      <c r="AA820" t="s">
        <v>877</v>
      </c>
      <c r="AB820" t="s">
        <v>878</v>
      </c>
      <c r="AC820" t="s">
        <v>879</v>
      </c>
      <c r="AD820" t="s">
        <v>880</v>
      </c>
      <c r="AE820">
        <v>4953.79</v>
      </c>
      <c r="AF820" t="s">
        <v>87</v>
      </c>
      <c r="AG820" t="s">
        <v>169</v>
      </c>
    </row>
    <row r="821" spans="1:33" hidden="1" x14ac:dyDescent="0.25">
      <c r="A821">
        <v>42817</v>
      </c>
      <c r="B821" t="s">
        <v>32</v>
      </c>
      <c r="C821">
        <v>1</v>
      </c>
      <c r="D821" t="s">
        <v>1007</v>
      </c>
      <c r="E821" t="s">
        <v>70</v>
      </c>
      <c r="F821" t="s">
        <v>33</v>
      </c>
      <c r="G821" t="s">
        <v>71</v>
      </c>
      <c r="H821" t="s">
        <v>35</v>
      </c>
      <c r="I821" t="s">
        <v>986</v>
      </c>
      <c r="J821" t="s">
        <v>1008</v>
      </c>
      <c r="K821" t="s">
        <v>36</v>
      </c>
      <c r="L821" t="s">
        <v>33</v>
      </c>
      <c r="M821">
        <v>10773811992</v>
      </c>
      <c r="N821" t="s">
        <v>299</v>
      </c>
      <c r="O821" t="s">
        <v>76</v>
      </c>
      <c r="P821" t="s">
        <v>38</v>
      </c>
      <c r="Q821" t="s">
        <v>300</v>
      </c>
      <c r="R821" t="s">
        <v>1009</v>
      </c>
      <c r="S821">
        <v>1770</v>
      </c>
      <c r="T821" t="s">
        <v>40</v>
      </c>
      <c r="U821">
        <f>+IF(Tabla1[[#This Row],[MONEDA]]="PEN",Tabla1[[#This Row],[MONTO]],Tabla1[[#This Row],[MONTO]]*3.56)</f>
        <v>1770</v>
      </c>
      <c r="X821" t="s">
        <v>81</v>
      </c>
      <c r="Y821" t="s">
        <v>42</v>
      </c>
      <c r="Z821" t="s">
        <v>82</v>
      </c>
      <c r="AA821" t="s">
        <v>1010</v>
      </c>
      <c r="AB821" t="s">
        <v>1011</v>
      </c>
      <c r="AC821" t="s">
        <v>1012</v>
      </c>
      <c r="AD821" t="s">
        <v>1013</v>
      </c>
      <c r="AE821">
        <v>1716.9</v>
      </c>
      <c r="AF821" t="s">
        <v>87</v>
      </c>
      <c r="AG821" t="s">
        <v>169</v>
      </c>
    </row>
    <row r="822" spans="1:33" hidden="1" x14ac:dyDescent="0.25">
      <c r="A822">
        <v>41797</v>
      </c>
      <c r="B822" t="s">
        <v>32</v>
      </c>
      <c r="C822">
        <v>1</v>
      </c>
      <c r="D822" t="s">
        <v>1320</v>
      </c>
      <c r="E822" t="s">
        <v>70</v>
      </c>
      <c r="F822" t="s">
        <v>33</v>
      </c>
      <c r="G822" t="s">
        <v>71</v>
      </c>
      <c r="H822" t="s">
        <v>72</v>
      </c>
      <c r="I822" t="s">
        <v>1306</v>
      </c>
      <c r="J822" t="s">
        <v>1321</v>
      </c>
      <c r="K822" t="s">
        <v>36</v>
      </c>
      <c r="L822" t="s">
        <v>33</v>
      </c>
      <c r="M822">
        <v>10773811992</v>
      </c>
      <c r="N822" t="s">
        <v>299</v>
      </c>
      <c r="O822" t="s">
        <v>76</v>
      </c>
      <c r="P822" t="s">
        <v>38</v>
      </c>
      <c r="Q822" t="s">
        <v>300</v>
      </c>
      <c r="R822" t="s">
        <v>1322</v>
      </c>
      <c r="S822">
        <v>2784</v>
      </c>
      <c r="T822" t="s">
        <v>40</v>
      </c>
      <c r="U822">
        <f>+IF(Tabla1[[#This Row],[MONEDA]]="PEN",Tabla1[[#This Row],[MONTO]],Tabla1[[#This Row],[MONTO]]*3.56)</f>
        <v>2784</v>
      </c>
      <c r="X822" t="s">
        <v>81</v>
      </c>
      <c r="Y822" t="s">
        <v>42</v>
      </c>
      <c r="Z822" t="s">
        <v>82</v>
      </c>
      <c r="AA822" t="s">
        <v>1323</v>
      </c>
      <c r="AB822" t="s">
        <v>1324</v>
      </c>
      <c r="AC822" t="s">
        <v>1325</v>
      </c>
      <c r="AD822" t="s">
        <v>1326</v>
      </c>
      <c r="AE822">
        <v>2700.48</v>
      </c>
      <c r="AF822" t="s">
        <v>87</v>
      </c>
      <c r="AG822" t="s">
        <v>169</v>
      </c>
    </row>
    <row r="823" spans="1:33" hidden="1" x14ac:dyDescent="0.25">
      <c r="A823">
        <v>40832</v>
      </c>
      <c r="B823" t="s">
        <v>32</v>
      </c>
      <c r="C823">
        <v>1</v>
      </c>
      <c r="D823" t="s">
        <v>1846</v>
      </c>
      <c r="E823" t="s">
        <v>70</v>
      </c>
      <c r="F823" t="s">
        <v>33</v>
      </c>
      <c r="G823" t="s">
        <v>71</v>
      </c>
      <c r="H823" t="s">
        <v>35</v>
      </c>
      <c r="I823" t="s">
        <v>1847</v>
      </c>
      <c r="J823" t="s">
        <v>1848</v>
      </c>
      <c r="K823" t="s">
        <v>36</v>
      </c>
      <c r="L823" t="s">
        <v>33</v>
      </c>
      <c r="M823">
        <v>10773811992</v>
      </c>
      <c r="N823" t="s">
        <v>299</v>
      </c>
      <c r="O823" t="s">
        <v>76</v>
      </c>
      <c r="P823" t="s">
        <v>38</v>
      </c>
      <c r="Q823" t="s">
        <v>300</v>
      </c>
      <c r="R823" t="s">
        <v>1849</v>
      </c>
      <c r="S823">
        <v>2676</v>
      </c>
      <c r="T823" t="s">
        <v>40</v>
      </c>
      <c r="U823">
        <f>+IF(Tabla1[[#This Row],[MONEDA]]="PEN",Tabla1[[#This Row],[MONTO]],Tabla1[[#This Row],[MONTO]]*3.56)</f>
        <v>2676</v>
      </c>
      <c r="X823" t="s">
        <v>81</v>
      </c>
      <c r="Y823" t="s">
        <v>42</v>
      </c>
      <c r="Z823" t="s">
        <v>82</v>
      </c>
      <c r="AA823" t="s">
        <v>1850</v>
      </c>
      <c r="AB823" t="s">
        <v>1851</v>
      </c>
      <c r="AC823" t="s">
        <v>1852</v>
      </c>
      <c r="AD823" t="s">
        <v>1853</v>
      </c>
      <c r="AE823">
        <v>2595.7199999999998</v>
      </c>
      <c r="AF823" t="s">
        <v>87</v>
      </c>
      <c r="AG823" t="s">
        <v>169</v>
      </c>
    </row>
    <row r="824" spans="1:33" hidden="1" x14ac:dyDescent="0.25">
      <c r="A824">
        <v>39781</v>
      </c>
      <c r="B824" t="s">
        <v>32</v>
      </c>
      <c r="C824">
        <v>1</v>
      </c>
      <c r="D824" t="s">
        <v>2188</v>
      </c>
      <c r="E824" t="s">
        <v>70</v>
      </c>
      <c r="F824" t="s">
        <v>33</v>
      </c>
      <c r="G824" t="s">
        <v>71</v>
      </c>
      <c r="H824" t="s">
        <v>35</v>
      </c>
      <c r="I824" t="s">
        <v>2189</v>
      </c>
      <c r="J824" t="s">
        <v>2190</v>
      </c>
      <c r="K824" t="s">
        <v>36</v>
      </c>
      <c r="L824" t="s">
        <v>33</v>
      </c>
      <c r="M824">
        <v>10773811992</v>
      </c>
      <c r="N824" t="s">
        <v>299</v>
      </c>
      <c r="O824" t="s">
        <v>76</v>
      </c>
      <c r="P824" t="s">
        <v>38</v>
      </c>
      <c r="Q824" t="s">
        <v>300</v>
      </c>
      <c r="R824" t="s">
        <v>2191</v>
      </c>
      <c r="S824">
        <v>6800</v>
      </c>
      <c r="T824" t="s">
        <v>40</v>
      </c>
      <c r="U824">
        <f>+IF(Tabla1[[#This Row],[MONEDA]]="PEN",Tabla1[[#This Row],[MONTO]],Tabla1[[#This Row],[MONTO]]*3.56)</f>
        <v>6800</v>
      </c>
      <c r="X824" t="s">
        <v>81</v>
      </c>
      <c r="Y824" t="s">
        <v>42</v>
      </c>
      <c r="Z824" t="s">
        <v>82</v>
      </c>
      <c r="AA824" t="s">
        <v>2192</v>
      </c>
      <c r="AB824" t="s">
        <v>2193</v>
      </c>
      <c r="AC824" t="s">
        <v>2194</v>
      </c>
      <c r="AD824" t="s">
        <v>2195</v>
      </c>
      <c r="AE824">
        <v>6596</v>
      </c>
      <c r="AG824" t="s">
        <v>169</v>
      </c>
    </row>
    <row r="825" spans="1:33" hidden="1" x14ac:dyDescent="0.25">
      <c r="A825">
        <v>38920</v>
      </c>
      <c r="B825" t="s">
        <v>32</v>
      </c>
      <c r="C825">
        <v>1</v>
      </c>
      <c r="D825" t="s">
        <v>2623</v>
      </c>
      <c r="E825" t="s">
        <v>70</v>
      </c>
      <c r="F825" t="s">
        <v>33</v>
      </c>
      <c r="G825" t="s">
        <v>71</v>
      </c>
      <c r="H825" t="s">
        <v>35</v>
      </c>
      <c r="I825" t="s">
        <v>2624</v>
      </c>
      <c r="J825" t="s">
        <v>2625</v>
      </c>
      <c r="K825" t="s">
        <v>36</v>
      </c>
      <c r="L825" t="s">
        <v>33</v>
      </c>
      <c r="M825">
        <v>10773811992</v>
      </c>
      <c r="N825" t="s">
        <v>299</v>
      </c>
      <c r="O825" t="s">
        <v>76</v>
      </c>
      <c r="P825" t="s">
        <v>38</v>
      </c>
      <c r="Q825" t="s">
        <v>300</v>
      </c>
      <c r="R825" t="s">
        <v>2626</v>
      </c>
      <c r="S825">
        <v>9840</v>
      </c>
      <c r="T825" t="s">
        <v>40</v>
      </c>
      <c r="U825">
        <f>+IF(Tabla1[[#This Row],[MONEDA]]="PEN",Tabla1[[#This Row],[MONTO]],Tabla1[[#This Row],[MONTO]]*3.56)</f>
        <v>9840</v>
      </c>
      <c r="X825" t="s">
        <v>81</v>
      </c>
      <c r="Y825" t="s">
        <v>42</v>
      </c>
      <c r="Z825" t="s">
        <v>82</v>
      </c>
      <c r="AA825" t="s">
        <v>2627</v>
      </c>
      <c r="AB825" t="s">
        <v>2628</v>
      </c>
      <c r="AC825" t="s">
        <v>2629</v>
      </c>
      <c r="AD825" t="s">
        <v>2630</v>
      </c>
      <c r="AE825">
        <v>9544.7999999999993</v>
      </c>
      <c r="AF825" t="s">
        <v>87</v>
      </c>
      <c r="AG825" t="s">
        <v>169</v>
      </c>
    </row>
    <row r="826" spans="1:33" hidden="1" x14ac:dyDescent="0.25">
      <c r="A826">
        <v>38928</v>
      </c>
      <c r="B826" t="s">
        <v>32</v>
      </c>
      <c r="C826">
        <v>1</v>
      </c>
      <c r="D826" t="s">
        <v>2725</v>
      </c>
      <c r="E826" t="s">
        <v>70</v>
      </c>
      <c r="F826" t="s">
        <v>33</v>
      </c>
      <c r="G826" t="s">
        <v>71</v>
      </c>
      <c r="H826" t="s">
        <v>35</v>
      </c>
      <c r="I826" t="s">
        <v>2689</v>
      </c>
      <c r="J826" t="s">
        <v>2726</v>
      </c>
      <c r="K826" t="s">
        <v>36</v>
      </c>
      <c r="L826" t="s">
        <v>33</v>
      </c>
      <c r="M826">
        <v>10773811992</v>
      </c>
      <c r="N826" t="s">
        <v>299</v>
      </c>
      <c r="O826" t="s">
        <v>76</v>
      </c>
      <c r="P826" t="s">
        <v>38</v>
      </c>
      <c r="Q826" t="s">
        <v>300</v>
      </c>
      <c r="R826" t="s">
        <v>2727</v>
      </c>
      <c r="S826">
        <v>10919</v>
      </c>
      <c r="T826" t="s">
        <v>40</v>
      </c>
      <c r="U826">
        <f>+IF(Tabla1[[#This Row],[MONEDA]]="PEN",Tabla1[[#This Row],[MONTO]],Tabla1[[#This Row],[MONTO]]*3.56)</f>
        <v>10919</v>
      </c>
      <c r="X826" t="s">
        <v>81</v>
      </c>
      <c r="Y826" t="s">
        <v>42</v>
      </c>
      <c r="Z826" t="s">
        <v>82</v>
      </c>
      <c r="AA826" t="s">
        <v>2728</v>
      </c>
      <c r="AB826" t="s">
        <v>2729</v>
      </c>
      <c r="AC826" t="s">
        <v>2730</v>
      </c>
      <c r="AD826" t="s">
        <v>2731</v>
      </c>
      <c r="AE826">
        <v>10591.43</v>
      </c>
      <c r="AF826" t="s">
        <v>87</v>
      </c>
      <c r="AG826" t="s">
        <v>169</v>
      </c>
    </row>
    <row r="827" spans="1:33" hidden="1" x14ac:dyDescent="0.25">
      <c r="A827">
        <v>37807</v>
      </c>
      <c r="B827" t="s">
        <v>32</v>
      </c>
      <c r="C827">
        <v>2</v>
      </c>
      <c r="D827" t="s">
        <v>3196</v>
      </c>
      <c r="E827" t="s">
        <v>70</v>
      </c>
      <c r="F827" t="s">
        <v>33</v>
      </c>
      <c r="G827" t="s">
        <v>71</v>
      </c>
      <c r="H827" t="s">
        <v>35</v>
      </c>
      <c r="I827" t="s">
        <v>3134</v>
      </c>
      <c r="J827" t="s">
        <v>3197</v>
      </c>
      <c r="K827" t="s">
        <v>36</v>
      </c>
      <c r="L827" t="s">
        <v>33</v>
      </c>
      <c r="M827">
        <v>10773811992</v>
      </c>
      <c r="N827" t="s">
        <v>299</v>
      </c>
      <c r="O827" t="s">
        <v>76</v>
      </c>
      <c r="P827" t="s">
        <v>38</v>
      </c>
      <c r="Q827" t="s">
        <v>300</v>
      </c>
      <c r="R827" t="s">
        <v>3198</v>
      </c>
      <c r="S827">
        <v>14400</v>
      </c>
      <c r="T827" t="s">
        <v>40</v>
      </c>
      <c r="U827">
        <f>+IF(Tabla1[[#This Row],[MONEDA]]="PEN",Tabla1[[#This Row],[MONTO]],Tabla1[[#This Row],[MONTO]]*3.56)</f>
        <v>14400</v>
      </c>
      <c r="X827" t="s">
        <v>81</v>
      </c>
      <c r="Y827" t="s">
        <v>42</v>
      </c>
      <c r="Z827" t="s">
        <v>82</v>
      </c>
      <c r="AA827" t="s">
        <v>3199</v>
      </c>
      <c r="AB827" t="s">
        <v>3200</v>
      </c>
      <c r="AC827" t="s">
        <v>3201</v>
      </c>
      <c r="AD827" t="s">
        <v>3202</v>
      </c>
      <c r="AE827">
        <v>13968</v>
      </c>
      <c r="AF827" t="s">
        <v>87</v>
      </c>
      <c r="AG827" t="s">
        <v>169</v>
      </c>
    </row>
    <row r="828" spans="1:33" hidden="1" x14ac:dyDescent="0.25">
      <c r="A828">
        <v>36991</v>
      </c>
      <c r="B828" t="s">
        <v>32</v>
      </c>
      <c r="C828">
        <v>1</v>
      </c>
      <c r="D828" t="s">
        <v>3546</v>
      </c>
      <c r="E828" t="s">
        <v>70</v>
      </c>
      <c r="F828" t="s">
        <v>33</v>
      </c>
      <c r="G828" t="s">
        <v>71</v>
      </c>
      <c r="H828" t="s">
        <v>35</v>
      </c>
      <c r="I828" t="s">
        <v>3536</v>
      </c>
      <c r="J828" t="s">
        <v>3547</v>
      </c>
      <c r="K828" t="s">
        <v>36</v>
      </c>
      <c r="L828" t="s">
        <v>33</v>
      </c>
      <c r="M828">
        <v>10773811992</v>
      </c>
      <c r="N828" t="s">
        <v>299</v>
      </c>
      <c r="O828" t="s">
        <v>76</v>
      </c>
      <c r="P828" t="s">
        <v>38</v>
      </c>
      <c r="Q828" t="s">
        <v>300</v>
      </c>
      <c r="R828" t="s">
        <v>3548</v>
      </c>
      <c r="S828">
        <v>7969</v>
      </c>
      <c r="T828" t="s">
        <v>40</v>
      </c>
      <c r="U828">
        <f>+IF(Tabla1[[#This Row],[MONEDA]]="PEN",Tabla1[[#This Row],[MONTO]],Tabla1[[#This Row],[MONTO]]*3.56)</f>
        <v>7969</v>
      </c>
      <c r="X828" t="s">
        <v>81</v>
      </c>
      <c r="Y828" t="s">
        <v>42</v>
      </c>
      <c r="Z828" t="s">
        <v>82</v>
      </c>
      <c r="AA828" t="s">
        <v>3549</v>
      </c>
      <c r="AB828" t="s">
        <v>3550</v>
      </c>
      <c r="AC828" t="s">
        <v>3551</v>
      </c>
      <c r="AD828" t="s">
        <v>3552</v>
      </c>
      <c r="AE828">
        <v>7729.93</v>
      </c>
      <c r="AF828" t="s">
        <v>87</v>
      </c>
      <c r="AG828" t="s">
        <v>169</v>
      </c>
    </row>
    <row r="829" spans="1:33" hidden="1" x14ac:dyDescent="0.25">
      <c r="A829">
        <v>36981</v>
      </c>
      <c r="B829" t="s">
        <v>32</v>
      </c>
      <c r="C829">
        <v>1</v>
      </c>
      <c r="D829" t="s">
        <v>3575</v>
      </c>
      <c r="E829" t="s">
        <v>70</v>
      </c>
      <c r="F829" t="s">
        <v>33</v>
      </c>
      <c r="G829" t="s">
        <v>71</v>
      </c>
      <c r="H829" t="s">
        <v>35</v>
      </c>
      <c r="I829" t="s">
        <v>3561</v>
      </c>
      <c r="J829" t="s">
        <v>3576</v>
      </c>
      <c r="K829" t="s">
        <v>36</v>
      </c>
      <c r="L829" t="s">
        <v>33</v>
      </c>
      <c r="M829">
        <v>10773811992</v>
      </c>
      <c r="N829" t="s">
        <v>299</v>
      </c>
      <c r="O829" t="s">
        <v>76</v>
      </c>
      <c r="P829" t="s">
        <v>38</v>
      </c>
      <c r="Q829" t="s">
        <v>300</v>
      </c>
      <c r="R829" t="s">
        <v>3577</v>
      </c>
      <c r="S829">
        <v>3500</v>
      </c>
      <c r="T829" t="s">
        <v>40</v>
      </c>
      <c r="U829">
        <f>+IF(Tabla1[[#This Row],[MONEDA]]="PEN",Tabla1[[#This Row],[MONTO]],Tabla1[[#This Row],[MONTO]]*3.56)</f>
        <v>3500</v>
      </c>
      <c r="X829" t="s">
        <v>81</v>
      </c>
      <c r="Y829" t="s">
        <v>42</v>
      </c>
      <c r="Z829" t="s">
        <v>43</v>
      </c>
      <c r="AA829" t="s">
        <v>3578</v>
      </c>
      <c r="AB829" t="s">
        <v>3579</v>
      </c>
      <c r="AC829" t="s">
        <v>3580</v>
      </c>
      <c r="AD829" t="s">
        <v>3581</v>
      </c>
      <c r="AE829">
        <v>3395</v>
      </c>
      <c r="AG829" t="s">
        <v>169</v>
      </c>
    </row>
    <row r="830" spans="1:33" hidden="1" x14ac:dyDescent="0.25">
      <c r="A830">
        <v>35837</v>
      </c>
      <c r="B830" t="s">
        <v>32</v>
      </c>
      <c r="C830">
        <v>2</v>
      </c>
      <c r="D830" t="s">
        <v>4129</v>
      </c>
      <c r="E830" t="s">
        <v>70</v>
      </c>
      <c r="F830" t="s">
        <v>33</v>
      </c>
      <c r="G830" t="s">
        <v>71</v>
      </c>
      <c r="H830" t="s">
        <v>72</v>
      </c>
      <c r="I830" t="s">
        <v>4112</v>
      </c>
      <c r="J830" t="s">
        <v>4130</v>
      </c>
      <c r="K830" t="s">
        <v>36</v>
      </c>
      <c r="L830" t="s">
        <v>33</v>
      </c>
      <c r="M830">
        <v>10773811992</v>
      </c>
      <c r="N830" t="s">
        <v>299</v>
      </c>
      <c r="O830" t="s">
        <v>76</v>
      </c>
      <c r="P830" t="s">
        <v>38</v>
      </c>
      <c r="Q830" t="s">
        <v>300</v>
      </c>
      <c r="R830" t="s">
        <v>4131</v>
      </c>
      <c r="S830">
        <v>14580</v>
      </c>
      <c r="T830" t="s">
        <v>40</v>
      </c>
      <c r="U830">
        <f>+IF(Tabla1[[#This Row],[MONEDA]]="PEN",Tabla1[[#This Row],[MONTO]],Tabla1[[#This Row],[MONTO]]*3.56)</f>
        <v>14580</v>
      </c>
      <c r="X830" t="s">
        <v>81</v>
      </c>
      <c r="Y830" t="s">
        <v>42</v>
      </c>
      <c r="Z830" t="s">
        <v>82</v>
      </c>
      <c r="AA830" t="s">
        <v>4132</v>
      </c>
      <c r="AB830" t="s">
        <v>4133</v>
      </c>
      <c r="AC830" t="s">
        <v>4134</v>
      </c>
      <c r="AD830" t="s">
        <v>4135</v>
      </c>
      <c r="AE830">
        <v>14142.6</v>
      </c>
      <c r="AF830" t="s">
        <v>87</v>
      </c>
      <c r="AG830" t="s">
        <v>169</v>
      </c>
    </row>
    <row r="831" spans="1:33" hidden="1" x14ac:dyDescent="0.25">
      <c r="A831">
        <v>33581</v>
      </c>
      <c r="B831" t="s">
        <v>32</v>
      </c>
      <c r="C831">
        <v>2</v>
      </c>
      <c r="D831" t="s">
        <v>4788</v>
      </c>
      <c r="E831" t="s">
        <v>70</v>
      </c>
      <c r="F831" t="s">
        <v>33</v>
      </c>
      <c r="G831" t="s">
        <v>71</v>
      </c>
      <c r="H831" t="s">
        <v>72</v>
      </c>
      <c r="I831" t="s">
        <v>4781</v>
      </c>
      <c r="J831" t="s">
        <v>4789</v>
      </c>
      <c r="K831" t="s">
        <v>36</v>
      </c>
      <c r="L831" t="s">
        <v>33</v>
      </c>
      <c r="M831">
        <v>10773811992</v>
      </c>
      <c r="N831" t="s">
        <v>299</v>
      </c>
      <c r="O831" t="s">
        <v>76</v>
      </c>
      <c r="P831" t="s">
        <v>38</v>
      </c>
      <c r="Q831" t="s">
        <v>300</v>
      </c>
      <c r="R831" t="s">
        <v>4790</v>
      </c>
      <c r="S831">
        <v>13674</v>
      </c>
      <c r="T831" t="s">
        <v>40</v>
      </c>
      <c r="U831">
        <f>+IF(Tabla1[[#This Row],[MONEDA]]="PEN",Tabla1[[#This Row],[MONTO]],Tabla1[[#This Row],[MONTO]]*3.56)</f>
        <v>13674</v>
      </c>
      <c r="X831" t="s">
        <v>81</v>
      </c>
      <c r="Y831" t="s">
        <v>42</v>
      </c>
      <c r="Z831" t="s">
        <v>82</v>
      </c>
      <c r="AA831" t="s">
        <v>4791</v>
      </c>
      <c r="AB831" t="s">
        <v>4792</v>
      </c>
      <c r="AC831" t="s">
        <v>4793</v>
      </c>
      <c r="AD831" t="s">
        <v>4794</v>
      </c>
      <c r="AE831">
        <v>13263.78</v>
      </c>
      <c r="AF831" t="s">
        <v>87</v>
      </c>
      <c r="AG831" t="s">
        <v>169</v>
      </c>
    </row>
    <row r="832" spans="1:33" hidden="1" x14ac:dyDescent="0.25">
      <c r="A832">
        <v>32812</v>
      </c>
      <c r="B832" t="s">
        <v>32</v>
      </c>
      <c r="C832">
        <v>1</v>
      </c>
      <c r="D832" t="s">
        <v>5256</v>
      </c>
      <c r="E832" t="s">
        <v>70</v>
      </c>
      <c r="F832" t="s">
        <v>33</v>
      </c>
      <c r="G832" t="s">
        <v>71</v>
      </c>
      <c r="H832" t="s">
        <v>72</v>
      </c>
      <c r="I832" t="s">
        <v>5234</v>
      </c>
      <c r="J832" t="s">
        <v>5257</v>
      </c>
      <c r="K832" t="s">
        <v>36</v>
      </c>
      <c r="L832" t="s">
        <v>33</v>
      </c>
      <c r="M832">
        <v>10773811992</v>
      </c>
      <c r="N832" t="s">
        <v>299</v>
      </c>
      <c r="O832" t="s">
        <v>76</v>
      </c>
      <c r="P832" t="s">
        <v>38</v>
      </c>
      <c r="Q832" t="s">
        <v>300</v>
      </c>
      <c r="R832" t="s">
        <v>5258</v>
      </c>
      <c r="S832">
        <v>7500</v>
      </c>
      <c r="T832" t="s">
        <v>40</v>
      </c>
      <c r="U832">
        <f>+IF(Tabla1[[#This Row],[MONEDA]]="PEN",Tabla1[[#This Row],[MONTO]],Tabla1[[#This Row],[MONTO]]*3.56)</f>
        <v>7500</v>
      </c>
      <c r="X832" t="s">
        <v>81</v>
      </c>
      <c r="Y832" t="s">
        <v>42</v>
      </c>
      <c r="Z832" t="s">
        <v>43</v>
      </c>
      <c r="AA832" t="s">
        <v>5259</v>
      </c>
      <c r="AB832" t="s">
        <v>5260</v>
      </c>
      <c r="AC832" t="s">
        <v>5261</v>
      </c>
      <c r="AD832" t="s">
        <v>5262</v>
      </c>
      <c r="AE832">
        <v>7275</v>
      </c>
      <c r="AF832" t="s">
        <v>87</v>
      </c>
      <c r="AG832" t="s">
        <v>169</v>
      </c>
    </row>
    <row r="833" spans="1:33" hidden="1" x14ac:dyDescent="0.25">
      <c r="A833">
        <v>32903</v>
      </c>
      <c r="B833" t="s">
        <v>32</v>
      </c>
      <c r="C833">
        <v>1</v>
      </c>
      <c r="D833" t="s">
        <v>5277</v>
      </c>
      <c r="E833" t="s">
        <v>70</v>
      </c>
      <c r="F833" t="s">
        <v>33</v>
      </c>
      <c r="G833" t="s">
        <v>71</v>
      </c>
      <c r="H833" t="s">
        <v>72</v>
      </c>
      <c r="I833" t="s">
        <v>5234</v>
      </c>
      <c r="J833" t="s">
        <v>5278</v>
      </c>
      <c r="K833" t="s">
        <v>36</v>
      </c>
      <c r="L833" t="s">
        <v>33</v>
      </c>
      <c r="M833">
        <v>10773811992</v>
      </c>
      <c r="N833" t="s">
        <v>299</v>
      </c>
      <c r="O833" t="s">
        <v>76</v>
      </c>
      <c r="P833" t="s">
        <v>38</v>
      </c>
      <c r="Q833" t="s">
        <v>300</v>
      </c>
      <c r="R833" t="s">
        <v>5279</v>
      </c>
      <c r="S833">
        <v>5200</v>
      </c>
      <c r="T833" t="s">
        <v>40</v>
      </c>
      <c r="U833">
        <f>+IF(Tabla1[[#This Row],[MONEDA]]="PEN",Tabla1[[#This Row],[MONTO]],Tabla1[[#This Row],[MONTO]]*3.56)</f>
        <v>5200</v>
      </c>
      <c r="X833" t="s">
        <v>81</v>
      </c>
      <c r="Y833" t="s">
        <v>42</v>
      </c>
      <c r="Z833" t="s">
        <v>43</v>
      </c>
      <c r="AA833" t="s">
        <v>5280</v>
      </c>
      <c r="AB833" t="s">
        <v>5281</v>
      </c>
      <c r="AC833" t="s">
        <v>5282</v>
      </c>
      <c r="AD833" t="s">
        <v>5283</v>
      </c>
      <c r="AE833">
        <v>5044</v>
      </c>
      <c r="AF833" t="s">
        <v>87</v>
      </c>
      <c r="AG833" t="s">
        <v>169</v>
      </c>
    </row>
    <row r="834" spans="1:33" hidden="1" x14ac:dyDescent="0.25">
      <c r="A834">
        <v>31502</v>
      </c>
      <c r="B834" t="s">
        <v>32</v>
      </c>
      <c r="C834">
        <v>1</v>
      </c>
      <c r="D834" t="s">
        <v>5716</v>
      </c>
      <c r="E834" t="s">
        <v>70</v>
      </c>
      <c r="F834" t="s">
        <v>33</v>
      </c>
      <c r="G834" t="s">
        <v>71</v>
      </c>
      <c r="H834" t="s">
        <v>72</v>
      </c>
      <c r="I834" t="s">
        <v>5709</v>
      </c>
      <c r="J834" t="s">
        <v>5717</v>
      </c>
      <c r="K834" t="s">
        <v>36</v>
      </c>
      <c r="L834" t="s">
        <v>33</v>
      </c>
      <c r="M834">
        <v>10773811992</v>
      </c>
      <c r="N834" t="s">
        <v>299</v>
      </c>
      <c r="O834" t="s">
        <v>76</v>
      </c>
      <c r="P834" t="s">
        <v>38</v>
      </c>
      <c r="Q834" t="s">
        <v>300</v>
      </c>
      <c r="R834" t="s">
        <v>5718</v>
      </c>
      <c r="S834">
        <v>12372</v>
      </c>
      <c r="T834" t="s">
        <v>40</v>
      </c>
      <c r="U834">
        <f>+IF(Tabla1[[#This Row],[MONEDA]]="PEN",Tabla1[[#This Row],[MONTO]],Tabla1[[#This Row],[MONTO]]*3.56)</f>
        <v>12372</v>
      </c>
      <c r="X834" t="s">
        <v>81</v>
      </c>
      <c r="Y834" t="s">
        <v>42</v>
      </c>
      <c r="Z834" t="s">
        <v>43</v>
      </c>
      <c r="AA834" t="s">
        <v>5719</v>
      </c>
      <c r="AB834" t="s">
        <v>5720</v>
      </c>
      <c r="AC834" t="s">
        <v>5721</v>
      </c>
      <c r="AD834" t="s">
        <v>5722</v>
      </c>
      <c r="AE834">
        <v>12000.84</v>
      </c>
      <c r="AG834" t="s">
        <v>169</v>
      </c>
    </row>
    <row r="835" spans="1:33" hidden="1" x14ac:dyDescent="0.25">
      <c r="A835">
        <v>29728</v>
      </c>
      <c r="B835" t="s">
        <v>32</v>
      </c>
      <c r="C835">
        <v>1</v>
      </c>
      <c r="D835" t="s">
        <v>6742</v>
      </c>
      <c r="E835" t="s">
        <v>70</v>
      </c>
      <c r="F835" t="s">
        <v>33</v>
      </c>
      <c r="G835" t="s">
        <v>71</v>
      </c>
      <c r="H835" t="s">
        <v>72</v>
      </c>
      <c r="I835" t="s">
        <v>6714</v>
      </c>
      <c r="J835" t="s">
        <v>6743</v>
      </c>
      <c r="K835" t="s">
        <v>36</v>
      </c>
      <c r="L835" t="s">
        <v>33</v>
      </c>
      <c r="M835">
        <v>10773811992</v>
      </c>
      <c r="N835" t="s">
        <v>299</v>
      </c>
      <c r="O835" t="s">
        <v>76</v>
      </c>
      <c r="P835" t="s">
        <v>38</v>
      </c>
      <c r="Q835" t="s">
        <v>300</v>
      </c>
      <c r="R835" t="s">
        <v>6744</v>
      </c>
      <c r="S835">
        <v>1825.5</v>
      </c>
      <c r="T835" t="s">
        <v>40</v>
      </c>
      <c r="U835">
        <f>+IF(Tabla1[[#This Row],[MONEDA]]="PEN",Tabla1[[#This Row],[MONTO]],Tabla1[[#This Row],[MONTO]]*3.56)</f>
        <v>1825.5</v>
      </c>
      <c r="X835" t="s">
        <v>81</v>
      </c>
      <c r="Y835" t="s">
        <v>42</v>
      </c>
      <c r="Z835" t="s">
        <v>43</v>
      </c>
      <c r="AA835" t="s">
        <v>6745</v>
      </c>
      <c r="AB835" t="s">
        <v>6746</v>
      </c>
      <c r="AC835" t="s">
        <v>6747</v>
      </c>
      <c r="AD835" t="s">
        <v>6748</v>
      </c>
      <c r="AE835">
        <v>1770.74</v>
      </c>
      <c r="AF835" t="s">
        <v>87</v>
      </c>
      <c r="AG835" t="s">
        <v>169</v>
      </c>
    </row>
    <row r="836" spans="1:33" x14ac:dyDescent="0.25">
      <c r="A836">
        <v>28521</v>
      </c>
      <c r="B836" t="s">
        <v>32</v>
      </c>
      <c r="C836">
        <v>1</v>
      </c>
      <c r="D836" t="s">
        <v>7011</v>
      </c>
      <c r="E836" t="s">
        <v>70</v>
      </c>
      <c r="F836" t="s">
        <v>5328</v>
      </c>
      <c r="G836" t="s">
        <v>5329</v>
      </c>
      <c r="H836" t="s">
        <v>72</v>
      </c>
      <c r="I836" t="s">
        <v>7012</v>
      </c>
      <c r="J836" t="s">
        <v>7013</v>
      </c>
      <c r="K836" t="s">
        <v>36</v>
      </c>
      <c r="L836" t="s">
        <v>33</v>
      </c>
      <c r="M836">
        <v>10773811992</v>
      </c>
      <c r="N836" t="s">
        <v>299</v>
      </c>
      <c r="O836" t="s">
        <v>6159</v>
      </c>
      <c r="P836" t="s">
        <v>38</v>
      </c>
      <c r="Q836" t="s">
        <v>300</v>
      </c>
      <c r="R836" t="s">
        <v>7014</v>
      </c>
      <c r="S836">
        <v>3890.92</v>
      </c>
      <c r="T836" t="s">
        <v>40</v>
      </c>
      <c r="U836">
        <f>+IF(Tabla1[[#This Row],[MONEDA]]="PEN",Tabla1[[#This Row],[MONTO]],Tabla1[[#This Row],[MONTO]]*3.56)</f>
        <v>3890.92</v>
      </c>
      <c r="X836" t="s">
        <v>81</v>
      </c>
      <c r="Y836" t="s">
        <v>42</v>
      </c>
      <c r="Z836" t="s">
        <v>43</v>
      </c>
      <c r="AA836" t="s">
        <v>7015</v>
      </c>
      <c r="AB836" t="s">
        <v>7016</v>
      </c>
      <c r="AC836" t="s">
        <v>7017</v>
      </c>
      <c r="AD836" t="s">
        <v>7018</v>
      </c>
      <c r="AE836">
        <v>3774.19</v>
      </c>
      <c r="AF836" t="s">
        <v>87</v>
      </c>
      <c r="AG836" t="s">
        <v>169</v>
      </c>
    </row>
    <row r="837" spans="1:33" x14ac:dyDescent="0.25">
      <c r="A837">
        <v>27184</v>
      </c>
      <c r="B837" t="s">
        <v>32</v>
      </c>
      <c r="C837">
        <v>1</v>
      </c>
      <c r="D837" t="s">
        <v>8649</v>
      </c>
      <c r="E837" t="s">
        <v>70</v>
      </c>
      <c r="F837" t="s">
        <v>5328</v>
      </c>
      <c r="G837" t="s">
        <v>5329</v>
      </c>
      <c r="H837" t="s">
        <v>72</v>
      </c>
      <c r="I837" t="s">
        <v>8642</v>
      </c>
      <c r="J837" t="s">
        <v>8650</v>
      </c>
      <c r="K837" t="s">
        <v>36</v>
      </c>
      <c r="L837" t="s">
        <v>33</v>
      </c>
      <c r="M837">
        <v>10773811992</v>
      </c>
      <c r="N837" t="s">
        <v>299</v>
      </c>
      <c r="O837" t="s">
        <v>6159</v>
      </c>
      <c r="P837" t="s">
        <v>38</v>
      </c>
      <c r="Q837" t="s">
        <v>300</v>
      </c>
      <c r="R837" t="s">
        <v>8651</v>
      </c>
      <c r="S837">
        <v>4482</v>
      </c>
      <c r="T837" t="s">
        <v>40</v>
      </c>
      <c r="U837">
        <f>+IF(Tabla1[[#This Row],[MONEDA]]="PEN",Tabla1[[#This Row],[MONTO]],Tabla1[[#This Row],[MONTO]]*3.56)</f>
        <v>4482</v>
      </c>
      <c r="X837" t="s">
        <v>81</v>
      </c>
      <c r="Y837" t="s">
        <v>42</v>
      </c>
      <c r="Z837" t="s">
        <v>82</v>
      </c>
      <c r="AA837" t="s">
        <v>8652</v>
      </c>
      <c r="AB837" t="s">
        <v>8653</v>
      </c>
      <c r="AC837" t="s">
        <v>8654</v>
      </c>
      <c r="AD837" t="s">
        <v>8655</v>
      </c>
      <c r="AE837">
        <v>4347.54</v>
      </c>
      <c r="AF837" t="s">
        <v>87</v>
      </c>
      <c r="AG837" t="s">
        <v>169</v>
      </c>
    </row>
    <row r="838" spans="1:33" hidden="1" x14ac:dyDescent="0.25">
      <c r="A838">
        <v>26798</v>
      </c>
      <c r="B838" t="s">
        <v>32</v>
      </c>
      <c r="C838">
        <v>1</v>
      </c>
      <c r="D838" t="s">
        <v>8958</v>
      </c>
      <c r="E838" t="s">
        <v>70</v>
      </c>
      <c r="F838" t="s">
        <v>33</v>
      </c>
      <c r="G838" t="s">
        <v>71</v>
      </c>
      <c r="H838" t="s">
        <v>72</v>
      </c>
      <c r="I838" t="s">
        <v>8944</v>
      </c>
      <c r="J838" t="s">
        <v>8959</v>
      </c>
      <c r="K838" t="s">
        <v>36</v>
      </c>
      <c r="L838" t="s">
        <v>33</v>
      </c>
      <c r="M838">
        <v>10773811992</v>
      </c>
      <c r="N838" t="s">
        <v>299</v>
      </c>
      <c r="O838" t="s">
        <v>76</v>
      </c>
      <c r="P838" t="s">
        <v>38</v>
      </c>
      <c r="Q838" t="s">
        <v>300</v>
      </c>
      <c r="R838" t="s">
        <v>8960</v>
      </c>
      <c r="S838">
        <v>6336.5</v>
      </c>
      <c r="T838" t="s">
        <v>40</v>
      </c>
      <c r="U838">
        <f>+IF(Tabla1[[#This Row],[MONEDA]]="PEN",Tabla1[[#This Row],[MONTO]],Tabla1[[#This Row],[MONTO]]*3.56)</f>
        <v>6336.5</v>
      </c>
      <c r="X838" t="s">
        <v>81</v>
      </c>
      <c r="Y838" t="s">
        <v>42</v>
      </c>
      <c r="Z838" t="s">
        <v>82</v>
      </c>
      <c r="AA838" t="s">
        <v>8961</v>
      </c>
      <c r="AB838" t="s">
        <v>8962</v>
      </c>
      <c r="AC838" t="s">
        <v>8963</v>
      </c>
      <c r="AD838" t="s">
        <v>8964</v>
      </c>
      <c r="AE838">
        <v>6146.41</v>
      </c>
      <c r="AF838" t="s">
        <v>87</v>
      </c>
      <c r="AG838" t="s">
        <v>169</v>
      </c>
    </row>
    <row r="839" spans="1:33" hidden="1" x14ac:dyDescent="0.25">
      <c r="A839">
        <v>26829</v>
      </c>
      <c r="B839" t="s">
        <v>32</v>
      </c>
      <c r="C839">
        <v>1</v>
      </c>
      <c r="D839" t="s">
        <v>8965</v>
      </c>
      <c r="E839" t="s">
        <v>70</v>
      </c>
      <c r="F839" t="s">
        <v>33</v>
      </c>
      <c r="G839" t="s">
        <v>71</v>
      </c>
      <c r="H839" t="s">
        <v>72</v>
      </c>
      <c r="I839" t="s">
        <v>8944</v>
      </c>
      <c r="J839" t="s">
        <v>8966</v>
      </c>
      <c r="K839" t="s">
        <v>36</v>
      </c>
      <c r="L839" t="s">
        <v>33</v>
      </c>
      <c r="M839">
        <v>10773811992</v>
      </c>
      <c r="N839" t="s">
        <v>299</v>
      </c>
      <c r="O839" t="s">
        <v>76</v>
      </c>
      <c r="P839" t="s">
        <v>38</v>
      </c>
      <c r="Q839" t="s">
        <v>300</v>
      </c>
      <c r="R839" t="s">
        <v>8967</v>
      </c>
      <c r="S839">
        <v>3720</v>
      </c>
      <c r="T839" t="s">
        <v>40</v>
      </c>
      <c r="U839">
        <f>+IF(Tabla1[[#This Row],[MONEDA]]="PEN",Tabla1[[#This Row],[MONTO]],Tabla1[[#This Row],[MONTO]]*3.56)</f>
        <v>3720</v>
      </c>
      <c r="X839" t="s">
        <v>81</v>
      </c>
      <c r="Y839" t="s">
        <v>42</v>
      </c>
      <c r="Z839" t="s">
        <v>82</v>
      </c>
      <c r="AA839" t="s">
        <v>8968</v>
      </c>
      <c r="AB839" t="s">
        <v>8969</v>
      </c>
      <c r="AC839" t="s">
        <v>8970</v>
      </c>
      <c r="AD839" t="s">
        <v>8971</v>
      </c>
      <c r="AE839">
        <v>3608.4</v>
      </c>
      <c r="AF839" t="s">
        <v>87</v>
      </c>
      <c r="AG839" t="s">
        <v>169</v>
      </c>
    </row>
    <row r="840" spans="1:33" hidden="1" x14ac:dyDescent="0.25">
      <c r="A840">
        <v>25902</v>
      </c>
      <c r="B840" t="s">
        <v>32</v>
      </c>
      <c r="C840">
        <v>1</v>
      </c>
      <c r="D840" t="s">
        <v>9518</v>
      </c>
      <c r="E840" t="s">
        <v>70</v>
      </c>
      <c r="F840" t="s">
        <v>33</v>
      </c>
      <c r="G840" t="s">
        <v>71</v>
      </c>
      <c r="H840" t="s">
        <v>72</v>
      </c>
      <c r="I840" t="s">
        <v>9519</v>
      </c>
      <c r="J840" t="s">
        <v>9520</v>
      </c>
      <c r="K840" t="s">
        <v>36</v>
      </c>
      <c r="L840" t="s">
        <v>33</v>
      </c>
      <c r="M840">
        <v>10773811992</v>
      </c>
      <c r="N840" t="s">
        <v>299</v>
      </c>
      <c r="O840" t="s">
        <v>76</v>
      </c>
      <c r="P840" t="s">
        <v>38</v>
      </c>
      <c r="Q840" t="s">
        <v>300</v>
      </c>
      <c r="R840" t="s">
        <v>9521</v>
      </c>
      <c r="S840">
        <v>7470</v>
      </c>
      <c r="T840" t="s">
        <v>40</v>
      </c>
      <c r="U840">
        <f>+IF(Tabla1[[#This Row],[MONEDA]]="PEN",Tabla1[[#This Row],[MONTO]],Tabla1[[#This Row],[MONTO]]*3.56)</f>
        <v>7470</v>
      </c>
      <c r="X840" t="s">
        <v>81</v>
      </c>
      <c r="Y840" t="s">
        <v>42</v>
      </c>
      <c r="Z840" t="s">
        <v>82</v>
      </c>
      <c r="AA840" t="s">
        <v>9522</v>
      </c>
      <c r="AB840" t="s">
        <v>9523</v>
      </c>
      <c r="AC840" t="s">
        <v>9524</v>
      </c>
      <c r="AD840" t="s">
        <v>9525</v>
      </c>
      <c r="AE840">
        <v>7245.9</v>
      </c>
      <c r="AF840" t="s">
        <v>87</v>
      </c>
      <c r="AG840" t="s">
        <v>169</v>
      </c>
    </row>
    <row r="841" spans="1:33" hidden="1" x14ac:dyDescent="0.25">
      <c r="A841">
        <v>25661</v>
      </c>
      <c r="B841" t="s">
        <v>32</v>
      </c>
      <c r="C841">
        <v>1</v>
      </c>
      <c r="D841" t="s">
        <v>9646</v>
      </c>
      <c r="E841" t="s">
        <v>70</v>
      </c>
      <c r="F841" t="s">
        <v>33</v>
      </c>
      <c r="G841" t="s">
        <v>71</v>
      </c>
      <c r="H841" t="s">
        <v>72</v>
      </c>
      <c r="I841" t="s">
        <v>9631</v>
      </c>
      <c r="J841" t="s">
        <v>9647</v>
      </c>
      <c r="K841" t="s">
        <v>36</v>
      </c>
      <c r="L841" t="s">
        <v>33</v>
      </c>
      <c r="M841">
        <v>10773811992</v>
      </c>
      <c r="N841" t="s">
        <v>299</v>
      </c>
      <c r="O841" t="s">
        <v>76</v>
      </c>
      <c r="P841" t="s">
        <v>38</v>
      </c>
      <c r="Q841" t="s">
        <v>300</v>
      </c>
      <c r="R841" t="s">
        <v>9648</v>
      </c>
      <c r="S841">
        <v>3650</v>
      </c>
      <c r="T841" t="s">
        <v>40</v>
      </c>
      <c r="U841">
        <f>+IF(Tabla1[[#This Row],[MONEDA]]="PEN",Tabla1[[#This Row],[MONTO]],Tabla1[[#This Row],[MONTO]]*3.56)</f>
        <v>3650</v>
      </c>
      <c r="X841" t="s">
        <v>81</v>
      </c>
      <c r="Y841" t="s">
        <v>42</v>
      </c>
      <c r="Z841" t="s">
        <v>82</v>
      </c>
      <c r="AA841" t="s">
        <v>9649</v>
      </c>
      <c r="AB841" t="s">
        <v>9650</v>
      </c>
      <c r="AC841" t="s">
        <v>9651</v>
      </c>
      <c r="AD841" t="s">
        <v>9652</v>
      </c>
      <c r="AE841">
        <v>3540.5</v>
      </c>
      <c r="AF841" t="s">
        <v>87</v>
      </c>
      <c r="AG841" t="s">
        <v>169</v>
      </c>
    </row>
    <row r="842" spans="1:33" hidden="1" x14ac:dyDescent="0.25">
      <c r="A842">
        <v>24782</v>
      </c>
      <c r="B842" t="s">
        <v>32</v>
      </c>
      <c r="C842">
        <v>2</v>
      </c>
      <c r="D842" t="s">
        <v>10104</v>
      </c>
      <c r="E842" t="s">
        <v>70</v>
      </c>
      <c r="F842" t="s">
        <v>33</v>
      </c>
      <c r="G842" t="s">
        <v>71</v>
      </c>
      <c r="H842" t="s">
        <v>72</v>
      </c>
      <c r="I842" t="s">
        <v>10076</v>
      </c>
      <c r="J842" t="s">
        <v>10105</v>
      </c>
      <c r="K842" t="s">
        <v>36</v>
      </c>
      <c r="L842" t="s">
        <v>33</v>
      </c>
      <c r="M842">
        <v>10773811992</v>
      </c>
      <c r="N842" t="s">
        <v>299</v>
      </c>
      <c r="O842" t="s">
        <v>76</v>
      </c>
      <c r="P842" t="s">
        <v>38</v>
      </c>
      <c r="Q842" t="s">
        <v>300</v>
      </c>
      <c r="R842" t="s">
        <v>10106</v>
      </c>
      <c r="S842">
        <v>2600</v>
      </c>
      <c r="T842" t="s">
        <v>40</v>
      </c>
      <c r="U842">
        <f>+IF(Tabla1[[#This Row],[MONEDA]]="PEN",Tabla1[[#This Row],[MONTO]],Tabla1[[#This Row],[MONTO]]*3.56)</f>
        <v>2600</v>
      </c>
      <c r="X842" t="s">
        <v>81</v>
      </c>
      <c r="Y842" t="s">
        <v>42</v>
      </c>
      <c r="Z842" t="s">
        <v>43</v>
      </c>
      <c r="AA842" t="s">
        <v>10107</v>
      </c>
      <c r="AB842" t="s">
        <v>10108</v>
      </c>
      <c r="AC842" t="s">
        <v>10109</v>
      </c>
      <c r="AD842" t="s">
        <v>10110</v>
      </c>
      <c r="AE842">
        <v>2522</v>
      </c>
      <c r="AF842" t="s">
        <v>87</v>
      </c>
      <c r="AG842" t="s">
        <v>169</v>
      </c>
    </row>
    <row r="843" spans="1:33" hidden="1" x14ac:dyDescent="0.25">
      <c r="A843">
        <v>24254</v>
      </c>
      <c r="B843" t="s">
        <v>32</v>
      </c>
      <c r="C843">
        <v>1</v>
      </c>
      <c r="D843" t="s">
        <v>10325</v>
      </c>
      <c r="E843" t="s">
        <v>70</v>
      </c>
      <c r="F843" t="s">
        <v>33</v>
      </c>
      <c r="G843" t="s">
        <v>9422</v>
      </c>
      <c r="H843" t="s">
        <v>72</v>
      </c>
      <c r="I843" t="s">
        <v>10311</v>
      </c>
      <c r="J843" t="s">
        <v>10326</v>
      </c>
      <c r="K843" t="s">
        <v>36</v>
      </c>
      <c r="L843" t="s">
        <v>33</v>
      </c>
      <c r="M843">
        <v>10773811992</v>
      </c>
      <c r="N843" t="s">
        <v>299</v>
      </c>
      <c r="O843" t="s">
        <v>9423</v>
      </c>
      <c r="P843" t="s">
        <v>38</v>
      </c>
      <c r="Q843" t="s">
        <v>300</v>
      </c>
      <c r="R843" t="s">
        <v>10327</v>
      </c>
      <c r="S843">
        <v>7470</v>
      </c>
      <c r="T843" t="s">
        <v>40</v>
      </c>
      <c r="U843">
        <f>+IF(Tabla1[[#This Row],[MONEDA]]="PEN",Tabla1[[#This Row],[MONTO]],Tabla1[[#This Row],[MONTO]]*3.56)</f>
        <v>7470</v>
      </c>
      <c r="X843" t="s">
        <v>41</v>
      </c>
      <c r="Y843" t="s">
        <v>51</v>
      </c>
      <c r="Z843" t="s">
        <v>43</v>
      </c>
      <c r="AA843" t="s">
        <v>10328</v>
      </c>
      <c r="AB843" t="s">
        <v>10329</v>
      </c>
      <c r="AC843" t="s">
        <v>10330</v>
      </c>
      <c r="AD843" t="s">
        <v>10331</v>
      </c>
      <c r="AE843">
        <v>7245.9</v>
      </c>
      <c r="AF843" t="s">
        <v>87</v>
      </c>
      <c r="AG843" t="s">
        <v>169</v>
      </c>
    </row>
    <row r="844" spans="1:33" hidden="1" x14ac:dyDescent="0.25">
      <c r="A844">
        <v>23948</v>
      </c>
      <c r="B844" t="s">
        <v>32</v>
      </c>
      <c r="C844">
        <v>2</v>
      </c>
      <c r="D844" t="s">
        <v>10716</v>
      </c>
      <c r="E844" t="s">
        <v>70</v>
      </c>
      <c r="F844" t="s">
        <v>33</v>
      </c>
      <c r="G844" t="s">
        <v>71</v>
      </c>
      <c r="H844" t="s">
        <v>72</v>
      </c>
      <c r="I844" t="s">
        <v>10709</v>
      </c>
      <c r="J844" t="s">
        <v>10717</v>
      </c>
      <c r="K844" t="s">
        <v>36</v>
      </c>
      <c r="L844" t="s">
        <v>33</v>
      </c>
      <c r="M844">
        <v>10773811992</v>
      </c>
      <c r="N844" t="s">
        <v>299</v>
      </c>
      <c r="O844" t="s">
        <v>76</v>
      </c>
      <c r="P844" t="s">
        <v>38</v>
      </c>
      <c r="Q844" t="s">
        <v>300</v>
      </c>
      <c r="R844" t="s">
        <v>10718</v>
      </c>
      <c r="S844">
        <v>4398</v>
      </c>
      <c r="T844" t="s">
        <v>40</v>
      </c>
      <c r="U844">
        <f>+IF(Tabla1[[#This Row],[MONEDA]]="PEN",Tabla1[[#This Row],[MONTO]],Tabla1[[#This Row],[MONTO]]*3.56)</f>
        <v>4398</v>
      </c>
      <c r="X844" t="s">
        <v>81</v>
      </c>
      <c r="Y844" t="s">
        <v>42</v>
      </c>
      <c r="Z844" t="s">
        <v>43</v>
      </c>
      <c r="AA844" t="s">
        <v>10719</v>
      </c>
      <c r="AB844" t="s">
        <v>10720</v>
      </c>
      <c r="AC844" t="s">
        <v>10721</v>
      </c>
      <c r="AD844" t="s">
        <v>10722</v>
      </c>
      <c r="AE844">
        <v>4266.0600000000004</v>
      </c>
      <c r="AF844" t="s">
        <v>87</v>
      </c>
      <c r="AG844" t="s">
        <v>169</v>
      </c>
    </row>
    <row r="845" spans="1:33" hidden="1" x14ac:dyDescent="0.25">
      <c r="A845">
        <v>23796</v>
      </c>
      <c r="B845" t="s">
        <v>32</v>
      </c>
      <c r="C845">
        <v>1</v>
      </c>
      <c r="D845" t="s">
        <v>10971</v>
      </c>
      <c r="E845" t="s">
        <v>70</v>
      </c>
      <c r="F845" t="s">
        <v>33</v>
      </c>
      <c r="G845" t="s">
        <v>71</v>
      </c>
      <c r="H845" t="s">
        <v>72</v>
      </c>
      <c r="I845" t="s">
        <v>10950</v>
      </c>
      <c r="J845" t="s">
        <v>10972</v>
      </c>
      <c r="K845" t="s">
        <v>36</v>
      </c>
      <c r="L845" t="s">
        <v>33</v>
      </c>
      <c r="M845">
        <v>10773811992</v>
      </c>
      <c r="N845" t="s">
        <v>299</v>
      </c>
      <c r="O845" t="s">
        <v>76</v>
      </c>
      <c r="P845" t="s">
        <v>38</v>
      </c>
      <c r="Q845" t="s">
        <v>300</v>
      </c>
      <c r="R845" t="s">
        <v>10973</v>
      </c>
      <c r="S845">
        <v>7702.2</v>
      </c>
      <c r="T845" t="s">
        <v>40</v>
      </c>
      <c r="U845">
        <f>+IF(Tabla1[[#This Row],[MONEDA]]="PEN",Tabla1[[#This Row],[MONTO]],Tabla1[[#This Row],[MONTO]]*3.56)</f>
        <v>7702.2</v>
      </c>
      <c r="X845" t="s">
        <v>81</v>
      </c>
      <c r="Y845" t="s">
        <v>42</v>
      </c>
      <c r="Z845" t="s">
        <v>43</v>
      </c>
      <c r="AA845" t="s">
        <v>10974</v>
      </c>
      <c r="AB845" t="s">
        <v>10975</v>
      </c>
      <c r="AC845" t="s">
        <v>10976</v>
      </c>
      <c r="AD845" t="s">
        <v>10977</v>
      </c>
      <c r="AE845">
        <v>7471.13</v>
      </c>
      <c r="AF845" t="s">
        <v>87</v>
      </c>
      <c r="AG845" t="s">
        <v>169</v>
      </c>
    </row>
    <row r="846" spans="1:33" hidden="1" x14ac:dyDescent="0.25">
      <c r="A846">
        <v>23156</v>
      </c>
      <c r="B846" t="s">
        <v>32</v>
      </c>
      <c r="C846">
        <v>1</v>
      </c>
      <c r="D846" t="s">
        <v>11501</v>
      </c>
      <c r="E846" t="s">
        <v>70</v>
      </c>
      <c r="F846" t="s">
        <v>33</v>
      </c>
      <c r="G846" t="s">
        <v>71</v>
      </c>
      <c r="H846" t="s">
        <v>72</v>
      </c>
      <c r="I846" t="s">
        <v>11490</v>
      </c>
      <c r="J846" t="s">
        <v>11502</v>
      </c>
      <c r="K846" t="s">
        <v>36</v>
      </c>
      <c r="L846" t="s">
        <v>33</v>
      </c>
      <c r="M846">
        <v>10773811992</v>
      </c>
      <c r="N846" t="s">
        <v>299</v>
      </c>
      <c r="O846" t="s">
        <v>76</v>
      </c>
      <c r="P846" t="s">
        <v>38</v>
      </c>
      <c r="Q846" t="s">
        <v>300</v>
      </c>
      <c r="R846" t="s">
        <v>11503</v>
      </c>
      <c r="S846">
        <v>18525.5</v>
      </c>
      <c r="T846" t="s">
        <v>40</v>
      </c>
      <c r="U846">
        <f>+IF(Tabla1[[#This Row],[MONEDA]]="PEN",Tabla1[[#This Row],[MONTO]],Tabla1[[#This Row],[MONTO]]*3.56)</f>
        <v>18525.5</v>
      </c>
      <c r="X846" t="s">
        <v>81</v>
      </c>
      <c r="Y846" t="s">
        <v>42</v>
      </c>
      <c r="Z846" t="s">
        <v>82</v>
      </c>
      <c r="AA846" t="s">
        <v>11504</v>
      </c>
      <c r="AB846" t="s">
        <v>11505</v>
      </c>
      <c r="AC846" t="s">
        <v>11506</v>
      </c>
      <c r="AD846" t="s">
        <v>11507</v>
      </c>
      <c r="AE846">
        <v>17969.740000000002</v>
      </c>
      <c r="AF846" t="s">
        <v>87</v>
      </c>
      <c r="AG846" t="s">
        <v>169</v>
      </c>
    </row>
    <row r="847" spans="1:33" hidden="1" x14ac:dyDescent="0.25">
      <c r="A847">
        <v>21789</v>
      </c>
      <c r="B847" t="s">
        <v>32</v>
      </c>
      <c r="C847">
        <v>1</v>
      </c>
      <c r="D847" t="s">
        <v>12220</v>
      </c>
      <c r="E847" t="s">
        <v>70</v>
      </c>
      <c r="F847" t="s">
        <v>33</v>
      </c>
      <c r="G847" t="s">
        <v>71</v>
      </c>
      <c r="H847" t="s">
        <v>72</v>
      </c>
      <c r="I847" t="s">
        <v>12202</v>
      </c>
      <c r="J847" t="s">
        <v>12221</v>
      </c>
      <c r="K847" t="s">
        <v>36</v>
      </c>
      <c r="L847" t="s">
        <v>33</v>
      </c>
      <c r="M847">
        <v>10773811992</v>
      </c>
      <c r="N847" t="s">
        <v>299</v>
      </c>
      <c r="O847" t="s">
        <v>76</v>
      </c>
      <c r="P847" t="s">
        <v>38</v>
      </c>
      <c r="Q847" t="s">
        <v>300</v>
      </c>
      <c r="R847" t="s">
        <v>12222</v>
      </c>
      <c r="S847">
        <v>8971.4</v>
      </c>
      <c r="T847" t="s">
        <v>40</v>
      </c>
      <c r="U847">
        <f>+IF(Tabla1[[#This Row],[MONEDA]]="PEN",Tabla1[[#This Row],[MONTO]],Tabla1[[#This Row],[MONTO]]*3.56)</f>
        <v>8971.4</v>
      </c>
      <c r="X847" t="s">
        <v>81</v>
      </c>
      <c r="Y847" t="s">
        <v>42</v>
      </c>
      <c r="Z847" t="s">
        <v>43</v>
      </c>
      <c r="AA847" t="s">
        <v>12223</v>
      </c>
      <c r="AB847" t="s">
        <v>12224</v>
      </c>
      <c r="AC847" t="s">
        <v>12225</v>
      </c>
      <c r="AD847" t="s">
        <v>12226</v>
      </c>
      <c r="AE847">
        <v>8702.26</v>
      </c>
      <c r="AF847" t="s">
        <v>87</v>
      </c>
      <c r="AG847" t="s">
        <v>169</v>
      </c>
    </row>
    <row r="848" spans="1:33" hidden="1" x14ac:dyDescent="0.25">
      <c r="A848">
        <v>45227</v>
      </c>
      <c r="B848" t="s">
        <v>32</v>
      </c>
      <c r="C848">
        <v>2</v>
      </c>
      <c r="D848" t="s">
        <v>297</v>
      </c>
      <c r="E848" t="s">
        <v>45</v>
      </c>
      <c r="F848" t="s">
        <v>33</v>
      </c>
      <c r="G848" t="s">
        <v>71</v>
      </c>
      <c r="H848" t="s">
        <v>35</v>
      </c>
      <c r="I848" t="s">
        <v>275</v>
      </c>
      <c r="J848" t="s">
        <v>298</v>
      </c>
      <c r="K848" t="s">
        <v>36</v>
      </c>
      <c r="L848" t="s">
        <v>33</v>
      </c>
      <c r="M848">
        <v>10773811992</v>
      </c>
      <c r="N848" t="s">
        <v>299</v>
      </c>
      <c r="O848" t="s">
        <v>76</v>
      </c>
      <c r="P848" t="s">
        <v>38</v>
      </c>
      <c r="Q848" t="s">
        <v>300</v>
      </c>
      <c r="R848" t="s">
        <v>301</v>
      </c>
      <c r="S848">
        <v>1620</v>
      </c>
      <c r="T848" t="s">
        <v>40</v>
      </c>
      <c r="U848">
        <f>+IF(Tabla1[[#This Row],[MONEDA]]="PEN",Tabla1[[#This Row],[MONTO]],Tabla1[[#This Row],[MONTO]]*3.56)</f>
        <v>1620</v>
      </c>
      <c r="X848" t="s">
        <v>81</v>
      </c>
      <c r="Y848" t="s">
        <v>51</v>
      </c>
      <c r="Z848" t="s">
        <v>43</v>
      </c>
      <c r="AB848" t="s">
        <v>302</v>
      </c>
    </row>
    <row r="849" spans="1:33" hidden="1" x14ac:dyDescent="0.25">
      <c r="A849">
        <v>43136</v>
      </c>
      <c r="B849" t="s">
        <v>32</v>
      </c>
      <c r="C849">
        <v>1</v>
      </c>
      <c r="D849" t="s">
        <v>905</v>
      </c>
      <c r="E849" t="s">
        <v>70</v>
      </c>
      <c r="F849" t="s">
        <v>33</v>
      </c>
      <c r="G849" t="s">
        <v>71</v>
      </c>
      <c r="H849" t="s">
        <v>35</v>
      </c>
      <c r="I849" t="s">
        <v>906</v>
      </c>
      <c r="J849" t="s">
        <v>907</v>
      </c>
      <c r="K849" t="s">
        <v>36</v>
      </c>
      <c r="L849" t="s">
        <v>33</v>
      </c>
      <c r="M849">
        <v>20519917611</v>
      </c>
      <c r="N849" t="s">
        <v>908</v>
      </c>
      <c r="O849" t="s">
        <v>76</v>
      </c>
      <c r="P849" t="s">
        <v>38</v>
      </c>
      <c r="Q849">
        <v>5402491779027</v>
      </c>
      <c r="R849" t="s">
        <v>909</v>
      </c>
      <c r="S849">
        <v>485</v>
      </c>
      <c r="T849" t="s">
        <v>40</v>
      </c>
      <c r="U849">
        <f>+IF(Tabla1[[#This Row],[MONEDA]]="PEN",Tabla1[[#This Row],[MONTO]],Tabla1[[#This Row],[MONTO]]*3.56)</f>
        <v>485</v>
      </c>
      <c r="X849" t="s">
        <v>81</v>
      </c>
      <c r="Y849" t="s">
        <v>42</v>
      </c>
      <c r="Z849" t="s">
        <v>82</v>
      </c>
      <c r="AA849" t="s">
        <v>910</v>
      </c>
      <c r="AB849" t="s">
        <v>911</v>
      </c>
      <c r="AC849" t="s">
        <v>912</v>
      </c>
      <c r="AD849" t="s">
        <v>913</v>
      </c>
      <c r="AE849">
        <v>485</v>
      </c>
      <c r="AF849" t="s">
        <v>87</v>
      </c>
      <c r="AG849" t="s">
        <v>169</v>
      </c>
    </row>
    <row r="850" spans="1:33" hidden="1" x14ac:dyDescent="0.25">
      <c r="A850">
        <v>37491</v>
      </c>
      <c r="B850" t="s">
        <v>32</v>
      </c>
      <c r="C850">
        <v>1</v>
      </c>
      <c r="D850" t="s">
        <v>3376</v>
      </c>
      <c r="E850" t="s">
        <v>70</v>
      </c>
      <c r="F850" t="s">
        <v>33</v>
      </c>
      <c r="G850" t="s">
        <v>71</v>
      </c>
      <c r="H850" t="s">
        <v>35</v>
      </c>
      <c r="I850" t="s">
        <v>3352</v>
      </c>
      <c r="J850" t="s">
        <v>3377</v>
      </c>
      <c r="K850" t="s">
        <v>36</v>
      </c>
      <c r="L850" t="s">
        <v>33</v>
      </c>
      <c r="M850">
        <v>20519917611</v>
      </c>
      <c r="N850" t="s">
        <v>908</v>
      </c>
      <c r="O850" t="s">
        <v>76</v>
      </c>
      <c r="P850" t="s">
        <v>38</v>
      </c>
      <c r="Q850">
        <v>5402491779027</v>
      </c>
      <c r="R850" t="s">
        <v>3378</v>
      </c>
      <c r="S850">
        <v>2599</v>
      </c>
      <c r="T850" t="s">
        <v>40</v>
      </c>
      <c r="U850">
        <f>+IF(Tabla1[[#This Row],[MONEDA]]="PEN",Tabla1[[#This Row],[MONTO]],Tabla1[[#This Row],[MONTO]]*3.56)</f>
        <v>2599</v>
      </c>
      <c r="X850" t="s">
        <v>81</v>
      </c>
      <c r="Y850" t="s">
        <v>42</v>
      </c>
      <c r="Z850" t="s">
        <v>82</v>
      </c>
      <c r="AA850" t="s">
        <v>3379</v>
      </c>
      <c r="AB850" t="s">
        <v>3380</v>
      </c>
      <c r="AC850" t="s">
        <v>3381</v>
      </c>
      <c r="AD850" t="s">
        <v>3382</v>
      </c>
      <c r="AE850">
        <v>2599</v>
      </c>
      <c r="AF850" t="s">
        <v>87</v>
      </c>
      <c r="AG850" t="s">
        <v>169</v>
      </c>
    </row>
    <row r="851" spans="1:33" x14ac:dyDescent="0.25">
      <c r="A851">
        <v>21074</v>
      </c>
      <c r="B851" t="s">
        <v>32</v>
      </c>
      <c r="C851">
        <v>1</v>
      </c>
      <c r="D851" t="s">
        <v>12706</v>
      </c>
      <c r="E851" t="s">
        <v>70</v>
      </c>
      <c r="F851" t="s">
        <v>6276</v>
      </c>
      <c r="G851" t="s">
        <v>11637</v>
      </c>
      <c r="H851" t="s">
        <v>72</v>
      </c>
      <c r="I851" t="s">
        <v>12692</v>
      </c>
      <c r="J851" t="s">
        <v>12707</v>
      </c>
      <c r="K851" t="s">
        <v>36</v>
      </c>
      <c r="L851" t="s">
        <v>33</v>
      </c>
      <c r="M851">
        <v>20519917611</v>
      </c>
      <c r="N851" t="s">
        <v>908</v>
      </c>
      <c r="O851" t="s">
        <v>6277</v>
      </c>
      <c r="P851" t="s">
        <v>38</v>
      </c>
      <c r="Q851">
        <v>5402491779027</v>
      </c>
      <c r="R851" t="s">
        <v>12708</v>
      </c>
      <c r="S851">
        <v>5600</v>
      </c>
      <c r="T851" t="s">
        <v>40</v>
      </c>
      <c r="U851">
        <f>+IF(Tabla1[[#This Row],[MONEDA]]="PEN",Tabla1[[#This Row],[MONTO]],Tabla1[[#This Row],[MONTO]]*3.56)</f>
        <v>5600</v>
      </c>
      <c r="X851" t="s">
        <v>41</v>
      </c>
      <c r="Y851" t="s">
        <v>42</v>
      </c>
      <c r="Z851" t="s">
        <v>82</v>
      </c>
      <c r="AA851" t="s">
        <v>12709</v>
      </c>
      <c r="AB851" t="s">
        <v>12710</v>
      </c>
      <c r="AC851" t="s">
        <v>12711</v>
      </c>
      <c r="AD851" t="s">
        <v>12712</v>
      </c>
      <c r="AE851">
        <v>5600</v>
      </c>
      <c r="AF851" t="s">
        <v>87</v>
      </c>
      <c r="AG851" t="s">
        <v>169</v>
      </c>
    </row>
    <row r="852" spans="1:33" hidden="1" x14ac:dyDescent="0.25">
      <c r="A852">
        <v>45700</v>
      </c>
      <c r="B852" t="s">
        <v>32</v>
      </c>
      <c r="C852">
        <v>1</v>
      </c>
      <c r="D852" t="s">
        <v>178</v>
      </c>
      <c r="E852" t="s">
        <v>70</v>
      </c>
      <c r="F852" t="s">
        <v>33</v>
      </c>
      <c r="G852" t="s">
        <v>71</v>
      </c>
      <c r="H852" t="s">
        <v>35</v>
      </c>
      <c r="I852" t="s">
        <v>179</v>
      </c>
      <c r="J852" t="s">
        <v>180</v>
      </c>
      <c r="K852" t="s">
        <v>36</v>
      </c>
      <c r="L852" t="s">
        <v>33</v>
      </c>
      <c r="M852">
        <v>10468722611</v>
      </c>
      <c r="N852" t="s">
        <v>181</v>
      </c>
      <c r="O852" t="s">
        <v>76</v>
      </c>
      <c r="P852" t="s">
        <v>38</v>
      </c>
      <c r="Q852" t="s">
        <v>182</v>
      </c>
      <c r="R852" t="s">
        <v>183</v>
      </c>
      <c r="S852">
        <v>331.5</v>
      </c>
      <c r="T852" t="s">
        <v>40</v>
      </c>
      <c r="U852">
        <f>+IF(Tabla1[[#This Row],[MONEDA]]="PEN",Tabla1[[#This Row],[MONTO]],Tabla1[[#This Row],[MONTO]]*3.56)</f>
        <v>331.5</v>
      </c>
      <c r="X852" t="s">
        <v>81</v>
      </c>
      <c r="Y852" t="s">
        <v>51</v>
      </c>
      <c r="Z852" t="s">
        <v>43</v>
      </c>
      <c r="AA852" t="s">
        <v>184</v>
      </c>
      <c r="AB852" t="s">
        <v>185</v>
      </c>
      <c r="AC852" t="s">
        <v>186</v>
      </c>
      <c r="AE852">
        <v>331.5</v>
      </c>
      <c r="AF852" t="s">
        <v>87</v>
      </c>
      <c r="AG852" t="s">
        <v>169</v>
      </c>
    </row>
    <row r="853" spans="1:33" hidden="1" x14ac:dyDescent="0.25">
      <c r="A853">
        <v>44906</v>
      </c>
      <c r="B853" t="s">
        <v>32</v>
      </c>
      <c r="C853">
        <v>2</v>
      </c>
      <c r="D853" t="s">
        <v>451</v>
      </c>
      <c r="E853" t="s">
        <v>70</v>
      </c>
      <c r="F853" t="s">
        <v>33</v>
      </c>
      <c r="G853" t="s">
        <v>71</v>
      </c>
      <c r="H853" t="s">
        <v>72</v>
      </c>
      <c r="I853" t="s">
        <v>437</v>
      </c>
      <c r="J853" t="s">
        <v>452</v>
      </c>
      <c r="K853" t="s">
        <v>36</v>
      </c>
      <c r="L853" t="s">
        <v>33</v>
      </c>
      <c r="M853">
        <v>10468722611</v>
      </c>
      <c r="N853" t="s">
        <v>181</v>
      </c>
      <c r="O853" t="s">
        <v>76</v>
      </c>
      <c r="P853" t="s">
        <v>38</v>
      </c>
      <c r="Q853" t="s">
        <v>182</v>
      </c>
      <c r="R853" t="s">
        <v>453</v>
      </c>
      <c r="S853">
        <v>2128.86</v>
      </c>
      <c r="T853" t="s">
        <v>40</v>
      </c>
      <c r="U853">
        <f>+IF(Tabla1[[#This Row],[MONEDA]]="PEN",Tabla1[[#This Row],[MONTO]],Tabla1[[#This Row],[MONTO]]*3.56)</f>
        <v>2128.86</v>
      </c>
      <c r="X853" t="s">
        <v>81</v>
      </c>
      <c r="Y853" t="s">
        <v>42</v>
      </c>
      <c r="Z853" t="s">
        <v>82</v>
      </c>
      <c r="AA853" t="s">
        <v>329</v>
      </c>
      <c r="AB853" t="s">
        <v>454</v>
      </c>
      <c r="AC853" t="s">
        <v>455</v>
      </c>
      <c r="AD853" t="s">
        <v>456</v>
      </c>
      <c r="AE853">
        <v>2064.9899999999998</v>
      </c>
      <c r="AF853" t="s">
        <v>87</v>
      </c>
      <c r="AG853" t="s">
        <v>169</v>
      </c>
    </row>
    <row r="854" spans="1:33" hidden="1" x14ac:dyDescent="0.25">
      <c r="A854">
        <v>43946</v>
      </c>
      <c r="B854" t="s">
        <v>32</v>
      </c>
      <c r="C854">
        <v>1</v>
      </c>
      <c r="D854" t="s">
        <v>627</v>
      </c>
      <c r="E854" t="s">
        <v>70</v>
      </c>
      <c r="F854" t="s">
        <v>33</v>
      </c>
      <c r="G854" t="s">
        <v>71</v>
      </c>
      <c r="H854" t="s">
        <v>35</v>
      </c>
      <c r="I854" t="s">
        <v>618</v>
      </c>
      <c r="J854" t="s">
        <v>628</v>
      </c>
      <c r="K854" t="s">
        <v>36</v>
      </c>
      <c r="L854" t="s">
        <v>33</v>
      </c>
      <c r="M854">
        <v>10468722611</v>
      </c>
      <c r="N854" t="s">
        <v>181</v>
      </c>
      <c r="O854" t="s">
        <v>76</v>
      </c>
      <c r="P854" t="s">
        <v>38</v>
      </c>
      <c r="Q854" t="s">
        <v>182</v>
      </c>
      <c r="R854" t="s">
        <v>629</v>
      </c>
      <c r="S854">
        <v>1903.09</v>
      </c>
      <c r="T854" t="s">
        <v>40</v>
      </c>
      <c r="U854">
        <f>+IF(Tabla1[[#This Row],[MONEDA]]="PEN",Tabla1[[#This Row],[MONTO]],Tabla1[[#This Row],[MONTO]]*3.56)</f>
        <v>1903.09</v>
      </c>
      <c r="X854" t="s">
        <v>81</v>
      </c>
      <c r="Y854" t="s">
        <v>42</v>
      </c>
      <c r="Z854" t="s">
        <v>82</v>
      </c>
      <c r="AA854" t="s">
        <v>630</v>
      </c>
      <c r="AB854" t="s">
        <v>631</v>
      </c>
      <c r="AC854" t="s">
        <v>632</v>
      </c>
      <c r="AD854" t="s">
        <v>633</v>
      </c>
      <c r="AE854">
        <v>1846</v>
      </c>
      <c r="AF854" t="s">
        <v>87</v>
      </c>
      <c r="AG854" t="s">
        <v>169</v>
      </c>
    </row>
    <row r="855" spans="1:33" hidden="1" x14ac:dyDescent="0.25">
      <c r="A855">
        <v>42266</v>
      </c>
      <c r="B855" t="s">
        <v>32</v>
      </c>
      <c r="C855">
        <v>1</v>
      </c>
      <c r="D855" t="s">
        <v>1182</v>
      </c>
      <c r="E855" t="s">
        <v>70</v>
      </c>
      <c r="F855" t="s">
        <v>33</v>
      </c>
      <c r="G855" t="s">
        <v>71</v>
      </c>
      <c r="H855" t="s">
        <v>35</v>
      </c>
      <c r="I855" t="s">
        <v>1120</v>
      </c>
      <c r="J855" t="s">
        <v>1183</v>
      </c>
      <c r="K855" t="s">
        <v>36</v>
      </c>
      <c r="L855" t="s">
        <v>33</v>
      </c>
      <c r="M855">
        <v>10468722611</v>
      </c>
      <c r="N855" t="s">
        <v>181</v>
      </c>
      <c r="O855" t="s">
        <v>76</v>
      </c>
      <c r="P855" t="s">
        <v>38</v>
      </c>
      <c r="Q855" t="s">
        <v>182</v>
      </c>
      <c r="R855" t="s">
        <v>1184</v>
      </c>
      <c r="S855">
        <v>997</v>
      </c>
      <c r="T855" t="s">
        <v>40</v>
      </c>
      <c r="U855">
        <f>+IF(Tabla1[[#This Row],[MONEDA]]="PEN",Tabla1[[#This Row],[MONTO]],Tabla1[[#This Row],[MONTO]]*3.56)</f>
        <v>997</v>
      </c>
      <c r="X855" t="s">
        <v>81</v>
      </c>
      <c r="Y855" t="s">
        <v>42</v>
      </c>
      <c r="Z855" t="s">
        <v>82</v>
      </c>
      <c r="AA855" t="s">
        <v>1185</v>
      </c>
      <c r="AB855" t="s">
        <v>1186</v>
      </c>
      <c r="AC855" t="s">
        <v>1187</v>
      </c>
      <c r="AD855" t="s">
        <v>1188</v>
      </c>
      <c r="AE855">
        <v>967.09</v>
      </c>
      <c r="AF855" t="s">
        <v>87</v>
      </c>
      <c r="AG855" t="s">
        <v>169</v>
      </c>
    </row>
    <row r="856" spans="1:33" hidden="1" x14ac:dyDescent="0.25">
      <c r="A856">
        <v>41420</v>
      </c>
      <c r="B856" t="s">
        <v>32</v>
      </c>
      <c r="C856">
        <v>1</v>
      </c>
      <c r="D856" t="s">
        <v>1433</v>
      </c>
      <c r="E856" t="s">
        <v>70</v>
      </c>
      <c r="F856" t="s">
        <v>33</v>
      </c>
      <c r="G856" t="s">
        <v>71</v>
      </c>
      <c r="H856" t="s">
        <v>35</v>
      </c>
      <c r="I856" t="s">
        <v>1433</v>
      </c>
      <c r="J856" t="s">
        <v>1434</v>
      </c>
      <c r="K856" t="s">
        <v>36</v>
      </c>
      <c r="L856" t="s">
        <v>33</v>
      </c>
      <c r="M856">
        <v>10468722611</v>
      </c>
      <c r="N856" t="s">
        <v>181</v>
      </c>
      <c r="O856" t="s">
        <v>76</v>
      </c>
      <c r="R856" t="s">
        <v>1435</v>
      </c>
      <c r="S856">
        <v>68.5</v>
      </c>
      <c r="T856" t="s">
        <v>40</v>
      </c>
      <c r="U856">
        <f>+IF(Tabla1[[#This Row],[MONEDA]]="PEN",Tabla1[[#This Row],[MONTO]],Tabla1[[#This Row],[MONTO]]*3.56)</f>
        <v>68.5</v>
      </c>
      <c r="V856" t="s">
        <v>190</v>
      </c>
      <c r="W856">
        <v>39699</v>
      </c>
      <c r="X856" t="s">
        <v>81</v>
      </c>
      <c r="Y856" t="s">
        <v>42</v>
      </c>
      <c r="Z856" t="s">
        <v>43</v>
      </c>
      <c r="AA856" t="s">
        <v>1436</v>
      </c>
      <c r="AC856" t="s">
        <v>1437</v>
      </c>
      <c r="AD856" t="s">
        <v>1438</v>
      </c>
    </row>
    <row r="857" spans="1:33" hidden="1" x14ac:dyDescent="0.25">
      <c r="A857">
        <v>41052</v>
      </c>
      <c r="B857" t="s">
        <v>32</v>
      </c>
      <c r="C857">
        <v>1</v>
      </c>
      <c r="D857" t="s">
        <v>1670</v>
      </c>
      <c r="E857" t="s">
        <v>70</v>
      </c>
      <c r="F857" t="s">
        <v>33</v>
      </c>
      <c r="G857" t="s">
        <v>71</v>
      </c>
      <c r="H857" t="s">
        <v>35</v>
      </c>
      <c r="I857" t="s">
        <v>1663</v>
      </c>
      <c r="J857" t="s">
        <v>1671</v>
      </c>
      <c r="K857" t="s">
        <v>36</v>
      </c>
      <c r="L857" t="s">
        <v>33</v>
      </c>
      <c r="M857">
        <v>10468722611</v>
      </c>
      <c r="N857" t="s">
        <v>181</v>
      </c>
      <c r="O857" t="s">
        <v>76</v>
      </c>
      <c r="P857" t="s">
        <v>38</v>
      </c>
      <c r="Q857" t="s">
        <v>182</v>
      </c>
      <c r="R857" t="s">
        <v>1672</v>
      </c>
      <c r="S857">
        <v>639.79999999999995</v>
      </c>
      <c r="T857" t="s">
        <v>40</v>
      </c>
      <c r="U857">
        <f>+IF(Tabla1[[#This Row],[MONEDA]]="PEN",Tabla1[[#This Row],[MONTO]],Tabla1[[#This Row],[MONTO]]*3.56)</f>
        <v>639.79999999999995</v>
      </c>
      <c r="X857" t="s">
        <v>81</v>
      </c>
      <c r="Y857" t="s">
        <v>42</v>
      </c>
      <c r="Z857" t="s">
        <v>82</v>
      </c>
      <c r="AA857" t="s">
        <v>1673</v>
      </c>
      <c r="AB857" t="s">
        <v>1674</v>
      </c>
      <c r="AC857" t="s">
        <v>1675</v>
      </c>
      <c r="AD857" t="s">
        <v>1676</v>
      </c>
      <c r="AE857">
        <v>639.79999999999995</v>
      </c>
      <c r="AF857" t="s">
        <v>87</v>
      </c>
      <c r="AG857" t="s">
        <v>169</v>
      </c>
    </row>
    <row r="858" spans="1:33" hidden="1" x14ac:dyDescent="0.25">
      <c r="A858">
        <v>21793</v>
      </c>
      <c r="B858" t="s">
        <v>32</v>
      </c>
      <c r="C858">
        <v>1</v>
      </c>
      <c r="D858" t="s">
        <v>12243</v>
      </c>
      <c r="E858" t="s">
        <v>70</v>
      </c>
      <c r="F858" t="s">
        <v>33</v>
      </c>
      <c r="G858" t="s">
        <v>71</v>
      </c>
      <c r="H858" t="s">
        <v>72</v>
      </c>
      <c r="I858" t="s">
        <v>12202</v>
      </c>
      <c r="J858" t="s">
        <v>12244</v>
      </c>
      <c r="K858" t="s">
        <v>36</v>
      </c>
      <c r="L858" t="s">
        <v>33</v>
      </c>
      <c r="M858">
        <v>10468722611</v>
      </c>
      <c r="N858" t="s">
        <v>181</v>
      </c>
      <c r="O858" t="s">
        <v>76</v>
      </c>
      <c r="P858" t="s">
        <v>38</v>
      </c>
      <c r="Q858" t="s">
        <v>182</v>
      </c>
      <c r="R858" t="s">
        <v>12245</v>
      </c>
      <c r="S858">
        <v>1509.9</v>
      </c>
      <c r="T858" t="s">
        <v>40</v>
      </c>
      <c r="U858">
        <f>+IF(Tabla1[[#This Row],[MONEDA]]="PEN",Tabla1[[#This Row],[MONTO]],Tabla1[[#This Row],[MONTO]]*3.56)</f>
        <v>1509.9</v>
      </c>
      <c r="X858" t="s">
        <v>81</v>
      </c>
      <c r="Y858" t="s">
        <v>42</v>
      </c>
      <c r="Z858" t="s">
        <v>43</v>
      </c>
      <c r="AA858" t="s">
        <v>12246</v>
      </c>
      <c r="AB858" t="s">
        <v>12247</v>
      </c>
      <c r="AC858" t="s">
        <v>12248</v>
      </c>
      <c r="AD858" t="s">
        <v>12249</v>
      </c>
      <c r="AE858">
        <v>1464.6</v>
      </c>
      <c r="AF858" t="s">
        <v>87</v>
      </c>
      <c r="AG858" t="s">
        <v>169</v>
      </c>
    </row>
    <row r="859" spans="1:33" hidden="1" x14ac:dyDescent="0.25">
      <c r="A859">
        <v>21620</v>
      </c>
      <c r="B859" t="s">
        <v>32</v>
      </c>
      <c r="C859">
        <v>1</v>
      </c>
      <c r="D859" t="s">
        <v>12354</v>
      </c>
      <c r="E859" t="s">
        <v>70</v>
      </c>
      <c r="F859" t="s">
        <v>33</v>
      </c>
      <c r="G859" t="s">
        <v>71</v>
      </c>
      <c r="H859" t="s">
        <v>72</v>
      </c>
      <c r="I859" t="s">
        <v>12320</v>
      </c>
      <c r="J859" t="s">
        <v>12355</v>
      </c>
      <c r="K859" t="s">
        <v>36</v>
      </c>
      <c r="L859" t="s">
        <v>33</v>
      </c>
      <c r="M859">
        <v>10468722611</v>
      </c>
      <c r="N859" t="s">
        <v>181</v>
      </c>
      <c r="O859" t="s">
        <v>76</v>
      </c>
      <c r="P859" t="s">
        <v>38</v>
      </c>
      <c r="Q859" t="s">
        <v>182</v>
      </c>
      <c r="R859" t="s">
        <v>12356</v>
      </c>
      <c r="S859">
        <v>3301.2</v>
      </c>
      <c r="T859" t="s">
        <v>40</v>
      </c>
      <c r="U859">
        <f>+IF(Tabla1[[#This Row],[MONEDA]]="PEN",Tabla1[[#This Row],[MONTO]],Tabla1[[#This Row],[MONTO]]*3.56)</f>
        <v>3301.2</v>
      </c>
      <c r="X859" t="s">
        <v>81</v>
      </c>
      <c r="Y859" t="s">
        <v>42</v>
      </c>
      <c r="Z859" t="s">
        <v>43</v>
      </c>
      <c r="AA859" t="s">
        <v>12357</v>
      </c>
      <c r="AB859" t="s">
        <v>12358</v>
      </c>
      <c r="AC859" t="s">
        <v>12359</v>
      </c>
      <c r="AD859" t="s">
        <v>12360</v>
      </c>
      <c r="AE859">
        <v>3202.16</v>
      </c>
      <c r="AF859" t="s">
        <v>87</v>
      </c>
      <c r="AG859" t="s">
        <v>169</v>
      </c>
    </row>
    <row r="860" spans="1:33" hidden="1" x14ac:dyDescent="0.25">
      <c r="A860">
        <v>21251</v>
      </c>
      <c r="B860" t="s">
        <v>32</v>
      </c>
      <c r="C860">
        <v>1</v>
      </c>
      <c r="D860" t="s">
        <v>12607</v>
      </c>
      <c r="E860" t="s">
        <v>70</v>
      </c>
      <c r="F860" t="s">
        <v>33</v>
      </c>
      <c r="G860" t="s">
        <v>71</v>
      </c>
      <c r="H860" t="s">
        <v>72</v>
      </c>
      <c r="I860" t="s">
        <v>12608</v>
      </c>
      <c r="J860" t="s">
        <v>12609</v>
      </c>
      <c r="K860" t="s">
        <v>36</v>
      </c>
      <c r="L860" t="s">
        <v>33</v>
      </c>
      <c r="M860">
        <v>10424116250</v>
      </c>
      <c r="N860" t="s">
        <v>12610</v>
      </c>
      <c r="O860" t="s">
        <v>76</v>
      </c>
      <c r="P860" t="s">
        <v>38</v>
      </c>
      <c r="Q860">
        <v>21596172705042</v>
      </c>
      <c r="R860" t="s">
        <v>12611</v>
      </c>
      <c r="S860">
        <v>900</v>
      </c>
      <c r="T860" t="s">
        <v>40</v>
      </c>
      <c r="U860">
        <f>+IF(Tabla1[[#This Row],[MONEDA]]="PEN",Tabla1[[#This Row],[MONTO]],Tabla1[[#This Row],[MONTO]]*3.56)</f>
        <v>900</v>
      </c>
      <c r="X860" t="s">
        <v>41</v>
      </c>
      <c r="Y860" t="s">
        <v>42</v>
      </c>
      <c r="Z860" t="s">
        <v>82</v>
      </c>
      <c r="AA860" t="s">
        <v>12612</v>
      </c>
      <c r="AB860" t="s">
        <v>12613</v>
      </c>
      <c r="AC860" t="s">
        <v>12614</v>
      </c>
      <c r="AD860" t="s">
        <v>12615</v>
      </c>
      <c r="AE860">
        <v>864</v>
      </c>
      <c r="AF860" t="s">
        <v>87</v>
      </c>
      <c r="AG860" t="s">
        <v>169</v>
      </c>
    </row>
    <row r="861" spans="1:33" x14ac:dyDescent="0.25">
      <c r="A861">
        <v>36224</v>
      </c>
      <c r="B861" t="s">
        <v>32</v>
      </c>
      <c r="C861">
        <v>1</v>
      </c>
      <c r="D861" t="s">
        <v>3956</v>
      </c>
      <c r="E861" t="s">
        <v>70</v>
      </c>
      <c r="F861" t="s">
        <v>90</v>
      </c>
      <c r="G861" t="s">
        <v>91</v>
      </c>
      <c r="H861" t="s">
        <v>35</v>
      </c>
      <c r="I861" t="s">
        <v>3957</v>
      </c>
      <c r="J861" t="s">
        <v>3958</v>
      </c>
      <c r="K861" t="s">
        <v>36</v>
      </c>
      <c r="L861" t="s">
        <v>33</v>
      </c>
      <c r="M861">
        <v>20607229962</v>
      </c>
      <c r="N861" t="s">
        <v>3537</v>
      </c>
      <c r="P861" t="s">
        <v>38</v>
      </c>
      <c r="Q861" t="s">
        <v>3538</v>
      </c>
      <c r="R861" t="s">
        <v>3959</v>
      </c>
      <c r="S861">
        <v>212.4</v>
      </c>
      <c r="T861" t="s">
        <v>40</v>
      </c>
      <c r="U861">
        <f>+IF(Tabla1[[#This Row],[MONEDA]]="PEN",Tabla1[[#This Row],[MONTO]],Tabla1[[#This Row],[MONTO]]*3.56)</f>
        <v>212.4</v>
      </c>
      <c r="X861" t="s">
        <v>41</v>
      </c>
      <c r="Y861" t="s">
        <v>42</v>
      </c>
      <c r="Z861" t="s">
        <v>43</v>
      </c>
      <c r="AA861" t="s">
        <v>3960</v>
      </c>
      <c r="AB861" t="s">
        <v>3961</v>
      </c>
      <c r="AC861" t="s">
        <v>3962</v>
      </c>
      <c r="AD861" t="s">
        <v>3963</v>
      </c>
      <c r="AE861">
        <v>212.4</v>
      </c>
      <c r="AF861" t="s">
        <v>87</v>
      </c>
      <c r="AG861" t="s">
        <v>169</v>
      </c>
    </row>
    <row r="862" spans="1:33" x14ac:dyDescent="0.25">
      <c r="A862">
        <v>27447</v>
      </c>
      <c r="B862" t="s">
        <v>32</v>
      </c>
      <c r="C862">
        <v>1</v>
      </c>
      <c r="D862" t="s">
        <v>8265</v>
      </c>
      <c r="E862" t="s">
        <v>70</v>
      </c>
      <c r="F862" t="s">
        <v>5328</v>
      </c>
      <c r="G862" t="s">
        <v>5329</v>
      </c>
      <c r="H862" t="s">
        <v>72</v>
      </c>
      <c r="I862" t="s">
        <v>8258</v>
      </c>
      <c r="J862" t="s">
        <v>8266</v>
      </c>
      <c r="K862" t="s">
        <v>36</v>
      </c>
      <c r="L862" t="s">
        <v>33</v>
      </c>
      <c r="M862">
        <v>20607229962</v>
      </c>
      <c r="N862" t="s">
        <v>3537</v>
      </c>
      <c r="O862" t="s">
        <v>6159</v>
      </c>
      <c r="P862" t="s">
        <v>38</v>
      </c>
      <c r="Q862" t="s">
        <v>3538</v>
      </c>
      <c r="R862" t="s">
        <v>8267</v>
      </c>
      <c r="S862">
        <v>389.4</v>
      </c>
      <c r="T862" t="s">
        <v>40</v>
      </c>
      <c r="U862">
        <f>+IF(Tabla1[[#This Row],[MONEDA]]="PEN",Tabla1[[#This Row],[MONTO]],Tabla1[[#This Row],[MONTO]]*3.56)</f>
        <v>389.4</v>
      </c>
      <c r="X862" t="s">
        <v>81</v>
      </c>
      <c r="Y862" t="s">
        <v>42</v>
      </c>
      <c r="Z862" t="s">
        <v>43</v>
      </c>
      <c r="AA862" t="s">
        <v>8268</v>
      </c>
      <c r="AB862" t="s">
        <v>8269</v>
      </c>
      <c r="AC862" t="s">
        <v>8270</v>
      </c>
      <c r="AD862" t="s">
        <v>8271</v>
      </c>
      <c r="AE862">
        <v>389.4</v>
      </c>
      <c r="AF862" t="s">
        <v>87</v>
      </c>
      <c r="AG862" t="s">
        <v>169</v>
      </c>
    </row>
    <row r="863" spans="1:33" x14ac:dyDescent="0.25">
      <c r="A863">
        <v>27448</v>
      </c>
      <c r="B863" t="s">
        <v>32</v>
      </c>
      <c r="C863">
        <v>1</v>
      </c>
      <c r="D863" t="s">
        <v>8272</v>
      </c>
      <c r="E863" t="s">
        <v>70</v>
      </c>
      <c r="F863" t="s">
        <v>5328</v>
      </c>
      <c r="G863" t="s">
        <v>5329</v>
      </c>
      <c r="H863" t="s">
        <v>72</v>
      </c>
      <c r="I863" t="s">
        <v>8258</v>
      </c>
      <c r="J863" t="s">
        <v>8273</v>
      </c>
      <c r="K863" t="s">
        <v>36</v>
      </c>
      <c r="L863" t="s">
        <v>33</v>
      </c>
      <c r="M863">
        <v>20607229962</v>
      </c>
      <c r="N863" t="s">
        <v>3537</v>
      </c>
      <c r="O863" t="s">
        <v>6159</v>
      </c>
      <c r="P863" t="s">
        <v>38</v>
      </c>
      <c r="Q863" t="s">
        <v>3538</v>
      </c>
      <c r="R863" t="s">
        <v>8274</v>
      </c>
      <c r="S863">
        <v>490.88</v>
      </c>
      <c r="T863" t="s">
        <v>40</v>
      </c>
      <c r="U863">
        <f>+IF(Tabla1[[#This Row],[MONEDA]]="PEN",Tabla1[[#This Row],[MONTO]],Tabla1[[#This Row],[MONTO]]*3.56)</f>
        <v>490.88</v>
      </c>
      <c r="X863" t="s">
        <v>81</v>
      </c>
      <c r="Y863" t="s">
        <v>42</v>
      </c>
      <c r="Z863" t="s">
        <v>43</v>
      </c>
      <c r="AA863" t="s">
        <v>8275</v>
      </c>
      <c r="AB863" t="s">
        <v>8276</v>
      </c>
      <c r="AC863" t="s">
        <v>8277</v>
      </c>
      <c r="AD863" t="s">
        <v>8278</v>
      </c>
      <c r="AE863">
        <v>490.88</v>
      </c>
      <c r="AF863" t="s">
        <v>87</v>
      </c>
      <c r="AG863" t="s">
        <v>169</v>
      </c>
    </row>
    <row r="864" spans="1:33" x14ac:dyDescent="0.25">
      <c r="A864">
        <v>27188</v>
      </c>
      <c r="B864" t="s">
        <v>32</v>
      </c>
      <c r="C864">
        <v>1</v>
      </c>
      <c r="D864" t="s">
        <v>8460</v>
      </c>
      <c r="E864" t="s">
        <v>70</v>
      </c>
      <c r="F864" t="s">
        <v>5328</v>
      </c>
      <c r="G864" t="s">
        <v>5329</v>
      </c>
      <c r="H864" t="s">
        <v>72</v>
      </c>
      <c r="I864" t="s">
        <v>8461</v>
      </c>
      <c r="J864" t="s">
        <v>8462</v>
      </c>
      <c r="K864" t="s">
        <v>36</v>
      </c>
      <c r="L864" t="s">
        <v>33</v>
      </c>
      <c r="M864">
        <v>20607229962</v>
      </c>
      <c r="N864" t="s">
        <v>3537</v>
      </c>
      <c r="O864" t="s">
        <v>6159</v>
      </c>
      <c r="P864" t="s">
        <v>38</v>
      </c>
      <c r="Q864" t="s">
        <v>3538</v>
      </c>
      <c r="R864" t="s">
        <v>8463</v>
      </c>
      <c r="S864">
        <v>130</v>
      </c>
      <c r="T864" t="s">
        <v>40</v>
      </c>
      <c r="U864">
        <f>+IF(Tabla1[[#This Row],[MONEDA]]="PEN",Tabla1[[#This Row],[MONTO]],Tabla1[[#This Row],[MONTO]]*3.56)</f>
        <v>130</v>
      </c>
      <c r="X864" t="s">
        <v>81</v>
      </c>
      <c r="Y864" t="s">
        <v>42</v>
      </c>
      <c r="Z864" t="s">
        <v>43</v>
      </c>
      <c r="AA864" t="s">
        <v>8464</v>
      </c>
      <c r="AB864" t="s">
        <v>8465</v>
      </c>
      <c r="AC864" t="s">
        <v>8466</v>
      </c>
      <c r="AD864" t="s">
        <v>8467</v>
      </c>
      <c r="AE864">
        <v>130</v>
      </c>
      <c r="AF864" t="s">
        <v>87</v>
      </c>
      <c r="AG864" t="s">
        <v>169</v>
      </c>
    </row>
    <row r="865" spans="1:33" hidden="1" x14ac:dyDescent="0.25">
      <c r="A865">
        <v>25232</v>
      </c>
      <c r="B865" t="s">
        <v>32</v>
      </c>
      <c r="C865">
        <v>1</v>
      </c>
      <c r="D865" t="s">
        <v>10002</v>
      </c>
      <c r="E865" t="s">
        <v>70</v>
      </c>
      <c r="F865" t="s">
        <v>33</v>
      </c>
      <c r="G865" t="s">
        <v>9422</v>
      </c>
      <c r="H865" t="s">
        <v>72</v>
      </c>
      <c r="I865" t="s">
        <v>9958</v>
      </c>
      <c r="J865" t="s">
        <v>10003</v>
      </c>
      <c r="K865" t="s">
        <v>36</v>
      </c>
      <c r="L865" t="s">
        <v>33</v>
      </c>
      <c r="M865">
        <v>20607229962</v>
      </c>
      <c r="N865" t="s">
        <v>3537</v>
      </c>
      <c r="O865" t="s">
        <v>9423</v>
      </c>
      <c r="P865" t="s">
        <v>38</v>
      </c>
      <c r="Q865" t="s">
        <v>3538</v>
      </c>
      <c r="R865" t="s">
        <v>10004</v>
      </c>
      <c r="S865">
        <v>520</v>
      </c>
      <c r="T865" t="s">
        <v>40</v>
      </c>
      <c r="U865">
        <f>+IF(Tabla1[[#This Row],[MONEDA]]="PEN",Tabla1[[#This Row],[MONTO]],Tabla1[[#This Row],[MONTO]]*3.56)</f>
        <v>520</v>
      </c>
      <c r="X865" t="s">
        <v>41</v>
      </c>
      <c r="Y865" t="s">
        <v>51</v>
      </c>
      <c r="Z865" t="s">
        <v>43</v>
      </c>
      <c r="AA865" t="s">
        <v>10005</v>
      </c>
      <c r="AB865" t="s">
        <v>10006</v>
      </c>
      <c r="AC865" t="s">
        <v>10007</v>
      </c>
      <c r="AD865" t="s">
        <v>10008</v>
      </c>
      <c r="AE865">
        <v>520</v>
      </c>
      <c r="AF865" t="s">
        <v>87</v>
      </c>
      <c r="AG865" t="s">
        <v>169</v>
      </c>
    </row>
    <row r="866" spans="1:33" hidden="1" x14ac:dyDescent="0.25">
      <c r="A866">
        <v>23366</v>
      </c>
      <c r="B866" t="s">
        <v>32</v>
      </c>
      <c r="C866">
        <v>1</v>
      </c>
      <c r="D866" t="s">
        <v>11275</v>
      </c>
      <c r="E866" t="s">
        <v>70</v>
      </c>
      <c r="F866" t="s">
        <v>33</v>
      </c>
      <c r="G866" t="s">
        <v>9422</v>
      </c>
      <c r="H866" t="s">
        <v>72</v>
      </c>
      <c r="I866" t="s">
        <v>11254</v>
      </c>
      <c r="J866" t="s">
        <v>11276</v>
      </c>
      <c r="K866" t="s">
        <v>36</v>
      </c>
      <c r="L866" t="s">
        <v>33</v>
      </c>
      <c r="M866">
        <v>20607229962</v>
      </c>
      <c r="N866" t="s">
        <v>3537</v>
      </c>
      <c r="O866" t="s">
        <v>9423</v>
      </c>
      <c r="P866" t="s">
        <v>38</v>
      </c>
      <c r="Q866" t="s">
        <v>3538</v>
      </c>
      <c r="R866" t="s">
        <v>11277</v>
      </c>
      <c r="S866">
        <v>401.2</v>
      </c>
      <c r="T866" t="s">
        <v>40</v>
      </c>
      <c r="U866">
        <f>+IF(Tabla1[[#This Row],[MONEDA]]="PEN",Tabla1[[#This Row],[MONTO]],Tabla1[[#This Row],[MONTO]]*3.56)</f>
        <v>401.2</v>
      </c>
      <c r="X866" t="s">
        <v>41</v>
      </c>
      <c r="Y866" t="s">
        <v>42</v>
      </c>
      <c r="Z866" t="s">
        <v>43</v>
      </c>
      <c r="AA866" t="s">
        <v>11278</v>
      </c>
      <c r="AB866" t="s">
        <v>11279</v>
      </c>
      <c r="AC866" t="s">
        <v>11280</v>
      </c>
      <c r="AD866" t="s">
        <v>11281</v>
      </c>
      <c r="AE866">
        <v>401.2</v>
      </c>
      <c r="AF866" t="s">
        <v>87</v>
      </c>
      <c r="AG866" t="s">
        <v>169</v>
      </c>
    </row>
    <row r="867" spans="1:33" hidden="1" x14ac:dyDescent="0.25">
      <c r="A867">
        <v>23175</v>
      </c>
      <c r="B867" t="s">
        <v>32</v>
      </c>
      <c r="C867">
        <v>1</v>
      </c>
      <c r="D867" t="s">
        <v>11508</v>
      </c>
      <c r="E867" t="s">
        <v>70</v>
      </c>
      <c r="F867" t="s">
        <v>33</v>
      </c>
      <c r="G867" t="s">
        <v>9422</v>
      </c>
      <c r="H867" t="s">
        <v>72</v>
      </c>
      <c r="I867" t="s">
        <v>11490</v>
      </c>
      <c r="J867" t="s">
        <v>11509</v>
      </c>
      <c r="K867" t="s">
        <v>36</v>
      </c>
      <c r="L867" t="s">
        <v>33</v>
      </c>
      <c r="M867">
        <v>20607229962</v>
      </c>
      <c r="N867" t="s">
        <v>3537</v>
      </c>
      <c r="O867" t="s">
        <v>9423</v>
      </c>
      <c r="P867" t="s">
        <v>38</v>
      </c>
      <c r="Q867" t="s">
        <v>3538</v>
      </c>
      <c r="R867" t="s">
        <v>11510</v>
      </c>
      <c r="S867">
        <v>240.01</v>
      </c>
      <c r="T867" t="s">
        <v>40</v>
      </c>
      <c r="U867">
        <f>+IF(Tabla1[[#This Row],[MONEDA]]="PEN",Tabla1[[#This Row],[MONTO]],Tabla1[[#This Row],[MONTO]]*3.56)</f>
        <v>240.01</v>
      </c>
      <c r="X867" t="s">
        <v>41</v>
      </c>
      <c r="Y867" t="s">
        <v>42</v>
      </c>
      <c r="Z867" t="s">
        <v>43</v>
      </c>
      <c r="AA867" t="s">
        <v>11511</v>
      </c>
      <c r="AB867" t="s">
        <v>11512</v>
      </c>
      <c r="AC867" t="s">
        <v>11513</v>
      </c>
      <c r="AD867" t="s">
        <v>11514</v>
      </c>
      <c r="AE867">
        <v>240.01</v>
      </c>
      <c r="AF867" t="s">
        <v>87</v>
      </c>
      <c r="AG867" t="s">
        <v>169</v>
      </c>
    </row>
    <row r="868" spans="1:33" hidden="1" x14ac:dyDescent="0.25">
      <c r="A868">
        <v>22611</v>
      </c>
      <c r="B868" t="s">
        <v>32</v>
      </c>
      <c r="C868">
        <v>1</v>
      </c>
      <c r="D868" t="s">
        <v>11794</v>
      </c>
      <c r="E868" t="s">
        <v>70</v>
      </c>
      <c r="F868" t="s">
        <v>33</v>
      </c>
      <c r="G868" t="s">
        <v>9422</v>
      </c>
      <c r="H868" t="s">
        <v>72</v>
      </c>
      <c r="I868" t="s">
        <v>11772</v>
      </c>
      <c r="J868" t="s">
        <v>11795</v>
      </c>
      <c r="K868" t="s">
        <v>36</v>
      </c>
      <c r="L868" t="s">
        <v>33</v>
      </c>
      <c r="M868">
        <v>20607229962</v>
      </c>
      <c r="N868" t="s">
        <v>3537</v>
      </c>
      <c r="O868" t="s">
        <v>9423</v>
      </c>
      <c r="P868" t="s">
        <v>38</v>
      </c>
      <c r="Q868" t="s">
        <v>3538</v>
      </c>
      <c r="R868" t="s">
        <v>11796</v>
      </c>
      <c r="S868">
        <v>130</v>
      </c>
      <c r="T868" t="s">
        <v>40</v>
      </c>
      <c r="U868">
        <f>+IF(Tabla1[[#This Row],[MONEDA]]="PEN",Tabla1[[#This Row],[MONTO]],Tabla1[[#This Row],[MONTO]]*3.56)</f>
        <v>130</v>
      </c>
      <c r="X868" t="s">
        <v>828</v>
      </c>
      <c r="Y868" t="s">
        <v>42</v>
      </c>
      <c r="Z868" t="s">
        <v>43</v>
      </c>
      <c r="AA868" t="s">
        <v>11797</v>
      </c>
      <c r="AB868" t="s">
        <v>11798</v>
      </c>
      <c r="AC868" t="s">
        <v>11799</v>
      </c>
      <c r="AD868" t="s">
        <v>11800</v>
      </c>
      <c r="AE868">
        <v>130</v>
      </c>
      <c r="AF868" t="s">
        <v>87</v>
      </c>
      <c r="AG868" t="s">
        <v>169</v>
      </c>
    </row>
    <row r="869" spans="1:33" hidden="1" x14ac:dyDescent="0.25">
      <c r="A869">
        <v>21881</v>
      </c>
      <c r="B869" t="s">
        <v>32</v>
      </c>
      <c r="C869">
        <v>1</v>
      </c>
      <c r="D869" t="s">
        <v>12169</v>
      </c>
      <c r="E869" t="s">
        <v>70</v>
      </c>
      <c r="F869" t="s">
        <v>33</v>
      </c>
      <c r="G869" t="s">
        <v>71</v>
      </c>
      <c r="H869" t="s">
        <v>72</v>
      </c>
      <c r="I869" t="s">
        <v>12146</v>
      </c>
      <c r="J869" t="s">
        <v>12170</v>
      </c>
      <c r="K869" t="s">
        <v>36</v>
      </c>
      <c r="L869" t="s">
        <v>33</v>
      </c>
      <c r="M869">
        <v>20607229962</v>
      </c>
      <c r="N869" t="s">
        <v>3537</v>
      </c>
      <c r="O869" t="s">
        <v>76</v>
      </c>
      <c r="P869" t="s">
        <v>38</v>
      </c>
      <c r="Q869" t="s">
        <v>3538</v>
      </c>
      <c r="R869" t="s">
        <v>12171</v>
      </c>
      <c r="S869">
        <v>873.2</v>
      </c>
      <c r="T869" t="s">
        <v>40</v>
      </c>
      <c r="U869">
        <f>+IF(Tabla1[[#This Row],[MONEDA]]="PEN",Tabla1[[#This Row],[MONTO]],Tabla1[[#This Row],[MONTO]]*3.56)</f>
        <v>873.2</v>
      </c>
      <c r="X869" t="s">
        <v>81</v>
      </c>
      <c r="Y869" t="s">
        <v>42</v>
      </c>
      <c r="Z869" t="s">
        <v>43</v>
      </c>
      <c r="AA869" t="s">
        <v>12172</v>
      </c>
      <c r="AB869" t="s">
        <v>12173</v>
      </c>
      <c r="AC869" t="s">
        <v>12174</v>
      </c>
      <c r="AD869" t="s">
        <v>12175</v>
      </c>
      <c r="AE869">
        <v>660.09</v>
      </c>
      <c r="AF869" t="s">
        <v>87</v>
      </c>
      <c r="AG869" t="s">
        <v>169</v>
      </c>
    </row>
    <row r="870" spans="1:33" hidden="1" x14ac:dyDescent="0.25">
      <c r="A870">
        <v>21614</v>
      </c>
      <c r="B870" t="s">
        <v>32</v>
      </c>
      <c r="C870">
        <v>1</v>
      </c>
      <c r="D870" t="s">
        <v>12326</v>
      </c>
      <c r="E870" t="s">
        <v>70</v>
      </c>
      <c r="F870" t="s">
        <v>33</v>
      </c>
      <c r="G870" t="s">
        <v>71</v>
      </c>
      <c r="H870" t="s">
        <v>72</v>
      </c>
      <c r="I870" t="s">
        <v>12320</v>
      </c>
      <c r="J870" t="s">
        <v>12327</v>
      </c>
      <c r="K870" t="s">
        <v>36</v>
      </c>
      <c r="L870" t="s">
        <v>33</v>
      </c>
      <c r="M870">
        <v>20607229962</v>
      </c>
      <c r="N870" t="s">
        <v>3537</v>
      </c>
      <c r="O870" t="s">
        <v>76</v>
      </c>
      <c r="P870" t="s">
        <v>38</v>
      </c>
      <c r="Q870" t="s">
        <v>3538</v>
      </c>
      <c r="R870" t="s">
        <v>12328</v>
      </c>
      <c r="S870">
        <v>902.7</v>
      </c>
      <c r="T870" t="s">
        <v>40</v>
      </c>
      <c r="U870">
        <f>+IF(Tabla1[[#This Row],[MONEDA]]="PEN",Tabla1[[#This Row],[MONTO]],Tabla1[[#This Row],[MONTO]]*3.56)</f>
        <v>902.7</v>
      </c>
      <c r="X870" t="s">
        <v>81</v>
      </c>
      <c r="Y870" t="s">
        <v>42</v>
      </c>
      <c r="Z870" t="s">
        <v>43</v>
      </c>
      <c r="AA870" t="s">
        <v>12329</v>
      </c>
      <c r="AB870" t="s">
        <v>12330</v>
      </c>
      <c r="AC870" t="s">
        <v>12331</v>
      </c>
      <c r="AD870" t="s">
        <v>12332</v>
      </c>
      <c r="AE870">
        <v>902.7</v>
      </c>
      <c r="AF870" t="s">
        <v>87</v>
      </c>
      <c r="AG870" t="s">
        <v>169</v>
      </c>
    </row>
    <row r="871" spans="1:33" hidden="1" x14ac:dyDescent="0.25">
      <c r="A871">
        <v>26013</v>
      </c>
      <c r="B871" t="s">
        <v>32</v>
      </c>
      <c r="C871">
        <v>1</v>
      </c>
      <c r="D871" t="s">
        <v>9440</v>
      </c>
      <c r="E871" t="s">
        <v>70</v>
      </c>
      <c r="F871" t="s">
        <v>33</v>
      </c>
      <c r="G871" t="s">
        <v>71</v>
      </c>
      <c r="H871" t="s">
        <v>72</v>
      </c>
      <c r="I871" t="s">
        <v>9433</v>
      </c>
      <c r="J871" t="s">
        <v>9441</v>
      </c>
      <c r="K871" t="s">
        <v>36</v>
      </c>
      <c r="L871" t="s">
        <v>33</v>
      </c>
      <c r="M871">
        <v>10465771904</v>
      </c>
      <c r="N871" t="s">
        <v>9442</v>
      </c>
      <c r="O871" t="s">
        <v>76</v>
      </c>
      <c r="P871" t="s">
        <v>38</v>
      </c>
      <c r="Q871">
        <v>43037198399052</v>
      </c>
      <c r="R871" t="s">
        <v>9443</v>
      </c>
      <c r="S871">
        <v>175</v>
      </c>
      <c r="T871" t="s">
        <v>40</v>
      </c>
      <c r="U871">
        <f>+IF(Tabla1[[#This Row],[MONEDA]]="PEN",Tabla1[[#This Row],[MONTO]],Tabla1[[#This Row],[MONTO]]*3.56)</f>
        <v>175</v>
      </c>
      <c r="X871" t="s">
        <v>81</v>
      </c>
      <c r="Y871" t="s">
        <v>42</v>
      </c>
      <c r="Z871" t="s">
        <v>43</v>
      </c>
      <c r="AA871" t="s">
        <v>9444</v>
      </c>
      <c r="AB871" t="s">
        <v>9445</v>
      </c>
      <c r="AC871" t="s">
        <v>9446</v>
      </c>
      <c r="AD871" t="s">
        <v>9447</v>
      </c>
      <c r="AE871">
        <v>175</v>
      </c>
      <c r="AF871" t="s">
        <v>87</v>
      </c>
      <c r="AG871" t="s">
        <v>169</v>
      </c>
    </row>
    <row r="872" spans="1:33" hidden="1" x14ac:dyDescent="0.25">
      <c r="A872">
        <v>35836</v>
      </c>
      <c r="B872" t="s">
        <v>32</v>
      </c>
      <c r="C872">
        <v>2</v>
      </c>
      <c r="D872" t="s">
        <v>4120</v>
      </c>
      <c r="E872" t="s">
        <v>70</v>
      </c>
      <c r="F872" t="s">
        <v>33</v>
      </c>
      <c r="G872" t="s">
        <v>71</v>
      </c>
      <c r="H872" t="s">
        <v>72</v>
      </c>
      <c r="I872" t="s">
        <v>4112</v>
      </c>
      <c r="J872" t="s">
        <v>4121</v>
      </c>
      <c r="K872" t="s">
        <v>36</v>
      </c>
      <c r="L872" t="s">
        <v>33</v>
      </c>
      <c r="M872">
        <v>20535752690</v>
      </c>
      <c r="N872" t="s">
        <v>4122</v>
      </c>
      <c r="O872" t="s">
        <v>76</v>
      </c>
      <c r="P872" t="s">
        <v>38</v>
      </c>
      <c r="Q872" t="s">
        <v>4123</v>
      </c>
      <c r="R872" t="s">
        <v>4124</v>
      </c>
      <c r="S872">
        <v>13643</v>
      </c>
      <c r="T872" t="s">
        <v>40</v>
      </c>
      <c r="U872">
        <f>+IF(Tabla1[[#This Row],[MONEDA]]="PEN",Tabla1[[#This Row],[MONTO]],Tabla1[[#This Row],[MONTO]]*3.56)</f>
        <v>13643</v>
      </c>
      <c r="X872" t="s">
        <v>81</v>
      </c>
      <c r="Y872" t="s">
        <v>42</v>
      </c>
      <c r="Z872" t="s">
        <v>82</v>
      </c>
      <c r="AA872" t="s">
        <v>4125</v>
      </c>
      <c r="AB872" t="s">
        <v>4126</v>
      </c>
      <c r="AC872" t="s">
        <v>4127</v>
      </c>
      <c r="AD872" t="s">
        <v>4128</v>
      </c>
      <c r="AE872">
        <v>13233.71</v>
      </c>
      <c r="AF872" t="s">
        <v>87</v>
      </c>
      <c r="AG872" t="s">
        <v>169</v>
      </c>
    </row>
    <row r="873" spans="1:33" hidden="1" x14ac:dyDescent="0.25">
      <c r="A873">
        <v>26729</v>
      </c>
      <c r="B873" t="s">
        <v>32</v>
      </c>
      <c r="C873">
        <v>1</v>
      </c>
      <c r="D873" t="s">
        <v>9132</v>
      </c>
      <c r="E873" t="s">
        <v>70</v>
      </c>
      <c r="F873" t="s">
        <v>33</v>
      </c>
      <c r="G873" t="s">
        <v>71</v>
      </c>
      <c r="H873" t="s">
        <v>72</v>
      </c>
      <c r="I873" t="s">
        <v>9133</v>
      </c>
      <c r="J873" t="s">
        <v>9134</v>
      </c>
      <c r="K873" t="s">
        <v>36</v>
      </c>
      <c r="L873" t="s">
        <v>33</v>
      </c>
      <c r="M873">
        <v>10438952671</v>
      </c>
      <c r="N873" t="s">
        <v>9135</v>
      </c>
      <c r="O873" t="s">
        <v>76</v>
      </c>
      <c r="R873" t="s">
        <v>9136</v>
      </c>
      <c r="S873">
        <v>100</v>
      </c>
      <c r="T873" t="s">
        <v>40</v>
      </c>
      <c r="U873">
        <f>+IF(Tabla1[[#This Row],[MONEDA]]="PEN",Tabla1[[#This Row],[MONTO]],Tabla1[[#This Row],[MONTO]]*3.56)</f>
        <v>100</v>
      </c>
      <c r="V873" t="s">
        <v>190</v>
      </c>
      <c r="W873">
        <v>25908</v>
      </c>
      <c r="X873" t="s">
        <v>81</v>
      </c>
      <c r="Y873" t="s">
        <v>42</v>
      </c>
      <c r="Z873" t="s">
        <v>82</v>
      </c>
      <c r="AA873" t="s">
        <v>9137</v>
      </c>
      <c r="AC873" t="s">
        <v>9138</v>
      </c>
      <c r="AD873" t="s">
        <v>9139</v>
      </c>
    </row>
    <row r="874" spans="1:33" hidden="1" x14ac:dyDescent="0.25">
      <c r="A874">
        <v>24154</v>
      </c>
      <c r="B874" t="s">
        <v>32</v>
      </c>
      <c r="C874">
        <v>1</v>
      </c>
      <c r="D874" t="s">
        <v>10681</v>
      </c>
      <c r="E874" t="s">
        <v>70</v>
      </c>
      <c r="F874" t="s">
        <v>33</v>
      </c>
      <c r="G874" t="s">
        <v>71</v>
      </c>
      <c r="H874" t="s">
        <v>72</v>
      </c>
      <c r="I874" t="s">
        <v>10682</v>
      </c>
      <c r="J874" t="s">
        <v>10683</v>
      </c>
      <c r="K874" t="s">
        <v>36</v>
      </c>
      <c r="L874" t="s">
        <v>33</v>
      </c>
      <c r="M874">
        <v>10438952671</v>
      </c>
      <c r="N874" t="s">
        <v>9135</v>
      </c>
      <c r="O874" t="s">
        <v>76</v>
      </c>
      <c r="R874" t="s">
        <v>10684</v>
      </c>
      <c r="S874">
        <v>100</v>
      </c>
      <c r="T874" t="s">
        <v>40</v>
      </c>
      <c r="U874">
        <f>+IF(Tabla1[[#This Row],[MONEDA]]="PEN",Tabla1[[#This Row],[MONTO]],Tabla1[[#This Row],[MONTO]]*3.56)</f>
        <v>100</v>
      </c>
      <c r="V874" t="s">
        <v>190</v>
      </c>
      <c r="W874">
        <v>21787</v>
      </c>
      <c r="X874" t="s">
        <v>81</v>
      </c>
      <c r="Y874" t="s">
        <v>42</v>
      </c>
      <c r="Z874" t="s">
        <v>82</v>
      </c>
      <c r="AA874" t="s">
        <v>10685</v>
      </c>
      <c r="AC874" t="s">
        <v>10686</v>
      </c>
      <c r="AD874" t="s">
        <v>10687</v>
      </c>
    </row>
    <row r="875" spans="1:33" hidden="1" x14ac:dyDescent="0.25">
      <c r="A875">
        <v>33062</v>
      </c>
      <c r="B875" t="s">
        <v>32</v>
      </c>
      <c r="C875">
        <v>1</v>
      </c>
      <c r="D875" t="s">
        <v>5144</v>
      </c>
      <c r="E875" t="s">
        <v>70</v>
      </c>
      <c r="F875" t="s">
        <v>33</v>
      </c>
      <c r="G875" t="s">
        <v>71</v>
      </c>
      <c r="H875" t="s">
        <v>35</v>
      </c>
      <c r="I875" t="s">
        <v>5137</v>
      </c>
      <c r="J875" t="s">
        <v>5145</v>
      </c>
      <c r="K875" t="s">
        <v>36</v>
      </c>
      <c r="L875" t="s">
        <v>33</v>
      </c>
      <c r="M875">
        <v>10433898341</v>
      </c>
      <c r="N875" t="s">
        <v>5146</v>
      </c>
      <c r="O875" t="s">
        <v>76</v>
      </c>
      <c r="P875" t="s">
        <v>38</v>
      </c>
      <c r="Q875" t="s">
        <v>5147</v>
      </c>
      <c r="R875" t="s">
        <v>5148</v>
      </c>
      <c r="S875">
        <v>231</v>
      </c>
      <c r="T875" t="s">
        <v>40</v>
      </c>
      <c r="U875">
        <f>+IF(Tabla1[[#This Row],[MONEDA]]="PEN",Tabla1[[#This Row],[MONTO]],Tabla1[[#This Row],[MONTO]]*3.56)</f>
        <v>231</v>
      </c>
      <c r="X875" t="s">
        <v>81</v>
      </c>
      <c r="Y875" t="s">
        <v>42</v>
      </c>
      <c r="Z875" t="s">
        <v>82</v>
      </c>
      <c r="AA875" t="s">
        <v>5149</v>
      </c>
      <c r="AB875" t="s">
        <v>5150</v>
      </c>
      <c r="AC875" t="s">
        <v>5151</v>
      </c>
      <c r="AD875" t="s">
        <v>5152</v>
      </c>
      <c r="AE875">
        <v>231</v>
      </c>
      <c r="AF875" t="s">
        <v>87</v>
      </c>
      <c r="AG875" t="s">
        <v>169</v>
      </c>
    </row>
    <row r="876" spans="1:33" hidden="1" x14ac:dyDescent="0.25">
      <c r="A876">
        <v>30731</v>
      </c>
      <c r="B876" t="s">
        <v>32</v>
      </c>
      <c r="C876">
        <v>1</v>
      </c>
      <c r="D876" t="s">
        <v>6112</v>
      </c>
      <c r="E876" t="s">
        <v>70</v>
      </c>
      <c r="F876" t="s">
        <v>33</v>
      </c>
      <c r="G876" t="s">
        <v>71</v>
      </c>
      <c r="H876" t="s">
        <v>35</v>
      </c>
      <c r="I876" t="s">
        <v>6103</v>
      </c>
      <c r="J876" t="s">
        <v>6113</v>
      </c>
      <c r="K876" t="s">
        <v>36</v>
      </c>
      <c r="L876" t="s">
        <v>33</v>
      </c>
      <c r="M876">
        <v>10433898341</v>
      </c>
      <c r="N876" t="s">
        <v>5146</v>
      </c>
      <c r="O876" t="s">
        <v>76</v>
      </c>
      <c r="P876" t="s">
        <v>38</v>
      </c>
      <c r="Q876" t="s">
        <v>5147</v>
      </c>
      <c r="R876" t="s">
        <v>6114</v>
      </c>
      <c r="S876">
        <v>650</v>
      </c>
      <c r="T876" t="s">
        <v>40</v>
      </c>
      <c r="U876">
        <f>+IF(Tabla1[[#This Row],[MONEDA]]="PEN",Tabla1[[#This Row],[MONTO]],Tabla1[[#This Row],[MONTO]]*3.56)</f>
        <v>650</v>
      </c>
      <c r="X876" t="s">
        <v>81</v>
      </c>
      <c r="Y876" t="s">
        <v>42</v>
      </c>
      <c r="Z876" t="s">
        <v>43</v>
      </c>
      <c r="AA876" t="s">
        <v>6115</v>
      </c>
      <c r="AB876" t="s">
        <v>6116</v>
      </c>
      <c r="AC876" t="s">
        <v>6117</v>
      </c>
      <c r="AD876" t="s">
        <v>6118</v>
      </c>
      <c r="AE876">
        <v>650</v>
      </c>
      <c r="AF876" t="s">
        <v>87</v>
      </c>
      <c r="AG876" t="s">
        <v>169</v>
      </c>
    </row>
    <row r="877" spans="1:33" x14ac:dyDescent="0.25">
      <c r="A877">
        <v>27690</v>
      </c>
      <c r="B877" t="s">
        <v>32</v>
      </c>
      <c r="C877">
        <v>1</v>
      </c>
      <c r="D877" t="s">
        <v>8182</v>
      </c>
      <c r="E877" t="s">
        <v>70</v>
      </c>
      <c r="F877" t="s">
        <v>5328</v>
      </c>
      <c r="G877" t="s">
        <v>5329</v>
      </c>
      <c r="H877" t="s">
        <v>72</v>
      </c>
      <c r="I877" t="s">
        <v>8168</v>
      </c>
      <c r="J877" t="s">
        <v>8183</v>
      </c>
      <c r="K877" t="s">
        <v>36</v>
      </c>
      <c r="L877" t="s">
        <v>33</v>
      </c>
      <c r="M877">
        <v>10433898341</v>
      </c>
      <c r="N877" t="s">
        <v>5146</v>
      </c>
      <c r="O877" t="s">
        <v>6159</v>
      </c>
      <c r="P877" t="s">
        <v>38</v>
      </c>
      <c r="Q877" t="s">
        <v>5147</v>
      </c>
      <c r="R877" t="s">
        <v>8184</v>
      </c>
      <c r="S877">
        <v>168</v>
      </c>
      <c r="T877" t="s">
        <v>40</v>
      </c>
      <c r="U877">
        <f>+IF(Tabla1[[#This Row],[MONEDA]]="PEN",Tabla1[[#This Row],[MONTO]],Tabla1[[#This Row],[MONTO]]*3.56)</f>
        <v>168</v>
      </c>
      <c r="X877" t="s">
        <v>81</v>
      </c>
      <c r="Y877" t="s">
        <v>42</v>
      </c>
      <c r="Z877" t="s">
        <v>43</v>
      </c>
      <c r="AA877" t="s">
        <v>8185</v>
      </c>
      <c r="AB877" t="s">
        <v>8186</v>
      </c>
      <c r="AC877" t="s">
        <v>8187</v>
      </c>
      <c r="AD877" t="s">
        <v>8188</v>
      </c>
      <c r="AE877">
        <v>168</v>
      </c>
      <c r="AF877" t="s">
        <v>87</v>
      </c>
      <c r="AG877" t="s">
        <v>169</v>
      </c>
    </row>
    <row r="878" spans="1:33" hidden="1" x14ac:dyDescent="0.25">
      <c r="A878">
        <v>24243</v>
      </c>
      <c r="B878" t="s">
        <v>32</v>
      </c>
      <c r="C878">
        <v>1</v>
      </c>
      <c r="D878" t="s">
        <v>10310</v>
      </c>
      <c r="E878" t="s">
        <v>70</v>
      </c>
      <c r="F878" t="s">
        <v>33</v>
      </c>
      <c r="G878" t="s">
        <v>9422</v>
      </c>
      <c r="H878" t="s">
        <v>72</v>
      </c>
      <c r="I878" t="s">
        <v>10311</v>
      </c>
      <c r="J878" t="s">
        <v>10312</v>
      </c>
      <c r="K878" t="s">
        <v>36</v>
      </c>
      <c r="L878" t="s">
        <v>33</v>
      </c>
      <c r="M878">
        <v>10433898341</v>
      </c>
      <c r="N878" t="s">
        <v>5146</v>
      </c>
      <c r="O878" t="s">
        <v>9423</v>
      </c>
      <c r="P878" t="s">
        <v>38</v>
      </c>
      <c r="Q878" t="s">
        <v>5147</v>
      </c>
      <c r="R878" t="s">
        <v>10313</v>
      </c>
      <c r="S878">
        <v>362.5</v>
      </c>
      <c r="T878" t="s">
        <v>40</v>
      </c>
      <c r="U878">
        <f>+IF(Tabla1[[#This Row],[MONEDA]]="PEN",Tabla1[[#This Row],[MONTO]],Tabla1[[#This Row],[MONTO]]*3.56)</f>
        <v>362.5</v>
      </c>
      <c r="X878" t="s">
        <v>41</v>
      </c>
      <c r="Y878" t="s">
        <v>42</v>
      </c>
      <c r="Z878" t="s">
        <v>43</v>
      </c>
      <c r="AA878" t="s">
        <v>10314</v>
      </c>
      <c r="AB878" t="s">
        <v>10315</v>
      </c>
      <c r="AC878" t="s">
        <v>10316</v>
      </c>
      <c r="AD878" t="s">
        <v>10317</v>
      </c>
      <c r="AE878">
        <v>362.5</v>
      </c>
      <c r="AF878" t="s">
        <v>87</v>
      </c>
      <c r="AG878" t="s">
        <v>169</v>
      </c>
    </row>
    <row r="879" spans="1:33" hidden="1" x14ac:dyDescent="0.25">
      <c r="A879">
        <v>23913</v>
      </c>
      <c r="B879" t="s">
        <v>32</v>
      </c>
      <c r="C879">
        <v>1</v>
      </c>
      <c r="D879" t="s">
        <v>10895</v>
      </c>
      <c r="E879" t="s">
        <v>70</v>
      </c>
      <c r="F879" t="s">
        <v>33</v>
      </c>
      <c r="G879" t="s">
        <v>9422</v>
      </c>
      <c r="H879" t="s">
        <v>72</v>
      </c>
      <c r="I879" t="s">
        <v>10888</v>
      </c>
      <c r="J879" t="s">
        <v>10896</v>
      </c>
      <c r="K879" t="s">
        <v>36</v>
      </c>
      <c r="L879" t="s">
        <v>33</v>
      </c>
      <c r="M879">
        <v>10433898341</v>
      </c>
      <c r="N879" t="s">
        <v>5146</v>
      </c>
      <c r="O879" t="s">
        <v>9423</v>
      </c>
      <c r="P879" t="s">
        <v>38</v>
      </c>
      <c r="Q879" t="s">
        <v>5147</v>
      </c>
      <c r="R879" t="s">
        <v>10897</v>
      </c>
      <c r="S879">
        <v>165</v>
      </c>
      <c r="T879" t="s">
        <v>40</v>
      </c>
      <c r="U879">
        <f>+IF(Tabla1[[#This Row],[MONEDA]]="PEN",Tabla1[[#This Row],[MONTO]],Tabla1[[#This Row],[MONTO]]*3.56)</f>
        <v>165</v>
      </c>
      <c r="X879" t="s">
        <v>41</v>
      </c>
      <c r="Y879" t="s">
        <v>42</v>
      </c>
      <c r="Z879" t="s">
        <v>43</v>
      </c>
      <c r="AA879" t="s">
        <v>10898</v>
      </c>
      <c r="AB879" t="s">
        <v>10899</v>
      </c>
      <c r="AC879" t="s">
        <v>10900</v>
      </c>
      <c r="AD879" t="s">
        <v>10901</v>
      </c>
      <c r="AE879">
        <v>165</v>
      </c>
      <c r="AF879" t="s">
        <v>87</v>
      </c>
      <c r="AG879" t="s">
        <v>169</v>
      </c>
    </row>
    <row r="880" spans="1:33" hidden="1" x14ac:dyDescent="0.25">
      <c r="A880">
        <v>23049</v>
      </c>
      <c r="B880" t="s">
        <v>32</v>
      </c>
      <c r="C880">
        <v>1</v>
      </c>
      <c r="D880" t="s">
        <v>11593</v>
      </c>
      <c r="E880" t="s">
        <v>70</v>
      </c>
      <c r="F880" t="s">
        <v>33</v>
      </c>
      <c r="G880" t="s">
        <v>9422</v>
      </c>
      <c r="H880" t="s">
        <v>72</v>
      </c>
      <c r="I880" t="s">
        <v>11573</v>
      </c>
      <c r="J880" t="s">
        <v>11594</v>
      </c>
      <c r="K880" t="s">
        <v>36</v>
      </c>
      <c r="L880" t="s">
        <v>33</v>
      </c>
      <c r="M880">
        <v>10433898341</v>
      </c>
      <c r="N880" t="s">
        <v>5146</v>
      </c>
      <c r="O880" t="s">
        <v>9423</v>
      </c>
      <c r="P880" t="s">
        <v>38</v>
      </c>
      <c r="Q880" t="s">
        <v>5147</v>
      </c>
      <c r="R880" t="s">
        <v>11595</v>
      </c>
      <c r="S880">
        <v>1028</v>
      </c>
      <c r="T880" t="s">
        <v>40</v>
      </c>
      <c r="U880">
        <f>+IF(Tabla1[[#This Row],[MONEDA]]="PEN",Tabla1[[#This Row],[MONTO]],Tabla1[[#This Row],[MONTO]]*3.56)</f>
        <v>1028</v>
      </c>
      <c r="X880" t="s">
        <v>41</v>
      </c>
      <c r="Y880" t="s">
        <v>42</v>
      </c>
      <c r="Z880" t="s">
        <v>43</v>
      </c>
      <c r="AA880" t="s">
        <v>11596</v>
      </c>
      <c r="AB880" t="s">
        <v>11597</v>
      </c>
      <c r="AC880" t="s">
        <v>11598</v>
      </c>
      <c r="AD880" t="s">
        <v>11599</v>
      </c>
      <c r="AE880">
        <v>1028</v>
      </c>
      <c r="AF880" t="s">
        <v>87</v>
      </c>
      <c r="AG880" t="s">
        <v>169</v>
      </c>
    </row>
    <row r="881" spans="1:33" hidden="1" x14ac:dyDescent="0.25">
      <c r="A881">
        <v>22197</v>
      </c>
      <c r="B881" t="s">
        <v>32</v>
      </c>
      <c r="C881">
        <v>1</v>
      </c>
      <c r="D881" t="s">
        <v>11988</v>
      </c>
      <c r="E881" t="s">
        <v>70</v>
      </c>
      <c r="F881" t="s">
        <v>33</v>
      </c>
      <c r="G881" t="s">
        <v>9422</v>
      </c>
      <c r="H881" t="s">
        <v>72</v>
      </c>
      <c r="I881" t="s">
        <v>11981</v>
      </c>
      <c r="J881" t="s">
        <v>11989</v>
      </c>
      <c r="K881" t="s">
        <v>36</v>
      </c>
      <c r="L881" t="s">
        <v>33</v>
      </c>
      <c r="M881">
        <v>10433898341</v>
      </c>
      <c r="N881" t="s">
        <v>5146</v>
      </c>
      <c r="O881" t="s">
        <v>9423</v>
      </c>
      <c r="P881" t="s">
        <v>38</v>
      </c>
      <c r="Q881" t="s">
        <v>5147</v>
      </c>
      <c r="R881" t="s">
        <v>11990</v>
      </c>
      <c r="S881">
        <v>330</v>
      </c>
      <c r="T881" t="s">
        <v>40</v>
      </c>
      <c r="U881">
        <f>+IF(Tabla1[[#This Row],[MONEDA]]="PEN",Tabla1[[#This Row],[MONTO]],Tabla1[[#This Row],[MONTO]]*3.56)</f>
        <v>330</v>
      </c>
      <c r="X881" t="s">
        <v>81</v>
      </c>
      <c r="Y881" t="s">
        <v>42</v>
      </c>
      <c r="Z881" t="s">
        <v>43</v>
      </c>
      <c r="AA881" t="s">
        <v>11991</v>
      </c>
      <c r="AB881" t="s">
        <v>11992</v>
      </c>
      <c r="AC881" t="s">
        <v>11993</v>
      </c>
      <c r="AD881" t="s">
        <v>11994</v>
      </c>
      <c r="AE881">
        <v>330</v>
      </c>
      <c r="AF881" t="s">
        <v>87</v>
      </c>
      <c r="AG881" t="s">
        <v>169</v>
      </c>
    </row>
    <row r="882" spans="1:33" hidden="1" x14ac:dyDescent="0.25">
      <c r="A882">
        <v>21065</v>
      </c>
      <c r="B882" t="s">
        <v>32</v>
      </c>
      <c r="C882">
        <v>2</v>
      </c>
      <c r="D882" t="s">
        <v>12691</v>
      </c>
      <c r="E882" t="s">
        <v>70</v>
      </c>
      <c r="F882" t="s">
        <v>33</v>
      </c>
      <c r="G882" t="s">
        <v>71</v>
      </c>
      <c r="H882" t="s">
        <v>72</v>
      </c>
      <c r="I882" t="s">
        <v>12692</v>
      </c>
      <c r="J882" t="s">
        <v>12693</v>
      </c>
      <c r="K882" t="s">
        <v>36</v>
      </c>
      <c r="L882" t="s">
        <v>33</v>
      </c>
      <c r="M882">
        <v>10433898341</v>
      </c>
      <c r="N882" t="s">
        <v>5146</v>
      </c>
      <c r="O882" t="s">
        <v>76</v>
      </c>
      <c r="P882" t="s">
        <v>38</v>
      </c>
      <c r="Q882" t="s">
        <v>5147</v>
      </c>
      <c r="R882" t="s">
        <v>12694</v>
      </c>
      <c r="S882">
        <v>980</v>
      </c>
      <c r="T882" t="s">
        <v>40</v>
      </c>
      <c r="U882">
        <f>+IF(Tabla1[[#This Row],[MONEDA]]="PEN",Tabla1[[#This Row],[MONTO]],Tabla1[[#This Row],[MONTO]]*3.56)</f>
        <v>980</v>
      </c>
      <c r="X882" t="s">
        <v>81</v>
      </c>
      <c r="Y882" t="s">
        <v>42</v>
      </c>
      <c r="Z882" t="s">
        <v>43</v>
      </c>
      <c r="AA882" t="s">
        <v>12695</v>
      </c>
      <c r="AB882" t="s">
        <v>12696</v>
      </c>
      <c r="AC882" t="s">
        <v>12697</v>
      </c>
      <c r="AD882" t="s">
        <v>12698</v>
      </c>
      <c r="AE882">
        <v>980</v>
      </c>
      <c r="AF882" t="s">
        <v>87</v>
      </c>
      <c r="AG882" t="s">
        <v>169</v>
      </c>
    </row>
    <row r="883" spans="1:33" x14ac:dyDescent="0.25">
      <c r="A883">
        <v>28691</v>
      </c>
      <c r="B883" t="s">
        <v>32</v>
      </c>
      <c r="C883">
        <v>1</v>
      </c>
      <c r="D883" t="s">
        <v>7467</v>
      </c>
      <c r="E883" t="s">
        <v>70</v>
      </c>
      <c r="F883" t="s">
        <v>5328</v>
      </c>
      <c r="G883" t="s">
        <v>5329</v>
      </c>
      <c r="H883" t="s">
        <v>72</v>
      </c>
      <c r="I883" t="s">
        <v>7460</v>
      </c>
      <c r="J883" t="s">
        <v>7468</v>
      </c>
      <c r="K883" t="s">
        <v>36</v>
      </c>
      <c r="L883" t="s">
        <v>33</v>
      </c>
      <c r="M883">
        <v>20600319109</v>
      </c>
      <c r="N883" t="s">
        <v>7469</v>
      </c>
      <c r="O883" t="s">
        <v>6159</v>
      </c>
      <c r="P883" t="s">
        <v>38</v>
      </c>
      <c r="Q883" t="s">
        <v>7470</v>
      </c>
      <c r="R883" t="s">
        <v>7471</v>
      </c>
      <c r="S883">
        <v>7515.5</v>
      </c>
      <c r="T883" t="s">
        <v>40</v>
      </c>
      <c r="U883">
        <f>+IF(Tabla1[[#This Row],[MONEDA]]="PEN",Tabla1[[#This Row],[MONTO]],Tabla1[[#This Row],[MONTO]]*3.56)</f>
        <v>7515.5</v>
      </c>
      <c r="X883" t="s">
        <v>81</v>
      </c>
      <c r="Y883" t="s">
        <v>42</v>
      </c>
      <c r="Z883" t="s">
        <v>43</v>
      </c>
      <c r="AA883" t="s">
        <v>7472</v>
      </c>
      <c r="AB883" t="s">
        <v>7473</v>
      </c>
      <c r="AC883" t="s">
        <v>7474</v>
      </c>
      <c r="AD883" t="s">
        <v>7475</v>
      </c>
      <c r="AE883">
        <v>7290.04</v>
      </c>
      <c r="AF883" t="s">
        <v>87</v>
      </c>
      <c r="AG883" t="s">
        <v>169</v>
      </c>
    </row>
    <row r="884" spans="1:33" x14ac:dyDescent="0.25">
      <c r="A884">
        <v>28391</v>
      </c>
      <c r="B884" t="s">
        <v>32</v>
      </c>
      <c r="C884">
        <v>1</v>
      </c>
      <c r="D884" t="s">
        <v>7692</v>
      </c>
      <c r="E884" t="s">
        <v>70</v>
      </c>
      <c r="F884" t="s">
        <v>5328</v>
      </c>
      <c r="G884" t="s">
        <v>5329</v>
      </c>
      <c r="H884" t="s">
        <v>72</v>
      </c>
      <c r="I884" t="s">
        <v>7693</v>
      </c>
      <c r="J884" t="s">
        <v>7694</v>
      </c>
      <c r="K884" t="s">
        <v>36</v>
      </c>
      <c r="L884" t="s">
        <v>33</v>
      </c>
      <c r="M884">
        <v>20600319109</v>
      </c>
      <c r="N884" t="s">
        <v>7469</v>
      </c>
      <c r="O884" t="s">
        <v>6159</v>
      </c>
      <c r="P884" t="s">
        <v>38</v>
      </c>
      <c r="Q884" t="s">
        <v>7470</v>
      </c>
      <c r="R884" t="s">
        <v>7695</v>
      </c>
      <c r="S884">
        <v>2870</v>
      </c>
      <c r="T884" t="s">
        <v>40</v>
      </c>
      <c r="U884">
        <f>+IF(Tabla1[[#This Row],[MONEDA]]="PEN",Tabla1[[#This Row],[MONTO]],Tabla1[[#This Row],[MONTO]]*3.56)</f>
        <v>2870</v>
      </c>
      <c r="X884" t="s">
        <v>81</v>
      </c>
      <c r="Y884" t="s">
        <v>42</v>
      </c>
      <c r="Z884" t="s">
        <v>82</v>
      </c>
      <c r="AA884" t="s">
        <v>7696</v>
      </c>
      <c r="AB884" t="s">
        <v>7697</v>
      </c>
      <c r="AC884" t="s">
        <v>7698</v>
      </c>
      <c r="AD884" t="s">
        <v>7699</v>
      </c>
      <c r="AE884">
        <v>2783.9</v>
      </c>
      <c r="AF884" t="s">
        <v>87</v>
      </c>
      <c r="AG884" t="s">
        <v>169</v>
      </c>
    </row>
    <row r="885" spans="1:33" hidden="1" x14ac:dyDescent="0.25">
      <c r="A885">
        <v>27665</v>
      </c>
      <c r="B885" t="s">
        <v>32</v>
      </c>
      <c r="C885">
        <v>1</v>
      </c>
      <c r="D885" t="s">
        <v>8152</v>
      </c>
      <c r="E885" t="s">
        <v>70</v>
      </c>
      <c r="F885" t="s">
        <v>33</v>
      </c>
      <c r="G885" t="s">
        <v>71</v>
      </c>
      <c r="H885" t="s">
        <v>72</v>
      </c>
      <c r="I885" t="s">
        <v>8145</v>
      </c>
      <c r="J885" t="s">
        <v>8153</v>
      </c>
      <c r="K885" t="s">
        <v>36</v>
      </c>
      <c r="L885" t="s">
        <v>33</v>
      </c>
      <c r="M885">
        <v>20600319109</v>
      </c>
      <c r="N885" t="s">
        <v>7469</v>
      </c>
      <c r="O885" t="s">
        <v>76</v>
      </c>
      <c r="P885" t="s">
        <v>38</v>
      </c>
      <c r="Q885" t="s">
        <v>7470</v>
      </c>
      <c r="R885" t="s">
        <v>8154</v>
      </c>
      <c r="S885">
        <v>8538.6200000000008</v>
      </c>
      <c r="T885" t="s">
        <v>40</v>
      </c>
      <c r="U885">
        <f>+IF(Tabla1[[#This Row],[MONEDA]]="PEN",Tabla1[[#This Row],[MONTO]],Tabla1[[#This Row],[MONTO]]*3.56)</f>
        <v>8538.6200000000008</v>
      </c>
      <c r="X885" t="s">
        <v>81</v>
      </c>
      <c r="Y885" t="s">
        <v>42</v>
      </c>
      <c r="Z885" t="s">
        <v>43</v>
      </c>
      <c r="AA885" t="s">
        <v>8155</v>
      </c>
      <c r="AB885" t="s">
        <v>8156</v>
      </c>
      <c r="AC885" t="s">
        <v>8157</v>
      </c>
      <c r="AD885" t="s">
        <v>8158</v>
      </c>
      <c r="AE885">
        <v>8282.4599999999991</v>
      </c>
      <c r="AF885" t="s">
        <v>87</v>
      </c>
      <c r="AG885" t="s">
        <v>169</v>
      </c>
    </row>
    <row r="886" spans="1:33" x14ac:dyDescent="0.25">
      <c r="A886">
        <v>27457</v>
      </c>
      <c r="B886" t="s">
        <v>32</v>
      </c>
      <c r="C886">
        <v>1</v>
      </c>
      <c r="D886" t="s">
        <v>8279</v>
      </c>
      <c r="E886" t="s">
        <v>70</v>
      </c>
      <c r="F886" t="s">
        <v>5328</v>
      </c>
      <c r="G886" t="s">
        <v>5329</v>
      </c>
      <c r="H886" t="s">
        <v>72</v>
      </c>
      <c r="I886" t="s">
        <v>8258</v>
      </c>
      <c r="J886" t="s">
        <v>8280</v>
      </c>
      <c r="K886" t="s">
        <v>36</v>
      </c>
      <c r="L886" t="s">
        <v>33</v>
      </c>
      <c r="M886">
        <v>20600319109</v>
      </c>
      <c r="N886" t="s">
        <v>7469</v>
      </c>
      <c r="O886" t="s">
        <v>6159</v>
      </c>
      <c r="P886" t="s">
        <v>38</v>
      </c>
      <c r="Q886" t="s">
        <v>7470</v>
      </c>
      <c r="R886" t="s">
        <v>8281</v>
      </c>
      <c r="S886">
        <v>540</v>
      </c>
      <c r="T886" t="s">
        <v>40</v>
      </c>
      <c r="U886">
        <f>+IF(Tabla1[[#This Row],[MONEDA]]="PEN",Tabla1[[#This Row],[MONTO]],Tabla1[[#This Row],[MONTO]]*3.56)</f>
        <v>540</v>
      </c>
      <c r="X886" t="s">
        <v>81</v>
      </c>
      <c r="Y886" t="s">
        <v>42</v>
      </c>
      <c r="Z886" t="s">
        <v>43</v>
      </c>
      <c r="AA886" t="s">
        <v>8282</v>
      </c>
      <c r="AB886" t="s">
        <v>8283</v>
      </c>
      <c r="AC886" t="s">
        <v>8284</v>
      </c>
      <c r="AD886" t="s">
        <v>8285</v>
      </c>
      <c r="AE886">
        <v>540</v>
      </c>
      <c r="AF886" t="s">
        <v>87</v>
      </c>
      <c r="AG886" t="s">
        <v>169</v>
      </c>
    </row>
    <row r="887" spans="1:33" hidden="1" x14ac:dyDescent="0.25">
      <c r="A887">
        <v>25935</v>
      </c>
      <c r="B887" t="s">
        <v>32</v>
      </c>
      <c r="C887">
        <v>2</v>
      </c>
      <c r="D887" t="s">
        <v>9455</v>
      </c>
      <c r="E887" t="s">
        <v>70</v>
      </c>
      <c r="F887" t="s">
        <v>33</v>
      </c>
      <c r="G887" t="s">
        <v>71</v>
      </c>
      <c r="H887" t="s">
        <v>72</v>
      </c>
      <c r="I887" t="s">
        <v>9456</v>
      </c>
      <c r="J887" t="s">
        <v>9457</v>
      </c>
      <c r="K887" t="s">
        <v>36</v>
      </c>
      <c r="L887" t="s">
        <v>33</v>
      </c>
      <c r="M887">
        <v>20600319109</v>
      </c>
      <c r="N887" t="s">
        <v>7469</v>
      </c>
      <c r="O887" t="s">
        <v>76</v>
      </c>
      <c r="P887" t="s">
        <v>38</v>
      </c>
      <c r="Q887" t="s">
        <v>7470</v>
      </c>
      <c r="R887" t="s">
        <v>9458</v>
      </c>
      <c r="S887">
        <v>5616.375</v>
      </c>
      <c r="T887" t="s">
        <v>40</v>
      </c>
      <c r="U887">
        <f>+IF(Tabla1[[#This Row],[MONEDA]]="PEN",Tabla1[[#This Row],[MONTO]],Tabla1[[#This Row],[MONTO]]*3.56)</f>
        <v>5616.375</v>
      </c>
      <c r="X887" t="s">
        <v>41</v>
      </c>
      <c r="Y887" t="s">
        <v>42</v>
      </c>
      <c r="Z887" t="s">
        <v>82</v>
      </c>
      <c r="AA887" t="s">
        <v>9459</v>
      </c>
      <c r="AB887" t="s">
        <v>9460</v>
      </c>
      <c r="AC887" t="s">
        <v>9461</v>
      </c>
      <c r="AD887" t="s">
        <v>9462</v>
      </c>
      <c r="AE887">
        <v>5447.88</v>
      </c>
      <c r="AF887" t="s">
        <v>87</v>
      </c>
      <c r="AG887" t="s">
        <v>169</v>
      </c>
    </row>
    <row r="888" spans="1:33" hidden="1" x14ac:dyDescent="0.25">
      <c r="A888">
        <v>25934</v>
      </c>
      <c r="B888" t="s">
        <v>32</v>
      </c>
      <c r="C888">
        <v>1</v>
      </c>
      <c r="D888" t="s">
        <v>9455</v>
      </c>
      <c r="E888" t="s">
        <v>70</v>
      </c>
      <c r="F888" t="s">
        <v>33</v>
      </c>
      <c r="G888" t="s">
        <v>71</v>
      </c>
      <c r="H888" t="s">
        <v>72</v>
      </c>
      <c r="I888" t="s">
        <v>9469</v>
      </c>
      <c r="J888" t="s">
        <v>9483</v>
      </c>
      <c r="K888" t="s">
        <v>36</v>
      </c>
      <c r="L888" t="s">
        <v>33</v>
      </c>
      <c r="M888">
        <v>20600319109</v>
      </c>
      <c r="N888" t="s">
        <v>7469</v>
      </c>
      <c r="O888" t="s">
        <v>76</v>
      </c>
      <c r="P888" t="s">
        <v>38</v>
      </c>
      <c r="Q888" t="s">
        <v>7470</v>
      </c>
      <c r="R888" t="s">
        <v>9484</v>
      </c>
      <c r="S888">
        <v>5616.375</v>
      </c>
      <c r="T888" t="s">
        <v>40</v>
      </c>
      <c r="U888">
        <f>+IF(Tabla1[[#This Row],[MONEDA]]="PEN",Tabla1[[#This Row],[MONTO]],Tabla1[[#This Row],[MONTO]]*3.56)</f>
        <v>5616.375</v>
      </c>
      <c r="X888" t="s">
        <v>41</v>
      </c>
      <c r="Y888" t="s">
        <v>42</v>
      </c>
      <c r="Z888" t="s">
        <v>82</v>
      </c>
      <c r="AA888" t="s">
        <v>9485</v>
      </c>
      <c r="AB888" t="s">
        <v>9460</v>
      </c>
      <c r="AC888" t="s">
        <v>9486</v>
      </c>
      <c r="AD888" t="s">
        <v>9487</v>
      </c>
      <c r="AE888">
        <v>5447.88</v>
      </c>
      <c r="AF888" t="s">
        <v>87</v>
      </c>
      <c r="AG888" t="s">
        <v>169</v>
      </c>
    </row>
    <row r="889" spans="1:33" hidden="1" x14ac:dyDescent="0.25">
      <c r="A889">
        <v>25381</v>
      </c>
      <c r="B889" t="s">
        <v>32</v>
      </c>
      <c r="C889">
        <v>1</v>
      </c>
      <c r="D889" t="s">
        <v>9847</v>
      </c>
      <c r="E889" t="s">
        <v>70</v>
      </c>
      <c r="F889" t="s">
        <v>33</v>
      </c>
      <c r="G889" t="s">
        <v>71</v>
      </c>
      <c r="H889" t="s">
        <v>72</v>
      </c>
      <c r="I889" t="s">
        <v>9848</v>
      </c>
      <c r="J889" t="s">
        <v>9849</v>
      </c>
      <c r="K889" t="s">
        <v>36</v>
      </c>
      <c r="L889" t="s">
        <v>33</v>
      </c>
      <c r="M889">
        <v>20606723050</v>
      </c>
      <c r="N889" t="s">
        <v>9850</v>
      </c>
      <c r="O889" t="s">
        <v>76</v>
      </c>
      <c r="R889" t="s">
        <v>9851</v>
      </c>
      <c r="S889">
        <v>45</v>
      </c>
      <c r="T889" t="s">
        <v>40</v>
      </c>
      <c r="U889">
        <f>+IF(Tabla1[[#This Row],[MONEDA]]="PEN",Tabla1[[#This Row],[MONTO]],Tabla1[[#This Row],[MONTO]]*3.56)</f>
        <v>45</v>
      </c>
      <c r="V889" t="s">
        <v>190</v>
      </c>
      <c r="W889">
        <v>25256</v>
      </c>
      <c r="X889" t="s">
        <v>81</v>
      </c>
      <c r="Y889" t="s">
        <v>42</v>
      </c>
      <c r="Z889" t="s">
        <v>82</v>
      </c>
      <c r="AA889" t="s">
        <v>9852</v>
      </c>
      <c r="AC889" t="s">
        <v>9853</v>
      </c>
      <c r="AD889" t="s">
        <v>9854</v>
      </c>
    </row>
    <row r="890" spans="1:33" x14ac:dyDescent="0.25">
      <c r="A890">
        <v>38950</v>
      </c>
      <c r="B890" t="s">
        <v>32</v>
      </c>
      <c r="C890">
        <v>1</v>
      </c>
      <c r="D890" t="s">
        <v>2658</v>
      </c>
      <c r="E890" t="s">
        <v>70</v>
      </c>
      <c r="F890" t="s">
        <v>90</v>
      </c>
      <c r="G890" t="s">
        <v>91</v>
      </c>
      <c r="H890" t="s">
        <v>35</v>
      </c>
      <c r="I890" t="s">
        <v>2624</v>
      </c>
      <c r="J890" t="s">
        <v>2659</v>
      </c>
      <c r="K890" t="s">
        <v>36</v>
      </c>
      <c r="L890" t="s">
        <v>33</v>
      </c>
      <c r="M890">
        <v>10422965284</v>
      </c>
      <c r="N890" t="s">
        <v>215</v>
      </c>
      <c r="P890" t="s">
        <v>38</v>
      </c>
      <c r="Q890" t="s">
        <v>216</v>
      </c>
      <c r="R890" t="s">
        <v>2660</v>
      </c>
      <c r="S890">
        <v>849.6</v>
      </c>
      <c r="T890" t="s">
        <v>40</v>
      </c>
      <c r="U890">
        <f>+IF(Tabla1[[#This Row],[MONEDA]]="PEN",Tabla1[[#This Row],[MONTO]],Tabla1[[#This Row],[MONTO]]*3.56)</f>
        <v>849.6</v>
      </c>
      <c r="X890" t="s">
        <v>41</v>
      </c>
      <c r="Y890" t="s">
        <v>42</v>
      </c>
      <c r="Z890" t="s">
        <v>82</v>
      </c>
      <c r="AA890" t="s">
        <v>2661</v>
      </c>
      <c r="AB890" t="s">
        <v>2662</v>
      </c>
      <c r="AC890" t="s">
        <v>2663</v>
      </c>
      <c r="AD890" t="s">
        <v>2664</v>
      </c>
      <c r="AE890">
        <v>764.64</v>
      </c>
      <c r="AF890" t="s">
        <v>87</v>
      </c>
      <c r="AG890" t="s">
        <v>169</v>
      </c>
    </row>
    <row r="891" spans="1:33" x14ac:dyDescent="0.25">
      <c r="A891">
        <v>37315</v>
      </c>
      <c r="B891" t="s">
        <v>32</v>
      </c>
      <c r="C891">
        <v>1</v>
      </c>
      <c r="D891" t="s">
        <v>3318</v>
      </c>
      <c r="E891" t="s">
        <v>70</v>
      </c>
      <c r="F891" t="s">
        <v>90</v>
      </c>
      <c r="G891" t="s">
        <v>91</v>
      </c>
      <c r="H891" t="s">
        <v>35</v>
      </c>
      <c r="I891" t="s">
        <v>3311</v>
      </c>
      <c r="J891" t="s">
        <v>3319</v>
      </c>
      <c r="K891" t="s">
        <v>36</v>
      </c>
      <c r="L891" t="s">
        <v>33</v>
      </c>
      <c r="M891">
        <v>10422965284</v>
      </c>
      <c r="N891" t="s">
        <v>215</v>
      </c>
      <c r="P891" t="s">
        <v>38</v>
      </c>
      <c r="Q891" t="s">
        <v>216</v>
      </c>
      <c r="R891" t="s">
        <v>3320</v>
      </c>
      <c r="S891">
        <v>13452</v>
      </c>
      <c r="T891" t="s">
        <v>40</v>
      </c>
      <c r="U891">
        <f>+IF(Tabla1[[#This Row],[MONEDA]]="PEN",Tabla1[[#This Row],[MONTO]],Tabla1[[#This Row],[MONTO]]*3.56)</f>
        <v>13452</v>
      </c>
      <c r="X891" t="s">
        <v>41</v>
      </c>
      <c r="Y891" t="s">
        <v>42</v>
      </c>
      <c r="Z891" t="s">
        <v>82</v>
      </c>
      <c r="AA891" t="s">
        <v>3321</v>
      </c>
      <c r="AB891" t="s">
        <v>3322</v>
      </c>
      <c r="AC891" t="s">
        <v>3323</v>
      </c>
      <c r="AD891" t="s">
        <v>3324</v>
      </c>
      <c r="AE891">
        <v>13048.44</v>
      </c>
      <c r="AF891" t="s">
        <v>87</v>
      </c>
      <c r="AG891" t="s">
        <v>169</v>
      </c>
    </row>
    <row r="892" spans="1:33" x14ac:dyDescent="0.25">
      <c r="A892">
        <v>35420</v>
      </c>
      <c r="B892" t="s">
        <v>32</v>
      </c>
      <c r="C892">
        <v>1</v>
      </c>
      <c r="D892" t="s">
        <v>4206</v>
      </c>
      <c r="E892" t="s">
        <v>70</v>
      </c>
      <c r="F892" t="s">
        <v>90</v>
      </c>
      <c r="G892" t="s">
        <v>91</v>
      </c>
      <c r="H892" t="s">
        <v>35</v>
      </c>
      <c r="I892" t="s">
        <v>4207</v>
      </c>
      <c r="J892" t="s">
        <v>4208</v>
      </c>
      <c r="K892" t="s">
        <v>36</v>
      </c>
      <c r="L892" t="s">
        <v>33</v>
      </c>
      <c r="M892">
        <v>10422965284</v>
      </c>
      <c r="N892" t="s">
        <v>215</v>
      </c>
      <c r="P892" t="s">
        <v>38</v>
      </c>
      <c r="Q892" t="s">
        <v>216</v>
      </c>
      <c r="R892" t="s">
        <v>4209</v>
      </c>
      <c r="S892">
        <v>1681.5</v>
      </c>
      <c r="T892" t="s">
        <v>40</v>
      </c>
      <c r="U892">
        <f>+IF(Tabla1[[#This Row],[MONEDA]]="PEN",Tabla1[[#This Row],[MONTO]],Tabla1[[#This Row],[MONTO]]*3.56)</f>
        <v>1681.5</v>
      </c>
      <c r="X892" t="s">
        <v>41</v>
      </c>
      <c r="Y892" t="s">
        <v>42</v>
      </c>
      <c r="Z892" t="s">
        <v>43</v>
      </c>
      <c r="AA892" t="s">
        <v>4210</v>
      </c>
      <c r="AB892" t="s">
        <v>4211</v>
      </c>
      <c r="AC892" t="s">
        <v>4212</v>
      </c>
      <c r="AD892" t="s">
        <v>4213</v>
      </c>
      <c r="AE892">
        <v>1631.06</v>
      </c>
      <c r="AF892" t="s">
        <v>87</v>
      </c>
      <c r="AG892" t="s">
        <v>169</v>
      </c>
    </row>
    <row r="893" spans="1:33" x14ac:dyDescent="0.25">
      <c r="A893">
        <v>35356</v>
      </c>
      <c r="B893" t="s">
        <v>32</v>
      </c>
      <c r="C893">
        <v>1</v>
      </c>
      <c r="D893" t="s">
        <v>4298</v>
      </c>
      <c r="E893" t="s">
        <v>70</v>
      </c>
      <c r="F893" t="s">
        <v>90</v>
      </c>
      <c r="G893" t="s">
        <v>91</v>
      </c>
      <c r="H893" t="s">
        <v>35</v>
      </c>
      <c r="I893" t="s">
        <v>4299</v>
      </c>
      <c r="J893" t="s">
        <v>4300</v>
      </c>
      <c r="K893" t="s">
        <v>36</v>
      </c>
      <c r="L893" t="s">
        <v>33</v>
      </c>
      <c r="M893">
        <v>10422965284</v>
      </c>
      <c r="N893" t="s">
        <v>215</v>
      </c>
      <c r="P893" t="s">
        <v>38</v>
      </c>
      <c r="Q893" t="s">
        <v>216</v>
      </c>
      <c r="R893" t="s">
        <v>4301</v>
      </c>
      <c r="S893">
        <v>1681.5</v>
      </c>
      <c r="T893" t="s">
        <v>40</v>
      </c>
      <c r="U893">
        <f>+IF(Tabla1[[#This Row],[MONEDA]]="PEN",Tabla1[[#This Row],[MONTO]],Tabla1[[#This Row],[MONTO]]*3.56)</f>
        <v>1681.5</v>
      </c>
      <c r="X893" t="s">
        <v>41</v>
      </c>
      <c r="Y893" t="s">
        <v>42</v>
      </c>
      <c r="Z893" t="s">
        <v>43</v>
      </c>
      <c r="AA893" t="s">
        <v>4210</v>
      </c>
      <c r="AB893" t="s">
        <v>4302</v>
      </c>
      <c r="AC893" t="s">
        <v>4303</v>
      </c>
      <c r="AD893" t="s">
        <v>4304</v>
      </c>
      <c r="AE893">
        <v>1631.06</v>
      </c>
      <c r="AF893" t="s">
        <v>87</v>
      </c>
      <c r="AG893" t="s">
        <v>169</v>
      </c>
    </row>
    <row r="894" spans="1:33" x14ac:dyDescent="0.25">
      <c r="A894">
        <v>34937</v>
      </c>
      <c r="B894" t="s">
        <v>32</v>
      </c>
      <c r="C894">
        <v>1</v>
      </c>
      <c r="D894" t="s">
        <v>4392</v>
      </c>
      <c r="E894" t="s">
        <v>70</v>
      </c>
      <c r="F894" t="s">
        <v>90</v>
      </c>
      <c r="G894" t="s">
        <v>91</v>
      </c>
      <c r="H894" t="s">
        <v>35</v>
      </c>
      <c r="I894" t="s">
        <v>4393</v>
      </c>
      <c r="J894" t="s">
        <v>4394</v>
      </c>
      <c r="K894" t="s">
        <v>36</v>
      </c>
      <c r="L894" t="s">
        <v>33</v>
      </c>
      <c r="M894">
        <v>10422965284</v>
      </c>
      <c r="N894" t="s">
        <v>215</v>
      </c>
      <c r="P894" t="s">
        <v>38</v>
      </c>
      <c r="Q894" t="s">
        <v>216</v>
      </c>
      <c r="R894" t="s">
        <v>4395</v>
      </c>
      <c r="S894">
        <v>1681.5</v>
      </c>
      <c r="T894" t="s">
        <v>40</v>
      </c>
      <c r="U894">
        <f>+IF(Tabla1[[#This Row],[MONEDA]]="PEN",Tabla1[[#This Row],[MONTO]],Tabla1[[#This Row],[MONTO]]*3.56)</f>
        <v>1681.5</v>
      </c>
      <c r="X894" t="s">
        <v>41</v>
      </c>
      <c r="Y894" t="s">
        <v>42</v>
      </c>
      <c r="Z894" t="s">
        <v>43</v>
      </c>
      <c r="AA894" t="s">
        <v>4210</v>
      </c>
      <c r="AB894" t="s">
        <v>4396</v>
      </c>
      <c r="AC894" t="s">
        <v>4397</v>
      </c>
      <c r="AD894" t="s">
        <v>4398</v>
      </c>
      <c r="AE894">
        <v>1631.06</v>
      </c>
      <c r="AF894" t="s">
        <v>87</v>
      </c>
      <c r="AG894" t="s">
        <v>169</v>
      </c>
    </row>
    <row r="895" spans="1:33" x14ac:dyDescent="0.25">
      <c r="A895">
        <v>34938</v>
      </c>
      <c r="B895" t="s">
        <v>32</v>
      </c>
      <c r="C895">
        <v>1</v>
      </c>
      <c r="D895" t="s">
        <v>4399</v>
      </c>
      <c r="E895" t="s">
        <v>70</v>
      </c>
      <c r="F895" t="s">
        <v>90</v>
      </c>
      <c r="G895" t="s">
        <v>91</v>
      </c>
      <c r="H895" t="s">
        <v>35</v>
      </c>
      <c r="I895" t="s">
        <v>4393</v>
      </c>
      <c r="J895" t="s">
        <v>4400</v>
      </c>
      <c r="K895" t="s">
        <v>36</v>
      </c>
      <c r="L895" t="s">
        <v>33</v>
      </c>
      <c r="M895">
        <v>10422965284</v>
      </c>
      <c r="N895" t="s">
        <v>215</v>
      </c>
      <c r="P895" t="s">
        <v>38</v>
      </c>
      <c r="Q895" t="s">
        <v>216</v>
      </c>
      <c r="R895" t="s">
        <v>4401</v>
      </c>
      <c r="S895">
        <v>1681.5</v>
      </c>
      <c r="T895" t="s">
        <v>40</v>
      </c>
      <c r="U895">
        <f>+IF(Tabla1[[#This Row],[MONEDA]]="PEN",Tabla1[[#This Row],[MONTO]],Tabla1[[#This Row],[MONTO]]*3.56)</f>
        <v>1681.5</v>
      </c>
      <c r="X895" t="s">
        <v>41</v>
      </c>
      <c r="Y895" t="s">
        <v>42</v>
      </c>
      <c r="Z895" t="s">
        <v>43</v>
      </c>
      <c r="AA895" t="s">
        <v>4210</v>
      </c>
      <c r="AB895" t="s">
        <v>4402</v>
      </c>
      <c r="AC895" t="s">
        <v>4403</v>
      </c>
      <c r="AD895" t="s">
        <v>4404</v>
      </c>
      <c r="AE895">
        <v>1631.06</v>
      </c>
      <c r="AF895" t="s">
        <v>87</v>
      </c>
      <c r="AG895" t="s">
        <v>169</v>
      </c>
    </row>
    <row r="896" spans="1:33" x14ac:dyDescent="0.25">
      <c r="A896">
        <v>34939</v>
      </c>
      <c r="B896" t="s">
        <v>32</v>
      </c>
      <c r="C896">
        <v>1</v>
      </c>
      <c r="D896" t="s">
        <v>4405</v>
      </c>
      <c r="E896" t="s">
        <v>70</v>
      </c>
      <c r="F896" t="s">
        <v>90</v>
      </c>
      <c r="G896" t="s">
        <v>91</v>
      </c>
      <c r="H896" t="s">
        <v>35</v>
      </c>
      <c r="I896" t="s">
        <v>4393</v>
      </c>
      <c r="J896" t="s">
        <v>4406</v>
      </c>
      <c r="K896" t="s">
        <v>36</v>
      </c>
      <c r="L896" t="s">
        <v>33</v>
      </c>
      <c r="M896">
        <v>10422965284</v>
      </c>
      <c r="N896" t="s">
        <v>215</v>
      </c>
      <c r="P896" t="s">
        <v>38</v>
      </c>
      <c r="Q896" t="s">
        <v>216</v>
      </c>
      <c r="R896" t="s">
        <v>4407</v>
      </c>
      <c r="S896">
        <v>1681.5</v>
      </c>
      <c r="T896" t="s">
        <v>40</v>
      </c>
      <c r="U896">
        <f>+IF(Tabla1[[#This Row],[MONEDA]]="PEN",Tabla1[[#This Row],[MONTO]],Tabla1[[#This Row],[MONTO]]*3.56)</f>
        <v>1681.5</v>
      </c>
      <c r="X896" t="s">
        <v>41</v>
      </c>
      <c r="Y896" t="s">
        <v>42</v>
      </c>
      <c r="Z896" t="s">
        <v>43</v>
      </c>
      <c r="AA896" t="s">
        <v>4210</v>
      </c>
      <c r="AB896" t="s">
        <v>4408</v>
      </c>
      <c r="AC896" t="s">
        <v>4409</v>
      </c>
      <c r="AD896" t="s">
        <v>4410</v>
      </c>
      <c r="AE896">
        <v>1631.06</v>
      </c>
      <c r="AF896" t="s">
        <v>87</v>
      </c>
      <c r="AG896" t="s">
        <v>169</v>
      </c>
    </row>
    <row r="897" spans="1:33" x14ac:dyDescent="0.25">
      <c r="A897">
        <v>34942</v>
      </c>
      <c r="B897" t="s">
        <v>32</v>
      </c>
      <c r="C897">
        <v>1</v>
      </c>
      <c r="D897" t="s">
        <v>4411</v>
      </c>
      <c r="E897" t="s">
        <v>70</v>
      </c>
      <c r="F897" t="s">
        <v>90</v>
      </c>
      <c r="G897" t="s">
        <v>91</v>
      </c>
      <c r="H897" t="s">
        <v>35</v>
      </c>
      <c r="I897" t="s">
        <v>4393</v>
      </c>
      <c r="J897" t="s">
        <v>4412</v>
      </c>
      <c r="K897" t="s">
        <v>36</v>
      </c>
      <c r="L897" t="s">
        <v>33</v>
      </c>
      <c r="M897">
        <v>10422965284</v>
      </c>
      <c r="N897" t="s">
        <v>215</v>
      </c>
      <c r="P897" t="s">
        <v>38</v>
      </c>
      <c r="Q897" t="s">
        <v>216</v>
      </c>
      <c r="R897" t="s">
        <v>4413</v>
      </c>
      <c r="S897">
        <v>849.6</v>
      </c>
      <c r="T897" t="s">
        <v>40</v>
      </c>
      <c r="U897">
        <f>+IF(Tabla1[[#This Row],[MONEDA]]="PEN",Tabla1[[#This Row],[MONTO]],Tabla1[[#This Row],[MONTO]]*3.56)</f>
        <v>849.6</v>
      </c>
      <c r="X897" t="s">
        <v>41</v>
      </c>
      <c r="Y897" t="s">
        <v>42</v>
      </c>
      <c r="Z897" t="s">
        <v>43</v>
      </c>
      <c r="AA897" t="s">
        <v>4414</v>
      </c>
      <c r="AB897" t="s">
        <v>4415</v>
      </c>
      <c r="AC897" t="s">
        <v>4416</v>
      </c>
      <c r="AD897" t="s">
        <v>4417</v>
      </c>
      <c r="AE897">
        <v>764.64</v>
      </c>
      <c r="AF897" t="s">
        <v>87</v>
      </c>
      <c r="AG897" t="s">
        <v>169</v>
      </c>
    </row>
    <row r="898" spans="1:33" x14ac:dyDescent="0.25">
      <c r="A898">
        <v>34943</v>
      </c>
      <c r="B898" t="s">
        <v>32</v>
      </c>
      <c r="C898">
        <v>1</v>
      </c>
      <c r="D898" t="s">
        <v>4418</v>
      </c>
      <c r="E898" t="s">
        <v>70</v>
      </c>
      <c r="F898" t="s">
        <v>90</v>
      </c>
      <c r="G898" t="s">
        <v>91</v>
      </c>
      <c r="H898" t="s">
        <v>35</v>
      </c>
      <c r="I898" t="s">
        <v>4393</v>
      </c>
      <c r="J898" t="s">
        <v>4419</v>
      </c>
      <c r="K898" t="s">
        <v>36</v>
      </c>
      <c r="L898" t="s">
        <v>33</v>
      </c>
      <c r="M898">
        <v>10422965284</v>
      </c>
      <c r="N898" t="s">
        <v>215</v>
      </c>
      <c r="P898" t="s">
        <v>38</v>
      </c>
      <c r="Q898" t="s">
        <v>216</v>
      </c>
      <c r="R898" t="s">
        <v>4420</v>
      </c>
      <c r="S898">
        <v>885</v>
      </c>
      <c r="T898" t="s">
        <v>40</v>
      </c>
      <c r="U898">
        <f>+IF(Tabla1[[#This Row],[MONEDA]]="PEN",Tabla1[[#This Row],[MONTO]],Tabla1[[#This Row],[MONTO]]*3.56)</f>
        <v>885</v>
      </c>
      <c r="X898" t="s">
        <v>41</v>
      </c>
      <c r="Y898" t="s">
        <v>42</v>
      </c>
      <c r="Z898" t="s">
        <v>43</v>
      </c>
      <c r="AA898" t="s">
        <v>4421</v>
      </c>
      <c r="AB898" t="s">
        <v>4422</v>
      </c>
      <c r="AC898" t="s">
        <v>4423</v>
      </c>
      <c r="AD898" t="s">
        <v>4424</v>
      </c>
      <c r="AE898">
        <v>796.5</v>
      </c>
      <c r="AF898" t="s">
        <v>87</v>
      </c>
      <c r="AG898" t="s">
        <v>169</v>
      </c>
    </row>
    <row r="899" spans="1:33" x14ac:dyDescent="0.25">
      <c r="A899">
        <v>34945</v>
      </c>
      <c r="B899" t="s">
        <v>32</v>
      </c>
      <c r="C899">
        <v>1</v>
      </c>
      <c r="D899" t="s">
        <v>4425</v>
      </c>
      <c r="E899" t="s">
        <v>70</v>
      </c>
      <c r="F899" t="s">
        <v>90</v>
      </c>
      <c r="G899" t="s">
        <v>91</v>
      </c>
      <c r="H899" t="s">
        <v>35</v>
      </c>
      <c r="I899" t="s">
        <v>4393</v>
      </c>
      <c r="J899" t="s">
        <v>4426</v>
      </c>
      <c r="K899" t="s">
        <v>36</v>
      </c>
      <c r="L899" t="s">
        <v>33</v>
      </c>
      <c r="M899">
        <v>10422965284</v>
      </c>
      <c r="N899" t="s">
        <v>215</v>
      </c>
      <c r="P899" t="s">
        <v>38</v>
      </c>
      <c r="Q899" t="s">
        <v>216</v>
      </c>
      <c r="R899" t="s">
        <v>4427</v>
      </c>
      <c r="S899">
        <v>1947</v>
      </c>
      <c r="T899" t="s">
        <v>40</v>
      </c>
      <c r="U899">
        <f>+IF(Tabla1[[#This Row],[MONEDA]]="PEN",Tabla1[[#This Row],[MONTO]],Tabla1[[#This Row],[MONTO]]*3.56)</f>
        <v>1947</v>
      </c>
      <c r="X899" t="s">
        <v>41</v>
      </c>
      <c r="Y899" t="s">
        <v>42</v>
      </c>
      <c r="Z899" t="s">
        <v>43</v>
      </c>
      <c r="AA899" t="s">
        <v>4210</v>
      </c>
      <c r="AB899" t="s">
        <v>4428</v>
      </c>
      <c r="AC899" t="s">
        <v>4429</v>
      </c>
      <c r="AD899" t="s">
        <v>4430</v>
      </c>
      <c r="AE899">
        <v>1888.59</v>
      </c>
      <c r="AF899" t="s">
        <v>87</v>
      </c>
      <c r="AG899" t="s">
        <v>169</v>
      </c>
    </row>
    <row r="900" spans="1:33" x14ac:dyDescent="0.25">
      <c r="A900">
        <v>34665</v>
      </c>
      <c r="B900" t="s">
        <v>32</v>
      </c>
      <c r="C900">
        <v>1</v>
      </c>
      <c r="D900" t="s">
        <v>4571</v>
      </c>
      <c r="E900" t="s">
        <v>70</v>
      </c>
      <c r="F900" t="s">
        <v>90</v>
      </c>
      <c r="G900" t="s">
        <v>91</v>
      </c>
      <c r="H900" t="s">
        <v>35</v>
      </c>
      <c r="I900" t="s">
        <v>4572</v>
      </c>
      <c r="J900" t="s">
        <v>4573</v>
      </c>
      <c r="K900" t="s">
        <v>36</v>
      </c>
      <c r="L900" t="s">
        <v>33</v>
      </c>
      <c r="M900">
        <v>10422965284</v>
      </c>
      <c r="N900" t="s">
        <v>215</v>
      </c>
      <c r="P900" t="s">
        <v>38</v>
      </c>
      <c r="Q900" t="s">
        <v>216</v>
      </c>
      <c r="R900" t="s">
        <v>4574</v>
      </c>
      <c r="S900">
        <v>1681.5</v>
      </c>
      <c r="T900" t="s">
        <v>40</v>
      </c>
      <c r="U900">
        <f>+IF(Tabla1[[#This Row],[MONEDA]]="PEN",Tabla1[[#This Row],[MONTO]],Tabla1[[#This Row],[MONTO]]*3.56)</f>
        <v>1681.5</v>
      </c>
      <c r="X900" t="s">
        <v>41</v>
      </c>
      <c r="Y900" t="s">
        <v>42</v>
      </c>
      <c r="Z900" t="s">
        <v>43</v>
      </c>
      <c r="AA900" t="s">
        <v>4210</v>
      </c>
      <c r="AB900" t="s">
        <v>4575</v>
      </c>
      <c r="AC900" t="s">
        <v>4576</v>
      </c>
      <c r="AD900" t="s">
        <v>4577</v>
      </c>
      <c r="AE900">
        <v>1631.06</v>
      </c>
      <c r="AF900" t="s">
        <v>87</v>
      </c>
      <c r="AG900" t="s">
        <v>169</v>
      </c>
    </row>
    <row r="901" spans="1:33" x14ac:dyDescent="0.25">
      <c r="A901">
        <v>28980</v>
      </c>
      <c r="B901" t="s">
        <v>32</v>
      </c>
      <c r="C901">
        <v>1</v>
      </c>
      <c r="D901" t="s">
        <v>5318</v>
      </c>
      <c r="E901" t="s">
        <v>70</v>
      </c>
      <c r="F901" t="s">
        <v>90</v>
      </c>
      <c r="G901" t="s">
        <v>91</v>
      </c>
      <c r="H901" t="s">
        <v>72</v>
      </c>
      <c r="I901" t="s">
        <v>5319</v>
      </c>
      <c r="J901" t="s">
        <v>5320</v>
      </c>
      <c r="K901" t="s">
        <v>36</v>
      </c>
      <c r="L901" t="s">
        <v>33</v>
      </c>
      <c r="M901">
        <v>10422965284</v>
      </c>
      <c r="N901" t="s">
        <v>215</v>
      </c>
      <c r="P901" t="s">
        <v>38</v>
      </c>
      <c r="Q901" t="s">
        <v>216</v>
      </c>
      <c r="R901" t="s">
        <v>5321</v>
      </c>
      <c r="S901">
        <v>11770.5</v>
      </c>
      <c r="T901" t="s">
        <v>40</v>
      </c>
      <c r="U901">
        <f>+IF(Tabla1[[#This Row],[MONEDA]]="PEN",Tabla1[[#This Row],[MONTO]],Tabla1[[#This Row],[MONTO]]*3.56)</f>
        <v>11770.5</v>
      </c>
      <c r="X901" t="s">
        <v>41</v>
      </c>
      <c r="Y901" t="s">
        <v>42</v>
      </c>
      <c r="Z901" t="s">
        <v>43</v>
      </c>
      <c r="AA901" t="s">
        <v>5322</v>
      </c>
      <c r="AB901" t="s">
        <v>5323</v>
      </c>
      <c r="AC901" t="s">
        <v>5324</v>
      </c>
      <c r="AD901" t="s">
        <v>5325</v>
      </c>
      <c r="AE901">
        <v>11417.39</v>
      </c>
      <c r="AG901" t="s">
        <v>169</v>
      </c>
    </row>
    <row r="902" spans="1:33" x14ac:dyDescent="0.25">
      <c r="A902">
        <v>28303</v>
      </c>
      <c r="B902" t="s">
        <v>32</v>
      </c>
      <c r="C902">
        <v>1</v>
      </c>
      <c r="D902" t="s">
        <v>7801</v>
      </c>
      <c r="E902" t="s">
        <v>70</v>
      </c>
      <c r="F902" t="s">
        <v>90</v>
      </c>
      <c r="G902" t="s">
        <v>91</v>
      </c>
      <c r="H902" t="s">
        <v>5153</v>
      </c>
      <c r="I902" t="s">
        <v>7802</v>
      </c>
      <c r="J902" t="s">
        <v>7803</v>
      </c>
      <c r="K902" t="s">
        <v>36</v>
      </c>
      <c r="L902" t="s">
        <v>33</v>
      </c>
      <c r="M902">
        <v>10422965284</v>
      </c>
      <c r="N902" t="s">
        <v>215</v>
      </c>
      <c r="P902" t="s">
        <v>38</v>
      </c>
      <c r="Q902" t="s">
        <v>216</v>
      </c>
      <c r="R902" t="s">
        <v>7804</v>
      </c>
      <c r="S902">
        <v>672.6</v>
      </c>
      <c r="T902" t="s">
        <v>40</v>
      </c>
      <c r="U902">
        <f>+IF(Tabla1[[#This Row],[MONEDA]]="PEN",Tabla1[[#This Row],[MONTO]],Tabla1[[#This Row],[MONTO]]*3.56)</f>
        <v>672.6</v>
      </c>
      <c r="X902" t="s">
        <v>41</v>
      </c>
      <c r="Y902" t="s">
        <v>42</v>
      </c>
      <c r="Z902" t="s">
        <v>43</v>
      </c>
      <c r="AA902" t="s">
        <v>7805</v>
      </c>
      <c r="AB902" t="s">
        <v>7806</v>
      </c>
      <c r="AC902" t="s">
        <v>7807</v>
      </c>
      <c r="AD902" t="s">
        <v>7808</v>
      </c>
      <c r="AE902">
        <v>672.6</v>
      </c>
      <c r="AF902" t="s">
        <v>87</v>
      </c>
      <c r="AG902" t="s">
        <v>169</v>
      </c>
    </row>
    <row r="903" spans="1:33" x14ac:dyDescent="0.25">
      <c r="A903">
        <v>28304</v>
      </c>
      <c r="B903" t="s">
        <v>32</v>
      </c>
      <c r="C903">
        <v>1</v>
      </c>
      <c r="D903" t="s">
        <v>7809</v>
      </c>
      <c r="E903" t="s">
        <v>70</v>
      </c>
      <c r="F903" t="s">
        <v>90</v>
      </c>
      <c r="G903" t="s">
        <v>91</v>
      </c>
      <c r="H903" t="s">
        <v>5153</v>
      </c>
      <c r="I903" t="s">
        <v>7802</v>
      </c>
      <c r="J903" t="s">
        <v>7810</v>
      </c>
      <c r="K903" t="s">
        <v>36</v>
      </c>
      <c r="L903" t="s">
        <v>33</v>
      </c>
      <c r="M903">
        <v>10422965284</v>
      </c>
      <c r="N903" t="s">
        <v>215</v>
      </c>
      <c r="P903" t="s">
        <v>38</v>
      </c>
      <c r="Q903" t="s">
        <v>216</v>
      </c>
      <c r="R903" t="s">
        <v>7811</v>
      </c>
      <c r="S903">
        <v>1681.5</v>
      </c>
      <c r="T903" t="s">
        <v>40</v>
      </c>
      <c r="U903">
        <f>+IF(Tabla1[[#This Row],[MONEDA]]="PEN",Tabla1[[#This Row],[MONTO]],Tabla1[[#This Row],[MONTO]]*3.56)</f>
        <v>1681.5</v>
      </c>
      <c r="X903" t="s">
        <v>41</v>
      </c>
      <c r="Y903" t="s">
        <v>42</v>
      </c>
      <c r="Z903" t="s">
        <v>43</v>
      </c>
      <c r="AA903" t="s">
        <v>7812</v>
      </c>
      <c r="AB903" t="s">
        <v>7813</v>
      </c>
      <c r="AC903" t="s">
        <v>7814</v>
      </c>
      <c r="AD903" t="s">
        <v>7815</v>
      </c>
      <c r="AE903">
        <v>1631.06</v>
      </c>
      <c r="AF903" t="s">
        <v>87</v>
      </c>
      <c r="AG903" t="s">
        <v>169</v>
      </c>
    </row>
    <row r="904" spans="1:33" x14ac:dyDescent="0.25">
      <c r="A904">
        <v>28305</v>
      </c>
      <c r="B904" t="s">
        <v>32</v>
      </c>
      <c r="C904">
        <v>1</v>
      </c>
      <c r="D904" t="s">
        <v>7816</v>
      </c>
      <c r="E904" t="s">
        <v>70</v>
      </c>
      <c r="F904" t="s">
        <v>90</v>
      </c>
      <c r="G904" t="s">
        <v>91</v>
      </c>
      <c r="H904" t="s">
        <v>5153</v>
      </c>
      <c r="I904" t="s">
        <v>7802</v>
      </c>
      <c r="J904" t="s">
        <v>7817</v>
      </c>
      <c r="K904" t="s">
        <v>36</v>
      </c>
      <c r="L904" t="s">
        <v>33</v>
      </c>
      <c r="M904">
        <v>10422965284</v>
      </c>
      <c r="N904" t="s">
        <v>215</v>
      </c>
      <c r="P904" t="s">
        <v>38</v>
      </c>
      <c r="Q904" t="s">
        <v>216</v>
      </c>
      <c r="R904" t="s">
        <v>7818</v>
      </c>
      <c r="S904">
        <v>1681.5</v>
      </c>
      <c r="T904" t="s">
        <v>40</v>
      </c>
      <c r="U904">
        <f>+IF(Tabla1[[#This Row],[MONEDA]]="PEN",Tabla1[[#This Row],[MONTO]],Tabla1[[#This Row],[MONTO]]*3.56)</f>
        <v>1681.5</v>
      </c>
      <c r="X904" t="s">
        <v>41</v>
      </c>
      <c r="Y904" t="s">
        <v>42</v>
      </c>
      <c r="Z904" t="s">
        <v>43</v>
      </c>
      <c r="AA904" t="s">
        <v>7819</v>
      </c>
      <c r="AB904" t="s">
        <v>7820</v>
      </c>
      <c r="AC904" t="s">
        <v>7821</v>
      </c>
      <c r="AD904" t="s">
        <v>7822</v>
      </c>
      <c r="AE904">
        <v>1631.06</v>
      </c>
      <c r="AF904" t="s">
        <v>87</v>
      </c>
      <c r="AG904" t="s">
        <v>169</v>
      </c>
    </row>
    <row r="905" spans="1:33" x14ac:dyDescent="0.25">
      <c r="A905">
        <v>28306</v>
      </c>
      <c r="B905" t="s">
        <v>32</v>
      </c>
      <c r="C905">
        <v>1</v>
      </c>
      <c r="D905" t="s">
        <v>7823</v>
      </c>
      <c r="E905" t="s">
        <v>70</v>
      </c>
      <c r="F905" t="s">
        <v>90</v>
      </c>
      <c r="G905" t="s">
        <v>91</v>
      </c>
      <c r="H905" t="s">
        <v>5153</v>
      </c>
      <c r="I905" t="s">
        <v>7802</v>
      </c>
      <c r="J905" t="s">
        <v>7824</v>
      </c>
      <c r="K905" t="s">
        <v>36</v>
      </c>
      <c r="L905" t="s">
        <v>33</v>
      </c>
      <c r="M905">
        <v>10422965284</v>
      </c>
      <c r="N905" t="s">
        <v>215</v>
      </c>
      <c r="P905" t="s">
        <v>38</v>
      </c>
      <c r="Q905" t="s">
        <v>216</v>
      </c>
      <c r="R905" t="s">
        <v>7825</v>
      </c>
      <c r="S905">
        <v>1681.5</v>
      </c>
      <c r="T905" t="s">
        <v>40</v>
      </c>
      <c r="U905">
        <f>+IF(Tabla1[[#This Row],[MONEDA]]="PEN",Tabla1[[#This Row],[MONTO]],Tabla1[[#This Row],[MONTO]]*3.56)</f>
        <v>1681.5</v>
      </c>
      <c r="X905" t="s">
        <v>41</v>
      </c>
      <c r="Y905" t="s">
        <v>42</v>
      </c>
      <c r="Z905" t="s">
        <v>43</v>
      </c>
      <c r="AA905" t="s">
        <v>7826</v>
      </c>
      <c r="AB905" t="s">
        <v>7827</v>
      </c>
      <c r="AC905" t="s">
        <v>7828</v>
      </c>
      <c r="AD905" t="s">
        <v>7829</v>
      </c>
      <c r="AE905">
        <v>1631.06</v>
      </c>
      <c r="AF905" t="s">
        <v>87</v>
      </c>
      <c r="AG905" t="s">
        <v>169</v>
      </c>
    </row>
    <row r="906" spans="1:33" x14ac:dyDescent="0.25">
      <c r="A906">
        <v>28307</v>
      </c>
      <c r="B906" t="s">
        <v>32</v>
      </c>
      <c r="C906">
        <v>1</v>
      </c>
      <c r="D906" t="s">
        <v>7830</v>
      </c>
      <c r="E906" t="s">
        <v>70</v>
      </c>
      <c r="F906" t="s">
        <v>90</v>
      </c>
      <c r="G906" t="s">
        <v>91</v>
      </c>
      <c r="H906" t="s">
        <v>5153</v>
      </c>
      <c r="I906" t="s">
        <v>7802</v>
      </c>
      <c r="J906" t="s">
        <v>7831</v>
      </c>
      <c r="K906" t="s">
        <v>36</v>
      </c>
      <c r="L906" t="s">
        <v>33</v>
      </c>
      <c r="M906">
        <v>10422965284</v>
      </c>
      <c r="N906" t="s">
        <v>215</v>
      </c>
      <c r="P906" t="s">
        <v>38</v>
      </c>
      <c r="Q906" t="s">
        <v>216</v>
      </c>
      <c r="R906" t="s">
        <v>7832</v>
      </c>
      <c r="S906">
        <v>1681.5</v>
      </c>
      <c r="T906" t="s">
        <v>40</v>
      </c>
      <c r="U906">
        <f>+IF(Tabla1[[#This Row],[MONEDA]]="PEN",Tabla1[[#This Row],[MONTO]],Tabla1[[#This Row],[MONTO]]*3.56)</f>
        <v>1681.5</v>
      </c>
      <c r="X906" t="s">
        <v>41</v>
      </c>
      <c r="Y906" t="s">
        <v>42</v>
      </c>
      <c r="Z906" t="s">
        <v>43</v>
      </c>
      <c r="AA906" t="s">
        <v>7833</v>
      </c>
      <c r="AB906" t="s">
        <v>7834</v>
      </c>
      <c r="AC906" t="s">
        <v>7835</v>
      </c>
      <c r="AD906" t="s">
        <v>7836</v>
      </c>
      <c r="AE906">
        <v>1631.06</v>
      </c>
      <c r="AF906" t="s">
        <v>87</v>
      </c>
      <c r="AG906" t="s">
        <v>169</v>
      </c>
    </row>
    <row r="907" spans="1:33" x14ac:dyDescent="0.25">
      <c r="A907">
        <v>28308</v>
      </c>
      <c r="B907" t="s">
        <v>32</v>
      </c>
      <c r="C907">
        <v>1</v>
      </c>
      <c r="D907" t="s">
        <v>7837</v>
      </c>
      <c r="E907" t="s">
        <v>70</v>
      </c>
      <c r="F907" t="s">
        <v>90</v>
      </c>
      <c r="G907" t="s">
        <v>91</v>
      </c>
      <c r="H907" t="s">
        <v>5153</v>
      </c>
      <c r="I907" t="s">
        <v>7802</v>
      </c>
      <c r="J907" t="s">
        <v>7838</v>
      </c>
      <c r="K907" t="s">
        <v>36</v>
      </c>
      <c r="L907" t="s">
        <v>33</v>
      </c>
      <c r="M907">
        <v>10422965284</v>
      </c>
      <c r="N907" t="s">
        <v>215</v>
      </c>
      <c r="P907" t="s">
        <v>38</v>
      </c>
      <c r="Q907" t="s">
        <v>216</v>
      </c>
      <c r="R907" t="s">
        <v>7839</v>
      </c>
      <c r="S907">
        <v>885</v>
      </c>
      <c r="T907" t="s">
        <v>40</v>
      </c>
      <c r="U907">
        <f>+IF(Tabla1[[#This Row],[MONEDA]]="PEN",Tabla1[[#This Row],[MONTO]],Tabla1[[#This Row],[MONTO]]*3.56)</f>
        <v>885</v>
      </c>
      <c r="X907" t="s">
        <v>41</v>
      </c>
      <c r="Y907" t="s">
        <v>42</v>
      </c>
      <c r="Z907" t="s">
        <v>43</v>
      </c>
      <c r="AA907" t="s">
        <v>7840</v>
      </c>
      <c r="AB907" t="s">
        <v>7841</v>
      </c>
      <c r="AC907" t="s">
        <v>7842</v>
      </c>
      <c r="AD907" t="s">
        <v>7843</v>
      </c>
      <c r="AE907">
        <v>796.5</v>
      </c>
      <c r="AF907" t="s">
        <v>87</v>
      </c>
      <c r="AG907" t="s">
        <v>169</v>
      </c>
    </row>
    <row r="908" spans="1:33" x14ac:dyDescent="0.25">
      <c r="A908">
        <v>28309</v>
      </c>
      <c r="B908" t="s">
        <v>32</v>
      </c>
      <c r="C908">
        <v>1</v>
      </c>
      <c r="D908" t="s">
        <v>7844</v>
      </c>
      <c r="E908" t="s">
        <v>70</v>
      </c>
      <c r="F908" t="s">
        <v>90</v>
      </c>
      <c r="G908" t="s">
        <v>91</v>
      </c>
      <c r="H908" t="s">
        <v>5153</v>
      </c>
      <c r="I908" t="s">
        <v>7802</v>
      </c>
      <c r="J908" t="s">
        <v>7845</v>
      </c>
      <c r="K908" t="s">
        <v>36</v>
      </c>
      <c r="L908" t="s">
        <v>33</v>
      </c>
      <c r="M908">
        <v>10422965284</v>
      </c>
      <c r="N908" t="s">
        <v>215</v>
      </c>
      <c r="P908" t="s">
        <v>38</v>
      </c>
      <c r="Q908" t="s">
        <v>216</v>
      </c>
      <c r="R908" t="s">
        <v>7846</v>
      </c>
      <c r="S908">
        <v>849.6</v>
      </c>
      <c r="T908" t="s">
        <v>40</v>
      </c>
      <c r="U908">
        <f>+IF(Tabla1[[#This Row],[MONEDA]]="PEN",Tabla1[[#This Row],[MONTO]],Tabla1[[#This Row],[MONTO]]*3.56)</f>
        <v>849.6</v>
      </c>
      <c r="X908" t="s">
        <v>41</v>
      </c>
      <c r="Y908" t="s">
        <v>42</v>
      </c>
      <c r="Z908" t="s">
        <v>43</v>
      </c>
      <c r="AA908" t="s">
        <v>7847</v>
      </c>
      <c r="AB908" t="s">
        <v>7848</v>
      </c>
      <c r="AC908" t="s">
        <v>7849</v>
      </c>
      <c r="AD908" t="s">
        <v>7850</v>
      </c>
      <c r="AE908">
        <v>764.64</v>
      </c>
      <c r="AF908" t="s">
        <v>87</v>
      </c>
      <c r="AG908" t="s">
        <v>169</v>
      </c>
    </row>
    <row r="909" spans="1:33" x14ac:dyDescent="0.25">
      <c r="A909">
        <v>27999</v>
      </c>
      <c r="B909" t="s">
        <v>32</v>
      </c>
      <c r="C909">
        <v>1</v>
      </c>
      <c r="D909" t="s">
        <v>7999</v>
      </c>
      <c r="E909" t="s">
        <v>70</v>
      </c>
      <c r="F909" t="s">
        <v>90</v>
      </c>
      <c r="G909" t="s">
        <v>91</v>
      </c>
      <c r="H909" t="s">
        <v>5153</v>
      </c>
      <c r="I909" t="s">
        <v>8000</v>
      </c>
      <c r="J909" t="s">
        <v>8001</v>
      </c>
      <c r="K909" t="s">
        <v>36</v>
      </c>
      <c r="L909" t="s">
        <v>33</v>
      </c>
      <c r="M909">
        <v>10422965284</v>
      </c>
      <c r="N909" t="s">
        <v>215</v>
      </c>
      <c r="P909" t="s">
        <v>38</v>
      </c>
      <c r="Q909" t="s">
        <v>216</v>
      </c>
      <c r="R909" t="s">
        <v>8002</v>
      </c>
      <c r="S909">
        <v>885</v>
      </c>
      <c r="T909" t="s">
        <v>40</v>
      </c>
      <c r="U909">
        <f>+IF(Tabla1[[#This Row],[MONEDA]]="PEN",Tabla1[[#This Row],[MONTO]],Tabla1[[#This Row],[MONTO]]*3.56)</f>
        <v>885</v>
      </c>
      <c r="X909" t="s">
        <v>41</v>
      </c>
      <c r="Y909" t="s">
        <v>42</v>
      </c>
      <c r="Z909" t="s">
        <v>82</v>
      </c>
      <c r="AA909" t="s">
        <v>8003</v>
      </c>
      <c r="AB909" t="s">
        <v>8004</v>
      </c>
      <c r="AC909" t="s">
        <v>8005</v>
      </c>
      <c r="AD909" t="s">
        <v>8006</v>
      </c>
      <c r="AE909">
        <v>796.5</v>
      </c>
      <c r="AF909" t="s">
        <v>87</v>
      </c>
      <c r="AG909" t="s">
        <v>169</v>
      </c>
    </row>
    <row r="910" spans="1:33" x14ac:dyDescent="0.25">
      <c r="A910">
        <v>28000</v>
      </c>
      <c r="B910" t="s">
        <v>32</v>
      </c>
      <c r="C910">
        <v>1</v>
      </c>
      <c r="D910" t="s">
        <v>8007</v>
      </c>
      <c r="E910" t="s">
        <v>70</v>
      </c>
      <c r="F910" t="s">
        <v>90</v>
      </c>
      <c r="G910" t="s">
        <v>91</v>
      </c>
      <c r="H910" t="s">
        <v>5153</v>
      </c>
      <c r="I910" t="s">
        <v>8000</v>
      </c>
      <c r="J910" t="s">
        <v>8008</v>
      </c>
      <c r="K910" t="s">
        <v>36</v>
      </c>
      <c r="L910" t="s">
        <v>33</v>
      </c>
      <c r="M910">
        <v>10422965284</v>
      </c>
      <c r="N910" t="s">
        <v>215</v>
      </c>
      <c r="P910" t="s">
        <v>38</v>
      </c>
      <c r="Q910" t="s">
        <v>216</v>
      </c>
      <c r="R910" t="s">
        <v>8009</v>
      </c>
      <c r="S910">
        <v>849.6</v>
      </c>
      <c r="T910" t="s">
        <v>40</v>
      </c>
      <c r="U910">
        <f>+IF(Tabla1[[#This Row],[MONEDA]]="PEN",Tabla1[[#This Row],[MONTO]],Tabla1[[#This Row],[MONTO]]*3.56)</f>
        <v>849.6</v>
      </c>
      <c r="X910" t="s">
        <v>41</v>
      </c>
      <c r="Y910" t="s">
        <v>42</v>
      </c>
      <c r="Z910" t="s">
        <v>43</v>
      </c>
      <c r="AA910" t="s">
        <v>8010</v>
      </c>
      <c r="AB910" t="s">
        <v>8011</v>
      </c>
      <c r="AC910" t="s">
        <v>8012</v>
      </c>
      <c r="AD910" t="s">
        <v>8013</v>
      </c>
      <c r="AE910">
        <v>764.64</v>
      </c>
      <c r="AF910" t="s">
        <v>87</v>
      </c>
      <c r="AG910" t="s">
        <v>169</v>
      </c>
    </row>
    <row r="911" spans="1:33" x14ac:dyDescent="0.25">
      <c r="A911">
        <v>28001</v>
      </c>
      <c r="B911" t="s">
        <v>32</v>
      </c>
      <c r="C911">
        <v>1</v>
      </c>
      <c r="D911" t="s">
        <v>8014</v>
      </c>
      <c r="E911" t="s">
        <v>70</v>
      </c>
      <c r="F911" t="s">
        <v>90</v>
      </c>
      <c r="G911" t="s">
        <v>91</v>
      </c>
      <c r="H911" t="s">
        <v>5153</v>
      </c>
      <c r="I911" t="s">
        <v>8000</v>
      </c>
      <c r="J911" t="s">
        <v>8015</v>
      </c>
      <c r="K911" t="s">
        <v>36</v>
      </c>
      <c r="L911" t="s">
        <v>33</v>
      </c>
      <c r="M911">
        <v>10422965284</v>
      </c>
      <c r="N911" t="s">
        <v>215</v>
      </c>
      <c r="P911" t="s">
        <v>38</v>
      </c>
      <c r="Q911" t="s">
        <v>216</v>
      </c>
      <c r="R911" t="s">
        <v>8016</v>
      </c>
      <c r="S911">
        <v>1681.5</v>
      </c>
      <c r="T911" t="s">
        <v>40</v>
      </c>
      <c r="U911">
        <f>+IF(Tabla1[[#This Row],[MONEDA]]="PEN",Tabla1[[#This Row],[MONTO]],Tabla1[[#This Row],[MONTO]]*3.56)</f>
        <v>1681.5</v>
      </c>
      <c r="X911" t="s">
        <v>41</v>
      </c>
      <c r="Y911" t="s">
        <v>42</v>
      </c>
      <c r="Z911" t="s">
        <v>82</v>
      </c>
      <c r="AA911" t="s">
        <v>8017</v>
      </c>
      <c r="AB911" t="s">
        <v>8018</v>
      </c>
      <c r="AC911" t="s">
        <v>8019</v>
      </c>
      <c r="AD911" t="s">
        <v>8020</v>
      </c>
      <c r="AE911">
        <v>1631.06</v>
      </c>
      <c r="AF911" t="s">
        <v>87</v>
      </c>
      <c r="AG911" t="s">
        <v>169</v>
      </c>
    </row>
    <row r="912" spans="1:33" x14ac:dyDescent="0.25">
      <c r="A912">
        <v>26355</v>
      </c>
      <c r="B912" t="s">
        <v>32</v>
      </c>
      <c r="C912">
        <v>1</v>
      </c>
      <c r="D912" t="s">
        <v>9264</v>
      </c>
      <c r="E912" t="s">
        <v>70</v>
      </c>
      <c r="F912" t="s">
        <v>90</v>
      </c>
      <c r="G912" t="s">
        <v>91</v>
      </c>
      <c r="H912" t="s">
        <v>72</v>
      </c>
      <c r="I912" t="s">
        <v>9250</v>
      </c>
      <c r="J912" t="s">
        <v>9265</v>
      </c>
      <c r="K912" t="s">
        <v>36</v>
      </c>
      <c r="L912" t="s">
        <v>33</v>
      </c>
      <c r="M912">
        <v>10422965284</v>
      </c>
      <c r="N912" t="s">
        <v>215</v>
      </c>
      <c r="P912" t="s">
        <v>38</v>
      </c>
      <c r="Q912" t="s">
        <v>216</v>
      </c>
      <c r="R912" t="s">
        <v>9266</v>
      </c>
      <c r="S912">
        <v>1947</v>
      </c>
      <c r="T912" t="s">
        <v>40</v>
      </c>
      <c r="U912">
        <f>+IF(Tabla1[[#This Row],[MONEDA]]="PEN",Tabla1[[#This Row],[MONTO]],Tabla1[[#This Row],[MONTO]]*3.56)</f>
        <v>1947</v>
      </c>
      <c r="X912" t="s">
        <v>41</v>
      </c>
      <c r="Y912" t="s">
        <v>42</v>
      </c>
      <c r="Z912" t="s">
        <v>43</v>
      </c>
      <c r="AA912" t="s">
        <v>9267</v>
      </c>
      <c r="AB912" t="s">
        <v>9268</v>
      </c>
      <c r="AC912" t="s">
        <v>9269</v>
      </c>
      <c r="AD912" t="s">
        <v>9270</v>
      </c>
      <c r="AE912">
        <v>1752.3</v>
      </c>
      <c r="AF912" t="s">
        <v>87</v>
      </c>
      <c r="AG912" t="s">
        <v>169</v>
      </c>
    </row>
    <row r="913" spans="1:33" x14ac:dyDescent="0.25">
      <c r="A913">
        <v>25850</v>
      </c>
      <c r="B913" t="s">
        <v>32</v>
      </c>
      <c r="C913">
        <v>1</v>
      </c>
      <c r="D913" t="s">
        <v>9583</v>
      </c>
      <c r="E913" t="s">
        <v>70</v>
      </c>
      <c r="F913" t="s">
        <v>90</v>
      </c>
      <c r="G913" t="s">
        <v>91</v>
      </c>
      <c r="H913" t="s">
        <v>9503</v>
      </c>
      <c r="I913" t="s">
        <v>9582</v>
      </c>
      <c r="J913" t="s">
        <v>9584</v>
      </c>
      <c r="K913" t="s">
        <v>36</v>
      </c>
      <c r="L913" t="s">
        <v>33</v>
      </c>
      <c r="M913">
        <v>10422965284</v>
      </c>
      <c r="N913" t="s">
        <v>215</v>
      </c>
      <c r="P913" t="s">
        <v>38</v>
      </c>
      <c r="Q913" t="s">
        <v>216</v>
      </c>
      <c r="R913" t="s">
        <v>8016</v>
      </c>
      <c r="S913">
        <v>1681.5</v>
      </c>
      <c r="T913" t="s">
        <v>40</v>
      </c>
      <c r="U913">
        <f>+IF(Tabla1[[#This Row],[MONEDA]]="PEN",Tabla1[[#This Row],[MONTO]],Tabla1[[#This Row],[MONTO]]*3.56)</f>
        <v>1681.5</v>
      </c>
      <c r="X913" t="s">
        <v>41</v>
      </c>
      <c r="Y913" t="s">
        <v>42</v>
      </c>
      <c r="Z913" t="s">
        <v>43</v>
      </c>
      <c r="AA913" t="s">
        <v>9585</v>
      </c>
      <c r="AB913" t="s">
        <v>9586</v>
      </c>
      <c r="AC913" t="s">
        <v>9587</v>
      </c>
      <c r="AD913" t="s">
        <v>9588</v>
      </c>
      <c r="AE913">
        <v>1631.06</v>
      </c>
      <c r="AF913" t="s">
        <v>87</v>
      </c>
      <c r="AG913" t="s">
        <v>169</v>
      </c>
    </row>
    <row r="914" spans="1:33" x14ac:dyDescent="0.25">
      <c r="A914">
        <v>25851</v>
      </c>
      <c r="B914" t="s">
        <v>32</v>
      </c>
      <c r="C914">
        <v>1</v>
      </c>
      <c r="D914" t="s">
        <v>9589</v>
      </c>
      <c r="E914" t="s">
        <v>70</v>
      </c>
      <c r="F914" t="s">
        <v>90</v>
      </c>
      <c r="G914" t="s">
        <v>91</v>
      </c>
      <c r="H914" t="s">
        <v>9503</v>
      </c>
      <c r="I914" t="s">
        <v>9582</v>
      </c>
      <c r="J914" t="s">
        <v>9590</v>
      </c>
      <c r="K914" t="s">
        <v>36</v>
      </c>
      <c r="L914" t="s">
        <v>33</v>
      </c>
      <c r="M914">
        <v>10422965284</v>
      </c>
      <c r="N914" t="s">
        <v>215</v>
      </c>
      <c r="P914" t="s">
        <v>38</v>
      </c>
      <c r="Q914" t="s">
        <v>216</v>
      </c>
      <c r="R914" t="s">
        <v>8002</v>
      </c>
      <c r="S914">
        <v>885</v>
      </c>
      <c r="T914" t="s">
        <v>40</v>
      </c>
      <c r="U914">
        <f>+IF(Tabla1[[#This Row],[MONEDA]]="PEN",Tabla1[[#This Row],[MONTO]],Tabla1[[#This Row],[MONTO]]*3.56)</f>
        <v>885</v>
      </c>
      <c r="X914" t="s">
        <v>41</v>
      </c>
      <c r="Y914" t="s">
        <v>42</v>
      </c>
      <c r="Z914" t="s">
        <v>43</v>
      </c>
      <c r="AA914" t="s">
        <v>9591</v>
      </c>
      <c r="AB914" t="s">
        <v>9592</v>
      </c>
      <c r="AC914" t="s">
        <v>9593</v>
      </c>
      <c r="AD914" t="s">
        <v>9594</v>
      </c>
      <c r="AE914">
        <v>796.5</v>
      </c>
      <c r="AF914" t="s">
        <v>87</v>
      </c>
      <c r="AG914" t="s">
        <v>169</v>
      </c>
    </row>
    <row r="915" spans="1:33" x14ac:dyDescent="0.25">
      <c r="A915">
        <v>25181</v>
      </c>
      <c r="B915" t="s">
        <v>32</v>
      </c>
      <c r="C915">
        <v>1</v>
      </c>
      <c r="D915" t="s">
        <v>9921</v>
      </c>
      <c r="E915" t="s">
        <v>70</v>
      </c>
      <c r="F915" t="s">
        <v>90</v>
      </c>
      <c r="G915" t="s">
        <v>91</v>
      </c>
      <c r="H915" t="s">
        <v>9503</v>
      </c>
      <c r="I915" t="s">
        <v>9920</v>
      </c>
      <c r="J915" t="s">
        <v>9922</v>
      </c>
      <c r="K915" t="s">
        <v>36</v>
      </c>
      <c r="L915" t="s">
        <v>33</v>
      </c>
      <c r="M915">
        <v>10422965284</v>
      </c>
      <c r="N915" t="s">
        <v>215</v>
      </c>
      <c r="P915" t="s">
        <v>38</v>
      </c>
      <c r="Q915" t="s">
        <v>216</v>
      </c>
      <c r="R915" t="s">
        <v>9923</v>
      </c>
      <c r="S915">
        <v>885</v>
      </c>
      <c r="T915" t="s">
        <v>40</v>
      </c>
      <c r="U915">
        <f>+IF(Tabla1[[#This Row],[MONEDA]]="PEN",Tabla1[[#This Row],[MONTO]],Tabla1[[#This Row],[MONTO]]*3.56)</f>
        <v>885</v>
      </c>
      <c r="X915" t="s">
        <v>41</v>
      </c>
      <c r="Y915" t="s">
        <v>42</v>
      </c>
      <c r="Z915" t="s">
        <v>43</v>
      </c>
      <c r="AA915" t="s">
        <v>9924</v>
      </c>
      <c r="AB915" t="s">
        <v>9925</v>
      </c>
      <c r="AC915" t="s">
        <v>9926</v>
      </c>
      <c r="AD915" t="s">
        <v>9927</v>
      </c>
      <c r="AE915">
        <v>796.5</v>
      </c>
      <c r="AF915" t="s">
        <v>87</v>
      </c>
      <c r="AG915" t="s">
        <v>169</v>
      </c>
    </row>
    <row r="916" spans="1:33" x14ac:dyDescent="0.25">
      <c r="A916">
        <v>25182</v>
      </c>
      <c r="B916" t="s">
        <v>32</v>
      </c>
      <c r="C916">
        <v>1</v>
      </c>
      <c r="D916" t="s">
        <v>9928</v>
      </c>
      <c r="E916" t="s">
        <v>70</v>
      </c>
      <c r="F916" t="s">
        <v>90</v>
      </c>
      <c r="G916" t="s">
        <v>91</v>
      </c>
      <c r="H916" t="s">
        <v>9503</v>
      </c>
      <c r="I916" t="s">
        <v>9920</v>
      </c>
      <c r="J916" t="s">
        <v>9929</v>
      </c>
      <c r="K916" t="s">
        <v>36</v>
      </c>
      <c r="L916" t="s">
        <v>33</v>
      </c>
      <c r="M916">
        <v>10422965284</v>
      </c>
      <c r="N916" t="s">
        <v>215</v>
      </c>
      <c r="P916" t="s">
        <v>38</v>
      </c>
      <c r="Q916" t="s">
        <v>216</v>
      </c>
      <c r="R916" t="s">
        <v>9930</v>
      </c>
      <c r="S916">
        <v>885</v>
      </c>
      <c r="T916" t="s">
        <v>40</v>
      </c>
      <c r="U916">
        <f>+IF(Tabla1[[#This Row],[MONEDA]]="PEN",Tabla1[[#This Row],[MONTO]],Tabla1[[#This Row],[MONTO]]*3.56)</f>
        <v>885</v>
      </c>
      <c r="X916" t="s">
        <v>41</v>
      </c>
      <c r="Y916" t="s">
        <v>42</v>
      </c>
      <c r="Z916" t="s">
        <v>43</v>
      </c>
      <c r="AA916" t="s">
        <v>9931</v>
      </c>
      <c r="AB916" t="s">
        <v>9932</v>
      </c>
      <c r="AC916" t="s">
        <v>9933</v>
      </c>
      <c r="AD916" t="s">
        <v>9934</v>
      </c>
      <c r="AE916">
        <v>796.5</v>
      </c>
      <c r="AF916" t="s">
        <v>87</v>
      </c>
      <c r="AG916" t="s">
        <v>169</v>
      </c>
    </row>
    <row r="917" spans="1:33" x14ac:dyDescent="0.25">
      <c r="A917">
        <v>25183</v>
      </c>
      <c r="B917" t="s">
        <v>32</v>
      </c>
      <c r="C917">
        <v>1</v>
      </c>
      <c r="D917" t="s">
        <v>9935</v>
      </c>
      <c r="E917" t="s">
        <v>70</v>
      </c>
      <c r="F917" t="s">
        <v>90</v>
      </c>
      <c r="G917" t="s">
        <v>91</v>
      </c>
      <c r="H917" t="s">
        <v>9503</v>
      </c>
      <c r="I917" t="s">
        <v>9920</v>
      </c>
      <c r="J917" t="s">
        <v>9936</v>
      </c>
      <c r="K917" t="s">
        <v>36</v>
      </c>
      <c r="L917" t="s">
        <v>33</v>
      </c>
      <c r="M917">
        <v>10422965284</v>
      </c>
      <c r="N917" t="s">
        <v>215</v>
      </c>
      <c r="P917" t="s">
        <v>38</v>
      </c>
      <c r="Q917" t="s">
        <v>216</v>
      </c>
      <c r="R917" t="s">
        <v>9937</v>
      </c>
      <c r="S917">
        <v>849.6</v>
      </c>
      <c r="T917" t="s">
        <v>40</v>
      </c>
      <c r="U917">
        <f>+IF(Tabla1[[#This Row],[MONEDA]]="PEN",Tabla1[[#This Row],[MONTO]],Tabla1[[#This Row],[MONTO]]*3.56)</f>
        <v>849.6</v>
      </c>
      <c r="X917" t="s">
        <v>41</v>
      </c>
      <c r="Y917" t="s">
        <v>42</v>
      </c>
      <c r="Z917" t="s">
        <v>43</v>
      </c>
      <c r="AA917" t="s">
        <v>9938</v>
      </c>
      <c r="AB917" t="s">
        <v>9939</v>
      </c>
      <c r="AC917" t="s">
        <v>9940</v>
      </c>
      <c r="AD917" t="s">
        <v>9941</v>
      </c>
      <c r="AE917">
        <v>764.64</v>
      </c>
      <c r="AF917" t="s">
        <v>87</v>
      </c>
      <c r="AG917" t="s">
        <v>169</v>
      </c>
    </row>
    <row r="918" spans="1:33" hidden="1" x14ac:dyDescent="0.25">
      <c r="A918">
        <v>23967</v>
      </c>
      <c r="B918" t="s">
        <v>32</v>
      </c>
      <c r="C918">
        <v>1</v>
      </c>
      <c r="D918" t="s">
        <v>10652</v>
      </c>
      <c r="E918" t="s">
        <v>70</v>
      </c>
      <c r="F918" t="s">
        <v>33</v>
      </c>
      <c r="G918" t="s">
        <v>9943</v>
      </c>
      <c r="H918" t="s">
        <v>9503</v>
      </c>
      <c r="I918" t="s">
        <v>10653</v>
      </c>
      <c r="J918" t="s">
        <v>10654</v>
      </c>
      <c r="K918" t="s">
        <v>36</v>
      </c>
      <c r="L918" t="s">
        <v>33</v>
      </c>
      <c r="M918">
        <v>10422965284</v>
      </c>
      <c r="N918" t="s">
        <v>215</v>
      </c>
      <c r="P918" t="s">
        <v>38</v>
      </c>
      <c r="Q918" t="s">
        <v>216</v>
      </c>
      <c r="R918" t="s">
        <v>10655</v>
      </c>
      <c r="S918">
        <v>672.6</v>
      </c>
      <c r="T918" t="s">
        <v>40</v>
      </c>
      <c r="U918">
        <f>+IF(Tabla1[[#This Row],[MONEDA]]="PEN",Tabla1[[#This Row],[MONTO]],Tabla1[[#This Row],[MONTO]]*3.56)</f>
        <v>672.6</v>
      </c>
      <c r="X918" t="s">
        <v>41</v>
      </c>
      <c r="Y918" t="s">
        <v>42</v>
      </c>
      <c r="Z918" t="s">
        <v>43</v>
      </c>
      <c r="AA918" t="s">
        <v>10656</v>
      </c>
      <c r="AB918" t="s">
        <v>10657</v>
      </c>
      <c r="AC918" t="s">
        <v>10658</v>
      </c>
      <c r="AD918" t="s">
        <v>10659</v>
      </c>
      <c r="AE918">
        <v>672.6</v>
      </c>
      <c r="AF918" t="s">
        <v>87</v>
      </c>
      <c r="AG918" t="s">
        <v>169</v>
      </c>
    </row>
    <row r="919" spans="1:33" hidden="1" x14ac:dyDescent="0.25">
      <c r="A919">
        <v>23969</v>
      </c>
      <c r="B919" t="s">
        <v>32</v>
      </c>
      <c r="C919">
        <v>1</v>
      </c>
      <c r="D919" t="s">
        <v>10661</v>
      </c>
      <c r="E919" t="s">
        <v>70</v>
      </c>
      <c r="F919" t="s">
        <v>33</v>
      </c>
      <c r="G919" t="s">
        <v>9943</v>
      </c>
      <c r="H919" t="s">
        <v>9503</v>
      </c>
      <c r="I919" t="s">
        <v>10653</v>
      </c>
      <c r="J919" t="s">
        <v>10662</v>
      </c>
      <c r="K919" t="s">
        <v>36</v>
      </c>
      <c r="L919" t="s">
        <v>33</v>
      </c>
      <c r="M919">
        <v>10422965284</v>
      </c>
      <c r="N919" t="s">
        <v>215</v>
      </c>
      <c r="P919" t="s">
        <v>38</v>
      </c>
      <c r="Q919" t="s">
        <v>216</v>
      </c>
      <c r="R919" t="s">
        <v>10663</v>
      </c>
      <c r="S919">
        <v>849.6</v>
      </c>
      <c r="T919" t="s">
        <v>40</v>
      </c>
      <c r="U919">
        <f>+IF(Tabla1[[#This Row],[MONEDA]]="PEN",Tabla1[[#This Row],[MONTO]],Tabla1[[#This Row],[MONTO]]*3.56)</f>
        <v>849.6</v>
      </c>
      <c r="X919" t="s">
        <v>41</v>
      </c>
      <c r="Y919" t="s">
        <v>42</v>
      </c>
      <c r="Z919" t="s">
        <v>82</v>
      </c>
      <c r="AA919" t="s">
        <v>10664</v>
      </c>
      <c r="AB919" t="s">
        <v>10665</v>
      </c>
      <c r="AC919" t="s">
        <v>10666</v>
      </c>
      <c r="AD919" t="s">
        <v>10667</v>
      </c>
      <c r="AE919">
        <v>764.64</v>
      </c>
      <c r="AF919" t="s">
        <v>87</v>
      </c>
      <c r="AG919" t="s">
        <v>169</v>
      </c>
    </row>
    <row r="920" spans="1:33" hidden="1" x14ac:dyDescent="0.25">
      <c r="A920">
        <v>23973</v>
      </c>
      <c r="B920" t="s">
        <v>32</v>
      </c>
      <c r="C920">
        <v>1</v>
      </c>
      <c r="D920" t="s">
        <v>10668</v>
      </c>
      <c r="E920" t="s">
        <v>70</v>
      </c>
      <c r="F920" t="s">
        <v>33</v>
      </c>
      <c r="G920" t="s">
        <v>9943</v>
      </c>
      <c r="H920" t="s">
        <v>9503</v>
      </c>
      <c r="I920" t="s">
        <v>10653</v>
      </c>
      <c r="J920" t="s">
        <v>10669</v>
      </c>
      <c r="K920" t="s">
        <v>36</v>
      </c>
      <c r="L920" t="s">
        <v>33</v>
      </c>
      <c r="M920">
        <v>10422965284</v>
      </c>
      <c r="N920" t="s">
        <v>215</v>
      </c>
      <c r="P920" t="s">
        <v>38</v>
      </c>
      <c r="Q920" t="s">
        <v>216</v>
      </c>
      <c r="R920" t="s">
        <v>10660</v>
      </c>
      <c r="S920">
        <v>885</v>
      </c>
      <c r="T920" t="s">
        <v>40</v>
      </c>
      <c r="U920">
        <f>+IF(Tabla1[[#This Row],[MONEDA]]="PEN",Tabla1[[#This Row],[MONTO]],Tabla1[[#This Row],[MONTO]]*3.56)</f>
        <v>885</v>
      </c>
      <c r="X920" t="s">
        <v>41</v>
      </c>
      <c r="Y920" t="s">
        <v>42</v>
      </c>
      <c r="Z920" t="s">
        <v>43</v>
      </c>
      <c r="AA920" t="s">
        <v>10670</v>
      </c>
      <c r="AB920" t="s">
        <v>10671</v>
      </c>
      <c r="AC920" t="s">
        <v>10672</v>
      </c>
      <c r="AD920" t="s">
        <v>10673</v>
      </c>
      <c r="AE920">
        <v>796.5</v>
      </c>
      <c r="AF920" t="s">
        <v>87</v>
      </c>
      <c r="AG920" t="s">
        <v>169</v>
      </c>
    </row>
    <row r="921" spans="1:33" x14ac:dyDescent="0.25">
      <c r="A921">
        <v>23242</v>
      </c>
      <c r="B921" t="s">
        <v>32</v>
      </c>
      <c r="C921">
        <v>1</v>
      </c>
      <c r="D921" t="s">
        <v>11324</v>
      </c>
      <c r="E921" t="s">
        <v>70</v>
      </c>
      <c r="F921" t="s">
        <v>90</v>
      </c>
      <c r="G921" t="s">
        <v>91</v>
      </c>
      <c r="H921" t="s">
        <v>72</v>
      </c>
      <c r="I921" t="s">
        <v>11325</v>
      </c>
      <c r="J921" t="s">
        <v>11326</v>
      </c>
      <c r="K921" t="s">
        <v>36</v>
      </c>
      <c r="L921" t="s">
        <v>33</v>
      </c>
      <c r="M921">
        <v>10422965284</v>
      </c>
      <c r="N921" t="s">
        <v>215</v>
      </c>
      <c r="O921" t="s">
        <v>1747</v>
      </c>
      <c r="P921" t="s">
        <v>38</v>
      </c>
      <c r="Q921" t="s">
        <v>216</v>
      </c>
      <c r="R921" t="s">
        <v>11327</v>
      </c>
      <c r="S921">
        <v>2973.6</v>
      </c>
      <c r="T921" t="s">
        <v>40</v>
      </c>
      <c r="U921">
        <f>+IF(Tabla1[[#This Row],[MONEDA]]="PEN",Tabla1[[#This Row],[MONTO]],Tabla1[[#This Row],[MONTO]]*3.56)</f>
        <v>2973.6</v>
      </c>
      <c r="X921" t="s">
        <v>41</v>
      </c>
      <c r="Y921" t="s">
        <v>42</v>
      </c>
      <c r="Z921" t="s">
        <v>43</v>
      </c>
      <c r="AA921" t="s">
        <v>11328</v>
      </c>
      <c r="AB921" t="s">
        <v>11329</v>
      </c>
      <c r="AC921" t="s">
        <v>11330</v>
      </c>
      <c r="AD921" t="s">
        <v>11331</v>
      </c>
      <c r="AE921">
        <v>2676.24</v>
      </c>
      <c r="AF921" t="s">
        <v>87</v>
      </c>
      <c r="AG921" t="s">
        <v>169</v>
      </c>
    </row>
    <row r="922" spans="1:33" x14ac:dyDescent="0.25">
      <c r="A922">
        <v>23136</v>
      </c>
      <c r="B922" t="s">
        <v>32</v>
      </c>
      <c r="C922">
        <v>1</v>
      </c>
      <c r="D922" t="s">
        <v>11544</v>
      </c>
      <c r="E922" t="s">
        <v>70</v>
      </c>
      <c r="F922" t="s">
        <v>90</v>
      </c>
      <c r="G922" t="s">
        <v>91</v>
      </c>
      <c r="H922" t="s">
        <v>9503</v>
      </c>
      <c r="I922" t="s">
        <v>11545</v>
      </c>
      <c r="J922" t="s">
        <v>11546</v>
      </c>
      <c r="K922" t="s">
        <v>36</v>
      </c>
      <c r="L922" t="s">
        <v>33</v>
      </c>
      <c r="M922">
        <v>10422965284</v>
      </c>
      <c r="N922" t="s">
        <v>215</v>
      </c>
      <c r="O922" t="s">
        <v>1747</v>
      </c>
      <c r="P922" t="s">
        <v>38</v>
      </c>
      <c r="Q922" t="s">
        <v>216</v>
      </c>
      <c r="R922" t="s">
        <v>11547</v>
      </c>
      <c r="S922">
        <v>1650</v>
      </c>
      <c r="T922" t="s">
        <v>40</v>
      </c>
      <c r="U922">
        <f>+IF(Tabla1[[#This Row],[MONEDA]]="PEN",Tabla1[[#This Row],[MONTO]],Tabla1[[#This Row],[MONTO]]*3.56)</f>
        <v>1650</v>
      </c>
      <c r="X922" t="s">
        <v>41</v>
      </c>
      <c r="Y922" t="s">
        <v>42</v>
      </c>
      <c r="Z922" t="s">
        <v>43</v>
      </c>
      <c r="AA922" t="s">
        <v>11548</v>
      </c>
      <c r="AB922" t="s">
        <v>11549</v>
      </c>
      <c r="AC922" t="s">
        <v>11550</v>
      </c>
      <c r="AD922" t="s">
        <v>11551</v>
      </c>
      <c r="AE922">
        <v>1752.3</v>
      </c>
      <c r="AF922" t="s">
        <v>87</v>
      </c>
      <c r="AG922" t="s">
        <v>169</v>
      </c>
    </row>
    <row r="923" spans="1:33" hidden="1" x14ac:dyDescent="0.25">
      <c r="A923">
        <v>23054</v>
      </c>
      <c r="B923" t="s">
        <v>32</v>
      </c>
      <c r="C923">
        <v>1</v>
      </c>
      <c r="D923" t="s">
        <v>11628</v>
      </c>
      <c r="E923" t="s">
        <v>70</v>
      </c>
      <c r="F923" t="s">
        <v>33</v>
      </c>
      <c r="G923" t="s">
        <v>9943</v>
      </c>
      <c r="H923" t="s">
        <v>72</v>
      </c>
      <c r="I923" t="s">
        <v>11629</v>
      </c>
      <c r="J923" t="s">
        <v>11630</v>
      </c>
      <c r="K923" t="s">
        <v>36</v>
      </c>
      <c r="L923" t="s">
        <v>33</v>
      </c>
      <c r="M923">
        <v>10422965284</v>
      </c>
      <c r="N923" t="s">
        <v>215</v>
      </c>
      <c r="O923" t="s">
        <v>9404</v>
      </c>
      <c r="P923" t="s">
        <v>38</v>
      </c>
      <c r="Q923" t="s">
        <v>216</v>
      </c>
      <c r="R923" t="s">
        <v>11631</v>
      </c>
      <c r="S923">
        <v>1425</v>
      </c>
      <c r="T923" t="s">
        <v>40</v>
      </c>
      <c r="U923">
        <f>+IF(Tabla1[[#This Row],[MONEDA]]="PEN",Tabla1[[#This Row],[MONTO]],Tabla1[[#This Row],[MONTO]]*3.56)</f>
        <v>1425</v>
      </c>
      <c r="X923" t="s">
        <v>41</v>
      </c>
      <c r="Y923" t="s">
        <v>42</v>
      </c>
      <c r="Z923" t="s">
        <v>82</v>
      </c>
      <c r="AA923" t="s">
        <v>11632</v>
      </c>
      <c r="AB923" t="s">
        <v>11633</v>
      </c>
      <c r="AC923" t="s">
        <v>11634</v>
      </c>
      <c r="AD923" t="s">
        <v>11635</v>
      </c>
      <c r="AE923">
        <v>1631.06</v>
      </c>
      <c r="AF923" t="s">
        <v>87</v>
      </c>
      <c r="AG923" t="s">
        <v>169</v>
      </c>
    </row>
    <row r="924" spans="1:33" x14ac:dyDescent="0.25">
      <c r="A924">
        <v>22286</v>
      </c>
      <c r="B924" t="s">
        <v>32</v>
      </c>
      <c r="C924">
        <v>1</v>
      </c>
      <c r="D924" t="s">
        <v>11965</v>
      </c>
      <c r="E924" t="s">
        <v>70</v>
      </c>
      <c r="F924" t="s">
        <v>90</v>
      </c>
      <c r="G924" t="s">
        <v>91</v>
      </c>
      <c r="H924" t="s">
        <v>72</v>
      </c>
      <c r="I924" t="s">
        <v>11966</v>
      </c>
      <c r="J924" t="s">
        <v>11967</v>
      </c>
      <c r="K924" t="s">
        <v>36</v>
      </c>
      <c r="L924" t="s">
        <v>33</v>
      </c>
      <c r="M924">
        <v>10422965284</v>
      </c>
      <c r="N924" t="s">
        <v>215</v>
      </c>
      <c r="O924" t="s">
        <v>1747</v>
      </c>
      <c r="P924" t="s">
        <v>38</v>
      </c>
      <c r="Q924" t="s">
        <v>216</v>
      </c>
      <c r="R924" t="s">
        <v>11968</v>
      </c>
      <c r="S924">
        <v>2531.1</v>
      </c>
      <c r="T924" t="s">
        <v>40</v>
      </c>
      <c r="U924">
        <f>+IF(Tabla1[[#This Row],[MONEDA]]="PEN",Tabla1[[#This Row],[MONTO]],Tabla1[[#This Row],[MONTO]]*3.56)</f>
        <v>2531.1</v>
      </c>
      <c r="X924" t="s">
        <v>41</v>
      </c>
      <c r="Y924" t="s">
        <v>42</v>
      </c>
      <c r="Z924" t="s">
        <v>43</v>
      </c>
      <c r="AA924" t="s">
        <v>11969</v>
      </c>
      <c r="AB924" t="s">
        <v>11970</v>
      </c>
      <c r="AC924" t="s">
        <v>11971</v>
      </c>
      <c r="AD924" t="s">
        <v>11972</v>
      </c>
      <c r="AE924">
        <v>2455.17</v>
      </c>
      <c r="AF924" t="s">
        <v>87</v>
      </c>
      <c r="AG924" t="s">
        <v>169</v>
      </c>
    </row>
    <row r="925" spans="1:33" x14ac:dyDescent="0.25">
      <c r="A925">
        <v>22289</v>
      </c>
      <c r="B925" t="s">
        <v>32</v>
      </c>
      <c r="C925">
        <v>1</v>
      </c>
      <c r="D925" t="s">
        <v>11973</v>
      </c>
      <c r="E925" t="s">
        <v>70</v>
      </c>
      <c r="F925" t="s">
        <v>90</v>
      </c>
      <c r="G925" t="s">
        <v>91</v>
      </c>
      <c r="H925" t="s">
        <v>72</v>
      </c>
      <c r="I925" t="s">
        <v>11966</v>
      </c>
      <c r="J925" t="s">
        <v>11974</v>
      </c>
      <c r="K925" t="s">
        <v>36</v>
      </c>
      <c r="L925" t="s">
        <v>33</v>
      </c>
      <c r="M925">
        <v>10422965284</v>
      </c>
      <c r="N925" t="s">
        <v>215</v>
      </c>
      <c r="O925" t="s">
        <v>1747</v>
      </c>
      <c r="P925" t="s">
        <v>38</v>
      </c>
      <c r="Q925" t="s">
        <v>216</v>
      </c>
      <c r="R925" t="s">
        <v>11975</v>
      </c>
      <c r="S925">
        <v>2955.9</v>
      </c>
      <c r="T925" t="s">
        <v>40</v>
      </c>
      <c r="U925">
        <f>+IF(Tabla1[[#This Row],[MONEDA]]="PEN",Tabla1[[#This Row],[MONTO]],Tabla1[[#This Row],[MONTO]]*3.56)</f>
        <v>2955.9</v>
      </c>
      <c r="X925" t="s">
        <v>41</v>
      </c>
      <c r="Y925" t="s">
        <v>42</v>
      </c>
      <c r="Z925" t="s">
        <v>43</v>
      </c>
      <c r="AA925" t="s">
        <v>11976</v>
      </c>
      <c r="AB925" t="s">
        <v>11977</v>
      </c>
      <c r="AC925" t="s">
        <v>11978</v>
      </c>
      <c r="AD925" t="s">
        <v>11979</v>
      </c>
      <c r="AE925">
        <v>2660.31</v>
      </c>
      <c r="AF925" t="s">
        <v>87</v>
      </c>
      <c r="AG925" t="s">
        <v>169</v>
      </c>
    </row>
    <row r="926" spans="1:33" hidden="1" x14ac:dyDescent="0.25">
      <c r="A926">
        <v>45089</v>
      </c>
      <c r="B926" t="s">
        <v>32</v>
      </c>
      <c r="C926">
        <v>3</v>
      </c>
      <c r="D926" t="s">
        <v>212</v>
      </c>
      <c r="E926" t="s">
        <v>45</v>
      </c>
      <c r="F926" t="s">
        <v>33</v>
      </c>
      <c r="G926" t="s">
        <v>34</v>
      </c>
      <c r="H926" t="s">
        <v>35</v>
      </c>
      <c r="I926" t="s">
        <v>213</v>
      </c>
      <c r="J926" t="s">
        <v>214</v>
      </c>
      <c r="K926" t="s">
        <v>36</v>
      </c>
      <c r="L926" t="s">
        <v>33</v>
      </c>
      <c r="M926">
        <v>10422965284</v>
      </c>
      <c r="N926" t="s">
        <v>215</v>
      </c>
      <c r="P926" t="s">
        <v>38</v>
      </c>
      <c r="Q926" t="s">
        <v>216</v>
      </c>
      <c r="R926" t="s">
        <v>217</v>
      </c>
      <c r="S926">
        <v>867.3</v>
      </c>
      <c r="T926" t="s">
        <v>40</v>
      </c>
      <c r="U926">
        <f>+IF(Tabla1[[#This Row],[MONEDA]]="PEN",Tabla1[[#This Row],[MONTO]],Tabla1[[#This Row],[MONTO]]*3.56)</f>
        <v>867.3</v>
      </c>
      <c r="X926" t="s">
        <v>41</v>
      </c>
      <c r="Y926" t="s">
        <v>51</v>
      </c>
      <c r="Z926" t="s">
        <v>43</v>
      </c>
      <c r="AB926" t="s">
        <v>218</v>
      </c>
      <c r="AD926" t="s">
        <v>219</v>
      </c>
    </row>
    <row r="927" spans="1:33" hidden="1" x14ac:dyDescent="0.25">
      <c r="A927">
        <v>42317</v>
      </c>
      <c r="B927" t="s">
        <v>32</v>
      </c>
      <c r="C927">
        <v>2</v>
      </c>
      <c r="D927" t="s">
        <v>1196</v>
      </c>
      <c r="E927" t="s">
        <v>45</v>
      </c>
      <c r="F927" t="s">
        <v>33</v>
      </c>
      <c r="G927" t="s">
        <v>34</v>
      </c>
      <c r="H927" t="s">
        <v>35</v>
      </c>
      <c r="I927" t="s">
        <v>1120</v>
      </c>
      <c r="J927" t="s">
        <v>1197</v>
      </c>
      <c r="K927" t="s">
        <v>36</v>
      </c>
      <c r="L927" t="s">
        <v>33</v>
      </c>
      <c r="M927">
        <v>10422965284</v>
      </c>
      <c r="N927" t="s">
        <v>215</v>
      </c>
      <c r="P927" t="s">
        <v>38</v>
      </c>
      <c r="Q927" t="s">
        <v>216</v>
      </c>
      <c r="R927" t="s">
        <v>1198</v>
      </c>
      <c r="S927">
        <v>885</v>
      </c>
      <c r="T927" t="s">
        <v>40</v>
      </c>
      <c r="U927">
        <f>+IF(Tabla1[[#This Row],[MONEDA]]="PEN",Tabla1[[#This Row],[MONTO]],Tabla1[[#This Row],[MONTO]]*3.56)</f>
        <v>885</v>
      </c>
      <c r="X927" t="s">
        <v>41</v>
      </c>
      <c r="Y927" t="s">
        <v>51</v>
      </c>
      <c r="Z927" t="s">
        <v>43</v>
      </c>
      <c r="AB927" t="s">
        <v>1199</v>
      </c>
      <c r="AD927" t="s">
        <v>1200</v>
      </c>
    </row>
    <row r="928" spans="1:33" hidden="1" x14ac:dyDescent="0.25">
      <c r="A928">
        <v>42318</v>
      </c>
      <c r="B928" t="s">
        <v>32</v>
      </c>
      <c r="C928">
        <v>2</v>
      </c>
      <c r="D928" t="s">
        <v>1201</v>
      </c>
      <c r="E928" t="s">
        <v>45</v>
      </c>
      <c r="F928" t="s">
        <v>33</v>
      </c>
      <c r="G928" t="s">
        <v>34</v>
      </c>
      <c r="H928" t="s">
        <v>35</v>
      </c>
      <c r="I928" t="s">
        <v>1120</v>
      </c>
      <c r="J928" t="s">
        <v>1202</v>
      </c>
      <c r="K928" t="s">
        <v>36</v>
      </c>
      <c r="L928" t="s">
        <v>33</v>
      </c>
      <c r="M928">
        <v>10422965284</v>
      </c>
      <c r="N928" t="s">
        <v>215</v>
      </c>
      <c r="P928" t="s">
        <v>38</v>
      </c>
      <c r="Q928" t="s">
        <v>216</v>
      </c>
      <c r="R928" t="s">
        <v>1203</v>
      </c>
      <c r="S928">
        <v>849.6</v>
      </c>
      <c r="T928" t="s">
        <v>40</v>
      </c>
      <c r="U928">
        <f>+IF(Tabla1[[#This Row],[MONEDA]]="PEN",Tabla1[[#This Row],[MONTO]],Tabla1[[#This Row],[MONTO]]*3.56)</f>
        <v>849.6</v>
      </c>
      <c r="X928" t="s">
        <v>41</v>
      </c>
      <c r="Y928" t="s">
        <v>51</v>
      </c>
      <c r="Z928" t="s">
        <v>43</v>
      </c>
      <c r="AB928" t="s">
        <v>1204</v>
      </c>
      <c r="AD928" t="s">
        <v>1205</v>
      </c>
    </row>
    <row r="929" spans="1:33" hidden="1" x14ac:dyDescent="0.25">
      <c r="A929">
        <v>42319</v>
      </c>
      <c r="B929" t="s">
        <v>32</v>
      </c>
      <c r="C929">
        <v>2</v>
      </c>
      <c r="D929" t="s">
        <v>1206</v>
      </c>
      <c r="E929" t="s">
        <v>45</v>
      </c>
      <c r="F929" t="s">
        <v>33</v>
      </c>
      <c r="G929" t="s">
        <v>34</v>
      </c>
      <c r="H929" t="s">
        <v>35</v>
      </c>
      <c r="I929" t="s">
        <v>1120</v>
      </c>
      <c r="J929" t="s">
        <v>1207</v>
      </c>
      <c r="K929" t="s">
        <v>36</v>
      </c>
      <c r="L929" t="s">
        <v>33</v>
      </c>
      <c r="M929">
        <v>10422965284</v>
      </c>
      <c r="N929" t="s">
        <v>215</v>
      </c>
      <c r="P929" t="s">
        <v>38</v>
      </c>
      <c r="Q929" t="s">
        <v>216</v>
      </c>
      <c r="R929" t="s">
        <v>1208</v>
      </c>
      <c r="S929">
        <v>885</v>
      </c>
      <c r="T929" t="s">
        <v>40</v>
      </c>
      <c r="U929">
        <f>+IF(Tabla1[[#This Row],[MONEDA]]="PEN",Tabla1[[#This Row],[MONTO]],Tabla1[[#This Row],[MONTO]]*3.56)</f>
        <v>885</v>
      </c>
      <c r="X929" t="s">
        <v>41</v>
      </c>
      <c r="Y929" t="s">
        <v>51</v>
      </c>
      <c r="Z929" t="s">
        <v>43</v>
      </c>
      <c r="AB929" t="s">
        <v>1209</v>
      </c>
      <c r="AD929" t="s">
        <v>1210</v>
      </c>
    </row>
    <row r="930" spans="1:33" hidden="1" x14ac:dyDescent="0.25">
      <c r="A930">
        <v>42320</v>
      </c>
      <c r="B930" t="s">
        <v>32</v>
      </c>
      <c r="C930">
        <v>2</v>
      </c>
      <c r="D930" t="s">
        <v>1211</v>
      </c>
      <c r="E930" t="s">
        <v>45</v>
      </c>
      <c r="F930" t="s">
        <v>33</v>
      </c>
      <c r="G930" t="s">
        <v>34</v>
      </c>
      <c r="H930" t="s">
        <v>35</v>
      </c>
      <c r="I930" t="s">
        <v>1120</v>
      </c>
      <c r="J930" t="s">
        <v>1212</v>
      </c>
      <c r="K930" t="s">
        <v>36</v>
      </c>
      <c r="L930" t="s">
        <v>33</v>
      </c>
      <c r="M930">
        <v>10422965284</v>
      </c>
      <c r="N930" t="s">
        <v>215</v>
      </c>
      <c r="P930" t="s">
        <v>38</v>
      </c>
      <c r="Q930" t="s">
        <v>216</v>
      </c>
      <c r="R930" t="s">
        <v>1213</v>
      </c>
      <c r="S930">
        <v>867.3</v>
      </c>
      <c r="T930" t="s">
        <v>40</v>
      </c>
      <c r="U930">
        <f>+IF(Tabla1[[#This Row],[MONEDA]]="PEN",Tabla1[[#This Row],[MONTO]],Tabla1[[#This Row],[MONTO]]*3.56)</f>
        <v>867.3</v>
      </c>
      <c r="X930" t="s">
        <v>41</v>
      </c>
      <c r="Y930" t="s">
        <v>51</v>
      </c>
      <c r="Z930" t="s">
        <v>43</v>
      </c>
      <c r="AB930" t="s">
        <v>1214</v>
      </c>
      <c r="AD930" t="s">
        <v>1215</v>
      </c>
    </row>
    <row r="931" spans="1:33" x14ac:dyDescent="0.25">
      <c r="A931">
        <v>25168</v>
      </c>
      <c r="B931" t="s">
        <v>32</v>
      </c>
      <c r="C931">
        <v>1</v>
      </c>
      <c r="D931" t="s">
        <v>9979</v>
      </c>
      <c r="E931" t="s">
        <v>70</v>
      </c>
      <c r="F931" t="s">
        <v>90</v>
      </c>
      <c r="G931" t="s">
        <v>91</v>
      </c>
      <c r="H931" t="s">
        <v>72</v>
      </c>
      <c r="I931" t="s">
        <v>9958</v>
      </c>
      <c r="J931" t="s">
        <v>9980</v>
      </c>
      <c r="K931" t="s">
        <v>36</v>
      </c>
      <c r="L931" t="s">
        <v>33</v>
      </c>
      <c r="M931">
        <v>20607993484</v>
      </c>
      <c r="N931" t="s">
        <v>9981</v>
      </c>
      <c r="P931" t="s">
        <v>224</v>
      </c>
      <c r="Q931" t="s">
        <v>9982</v>
      </c>
      <c r="R931" t="s">
        <v>9983</v>
      </c>
      <c r="S931">
        <v>2360</v>
      </c>
      <c r="T931" t="s">
        <v>40</v>
      </c>
      <c r="U931">
        <f>+IF(Tabla1[[#This Row],[MONEDA]]="PEN",Tabla1[[#This Row],[MONTO]],Tabla1[[#This Row],[MONTO]]*3.56)</f>
        <v>2360</v>
      </c>
      <c r="X931" t="s">
        <v>41</v>
      </c>
      <c r="Y931" t="s">
        <v>42</v>
      </c>
      <c r="Z931" t="s">
        <v>43</v>
      </c>
      <c r="AA931" t="s">
        <v>9984</v>
      </c>
      <c r="AB931" t="s">
        <v>9985</v>
      </c>
      <c r="AC931" t="s">
        <v>9986</v>
      </c>
      <c r="AD931" t="s">
        <v>9987</v>
      </c>
      <c r="AE931">
        <v>2076.8000000000002</v>
      </c>
      <c r="AF931" t="s">
        <v>87</v>
      </c>
      <c r="AG931" t="s">
        <v>1798</v>
      </c>
    </row>
    <row r="932" spans="1:33" hidden="1" x14ac:dyDescent="0.25">
      <c r="A932">
        <v>35274</v>
      </c>
      <c r="B932" t="s">
        <v>32</v>
      </c>
      <c r="C932">
        <v>1</v>
      </c>
      <c r="D932" t="s">
        <v>4241</v>
      </c>
      <c r="E932" t="s">
        <v>70</v>
      </c>
      <c r="F932" t="s">
        <v>33</v>
      </c>
      <c r="G932" t="s">
        <v>71</v>
      </c>
      <c r="H932" t="s">
        <v>72</v>
      </c>
      <c r="I932" t="s">
        <v>4222</v>
      </c>
      <c r="J932" t="s">
        <v>4242</v>
      </c>
      <c r="K932" t="s">
        <v>36</v>
      </c>
      <c r="L932" t="s">
        <v>33</v>
      </c>
      <c r="M932">
        <v>20600702883</v>
      </c>
      <c r="N932" t="s">
        <v>4243</v>
      </c>
      <c r="O932" t="s">
        <v>76</v>
      </c>
      <c r="P932" t="s">
        <v>101</v>
      </c>
      <c r="Q932" t="s">
        <v>4244</v>
      </c>
      <c r="R932" t="s">
        <v>4245</v>
      </c>
      <c r="S932">
        <v>3855.06</v>
      </c>
      <c r="T932" t="s">
        <v>40</v>
      </c>
      <c r="U932">
        <f>+IF(Tabla1[[#This Row],[MONEDA]]="PEN",Tabla1[[#This Row],[MONTO]],Tabla1[[#This Row],[MONTO]]*3.56)</f>
        <v>3855.06</v>
      </c>
      <c r="X932" t="s">
        <v>81</v>
      </c>
      <c r="Y932" t="s">
        <v>42</v>
      </c>
      <c r="Z932" t="s">
        <v>43</v>
      </c>
      <c r="AA932" t="s">
        <v>4246</v>
      </c>
      <c r="AB932" t="s">
        <v>4247</v>
      </c>
      <c r="AC932" t="s">
        <v>4248</v>
      </c>
      <c r="AD932" t="s">
        <v>4249</v>
      </c>
      <c r="AE932">
        <v>3739.41</v>
      </c>
      <c r="AF932" t="s">
        <v>87</v>
      </c>
      <c r="AG932" t="s">
        <v>666</v>
      </c>
    </row>
    <row r="933" spans="1:33" hidden="1" x14ac:dyDescent="0.25">
      <c r="A933">
        <v>28170</v>
      </c>
      <c r="B933" t="s">
        <v>32</v>
      </c>
      <c r="C933">
        <v>5</v>
      </c>
      <c r="D933" t="s">
        <v>5700</v>
      </c>
      <c r="E933" t="s">
        <v>70</v>
      </c>
      <c r="F933" t="s">
        <v>33</v>
      </c>
      <c r="G933" t="s">
        <v>71</v>
      </c>
      <c r="H933" t="s">
        <v>72</v>
      </c>
      <c r="I933" t="s">
        <v>5701</v>
      </c>
      <c r="J933" t="s">
        <v>5702</v>
      </c>
      <c r="K933" t="s">
        <v>36</v>
      </c>
      <c r="L933" t="s">
        <v>33</v>
      </c>
      <c r="M933">
        <v>20600702883</v>
      </c>
      <c r="N933" t="s">
        <v>4243</v>
      </c>
      <c r="O933" t="s">
        <v>76</v>
      </c>
      <c r="P933" t="s">
        <v>101</v>
      </c>
      <c r="Q933" t="s">
        <v>4244</v>
      </c>
      <c r="R933" t="s">
        <v>5703</v>
      </c>
      <c r="S933">
        <v>17174.117999999999</v>
      </c>
      <c r="T933" t="s">
        <v>40</v>
      </c>
      <c r="U933">
        <f>+IF(Tabla1[[#This Row],[MONEDA]]="PEN",Tabla1[[#This Row],[MONTO]],Tabla1[[#This Row],[MONTO]]*3.56)</f>
        <v>17174.117999999999</v>
      </c>
      <c r="X933" t="s">
        <v>41</v>
      </c>
      <c r="Y933" t="s">
        <v>42</v>
      </c>
      <c r="Z933" t="s">
        <v>43</v>
      </c>
      <c r="AA933" t="s">
        <v>5704</v>
      </c>
      <c r="AB933" t="s">
        <v>5705</v>
      </c>
      <c r="AC933" t="s">
        <v>5706</v>
      </c>
      <c r="AD933" t="s">
        <v>5707</v>
      </c>
      <c r="AE933">
        <v>16658.89</v>
      </c>
      <c r="AG933" t="s">
        <v>666</v>
      </c>
    </row>
    <row r="934" spans="1:33" hidden="1" x14ac:dyDescent="0.25">
      <c r="A934">
        <v>28169</v>
      </c>
      <c r="B934" t="s">
        <v>32</v>
      </c>
      <c r="C934">
        <v>1</v>
      </c>
      <c r="D934" t="s">
        <v>5700</v>
      </c>
      <c r="E934" t="s">
        <v>70</v>
      </c>
      <c r="F934" t="s">
        <v>33</v>
      </c>
      <c r="G934" t="s">
        <v>71</v>
      </c>
      <c r="H934" t="s">
        <v>72</v>
      </c>
      <c r="I934" t="s">
        <v>7751</v>
      </c>
      <c r="J934" t="s">
        <v>7752</v>
      </c>
      <c r="K934" t="s">
        <v>36</v>
      </c>
      <c r="L934" t="s">
        <v>33</v>
      </c>
      <c r="M934">
        <v>20600702883</v>
      </c>
      <c r="N934" t="s">
        <v>4243</v>
      </c>
      <c r="O934" t="s">
        <v>76</v>
      </c>
      <c r="P934" t="s">
        <v>101</v>
      </c>
      <c r="Q934" t="s">
        <v>4244</v>
      </c>
      <c r="R934" t="s">
        <v>7753</v>
      </c>
      <c r="S934">
        <v>40072.942000000003</v>
      </c>
      <c r="T934" t="s">
        <v>40</v>
      </c>
      <c r="U934">
        <f>+IF(Tabla1[[#This Row],[MONEDA]]="PEN",Tabla1[[#This Row],[MONTO]],Tabla1[[#This Row],[MONTO]]*3.56)</f>
        <v>40072.942000000003</v>
      </c>
      <c r="X934" t="s">
        <v>41</v>
      </c>
      <c r="Y934" t="s">
        <v>42</v>
      </c>
      <c r="Z934" t="s">
        <v>43</v>
      </c>
      <c r="AA934" t="s">
        <v>7754</v>
      </c>
      <c r="AB934" t="s">
        <v>5705</v>
      </c>
      <c r="AC934" t="s">
        <v>7755</v>
      </c>
      <c r="AD934" t="s">
        <v>7756</v>
      </c>
      <c r="AE934">
        <v>38870.75</v>
      </c>
      <c r="AF934" t="s">
        <v>87</v>
      </c>
      <c r="AG934" t="s">
        <v>666</v>
      </c>
    </row>
    <row r="935" spans="1:33" x14ac:dyDescent="0.25">
      <c r="A935">
        <v>40203</v>
      </c>
      <c r="B935" t="s">
        <v>32</v>
      </c>
      <c r="C935">
        <v>1</v>
      </c>
      <c r="D935" t="s">
        <v>2144</v>
      </c>
      <c r="E935" t="s">
        <v>70</v>
      </c>
      <c r="F935" t="s">
        <v>157</v>
      </c>
      <c r="G935" t="s">
        <v>158</v>
      </c>
      <c r="H935" t="s">
        <v>159</v>
      </c>
      <c r="I935" t="s">
        <v>2145</v>
      </c>
      <c r="J935" t="s">
        <v>2146</v>
      </c>
      <c r="K935" t="s">
        <v>36</v>
      </c>
      <c r="L935" t="s">
        <v>33</v>
      </c>
      <c r="M935">
        <v>20555113731</v>
      </c>
      <c r="N935" t="s">
        <v>2147</v>
      </c>
      <c r="P935" t="s">
        <v>38</v>
      </c>
      <c r="Q935" t="s">
        <v>2148</v>
      </c>
      <c r="R935" t="s">
        <v>2149</v>
      </c>
      <c r="S935">
        <v>434.24</v>
      </c>
      <c r="T935" t="s">
        <v>40</v>
      </c>
      <c r="U935">
        <f>+IF(Tabla1[[#This Row],[MONEDA]]="PEN",Tabla1[[#This Row],[MONTO]],Tabla1[[#This Row],[MONTO]]*3.56)</f>
        <v>434.24</v>
      </c>
      <c r="X935" t="s">
        <v>41</v>
      </c>
      <c r="Y935" t="s">
        <v>42</v>
      </c>
      <c r="Z935" t="s">
        <v>82</v>
      </c>
      <c r="AA935" t="s">
        <v>2150</v>
      </c>
      <c r="AB935" t="s">
        <v>2151</v>
      </c>
      <c r="AC935" t="s">
        <v>2152</v>
      </c>
      <c r="AD935" t="s">
        <v>2153</v>
      </c>
      <c r="AE935">
        <v>434.24</v>
      </c>
      <c r="AF935" t="s">
        <v>87</v>
      </c>
      <c r="AG935" t="s">
        <v>169</v>
      </c>
    </row>
    <row r="936" spans="1:33" x14ac:dyDescent="0.25">
      <c r="A936">
        <v>37134</v>
      </c>
      <c r="B936" t="s">
        <v>32</v>
      </c>
      <c r="C936">
        <v>1</v>
      </c>
      <c r="D936" t="s">
        <v>3485</v>
      </c>
      <c r="E936" t="s">
        <v>70</v>
      </c>
      <c r="F936" t="s">
        <v>157</v>
      </c>
      <c r="G936" t="s">
        <v>158</v>
      </c>
      <c r="H936" t="s">
        <v>159</v>
      </c>
      <c r="I936" t="s">
        <v>3479</v>
      </c>
      <c r="J936" t="s">
        <v>3486</v>
      </c>
      <c r="K936" t="s">
        <v>36</v>
      </c>
      <c r="L936" t="s">
        <v>33</v>
      </c>
      <c r="M936">
        <v>20555113731</v>
      </c>
      <c r="N936" t="s">
        <v>2147</v>
      </c>
      <c r="P936" t="s">
        <v>38</v>
      </c>
      <c r="Q936" t="s">
        <v>2148</v>
      </c>
      <c r="R936" t="s">
        <v>3487</v>
      </c>
      <c r="S936">
        <v>217.12</v>
      </c>
      <c r="T936" t="s">
        <v>40</v>
      </c>
      <c r="U936">
        <f>+IF(Tabla1[[#This Row],[MONEDA]]="PEN",Tabla1[[#This Row],[MONTO]],Tabla1[[#This Row],[MONTO]]*3.56)</f>
        <v>217.12</v>
      </c>
      <c r="X936" t="s">
        <v>41</v>
      </c>
      <c r="Y936" t="s">
        <v>42</v>
      </c>
      <c r="Z936" t="s">
        <v>82</v>
      </c>
      <c r="AA936" t="s">
        <v>3488</v>
      </c>
      <c r="AB936" t="s">
        <v>3489</v>
      </c>
      <c r="AC936" t="s">
        <v>3490</v>
      </c>
      <c r="AD936" t="s">
        <v>3491</v>
      </c>
      <c r="AE936">
        <v>217.12</v>
      </c>
      <c r="AG936" t="s">
        <v>169</v>
      </c>
    </row>
    <row r="937" spans="1:33" x14ac:dyDescent="0.25">
      <c r="A937">
        <v>35138</v>
      </c>
      <c r="B937" t="s">
        <v>32</v>
      </c>
      <c r="C937">
        <v>1</v>
      </c>
      <c r="D937" t="s">
        <v>4439</v>
      </c>
      <c r="E937" t="s">
        <v>70</v>
      </c>
      <c r="F937" t="s">
        <v>3256</v>
      </c>
      <c r="G937" t="s">
        <v>3257</v>
      </c>
      <c r="H937" t="s">
        <v>159</v>
      </c>
      <c r="I937" t="s">
        <v>4440</v>
      </c>
      <c r="J937" t="s">
        <v>4441</v>
      </c>
      <c r="K937" t="s">
        <v>36</v>
      </c>
      <c r="L937" t="s">
        <v>33</v>
      </c>
      <c r="M937">
        <v>20555113731</v>
      </c>
      <c r="N937" t="s">
        <v>2147</v>
      </c>
      <c r="P937" t="s">
        <v>38</v>
      </c>
      <c r="Q937" t="s">
        <v>2148</v>
      </c>
      <c r="R937" t="s">
        <v>4442</v>
      </c>
      <c r="S937">
        <v>217.12</v>
      </c>
      <c r="T937" t="s">
        <v>40</v>
      </c>
      <c r="U937">
        <f>+IF(Tabla1[[#This Row],[MONEDA]]="PEN",Tabla1[[#This Row],[MONTO]],Tabla1[[#This Row],[MONTO]]*3.56)</f>
        <v>217.12</v>
      </c>
      <c r="X937" t="s">
        <v>41</v>
      </c>
      <c r="Y937" t="s">
        <v>42</v>
      </c>
      <c r="Z937" t="s">
        <v>82</v>
      </c>
      <c r="AA937" t="s">
        <v>4443</v>
      </c>
      <c r="AB937" t="s">
        <v>4444</v>
      </c>
      <c r="AC937" t="s">
        <v>4445</v>
      </c>
      <c r="AD937" t="s">
        <v>4446</v>
      </c>
      <c r="AE937">
        <v>217.12</v>
      </c>
      <c r="AG937" t="s">
        <v>169</v>
      </c>
    </row>
    <row r="938" spans="1:33" x14ac:dyDescent="0.25">
      <c r="A938">
        <v>34561</v>
      </c>
      <c r="B938" t="s">
        <v>32</v>
      </c>
      <c r="C938">
        <v>1</v>
      </c>
      <c r="D938" t="s">
        <v>4611</v>
      </c>
      <c r="E938" t="s">
        <v>70</v>
      </c>
      <c r="F938" t="s">
        <v>3256</v>
      </c>
      <c r="G938" t="s">
        <v>3257</v>
      </c>
      <c r="H938" t="s">
        <v>159</v>
      </c>
      <c r="I938" t="s">
        <v>4612</v>
      </c>
      <c r="J938" t="s">
        <v>4613</v>
      </c>
      <c r="K938" t="s">
        <v>36</v>
      </c>
      <c r="L938" t="s">
        <v>33</v>
      </c>
      <c r="M938">
        <v>20555113731</v>
      </c>
      <c r="N938" t="s">
        <v>2147</v>
      </c>
      <c r="P938" t="s">
        <v>38</v>
      </c>
      <c r="Q938" t="s">
        <v>2148</v>
      </c>
      <c r="R938" t="s">
        <v>4614</v>
      </c>
      <c r="S938">
        <v>217.12</v>
      </c>
      <c r="T938" t="s">
        <v>40</v>
      </c>
      <c r="U938">
        <f>+IF(Tabla1[[#This Row],[MONEDA]]="PEN",Tabla1[[#This Row],[MONTO]],Tabla1[[#This Row],[MONTO]]*3.56)</f>
        <v>217.12</v>
      </c>
      <c r="X938" t="s">
        <v>41</v>
      </c>
      <c r="Y938" t="s">
        <v>42</v>
      </c>
      <c r="Z938" t="s">
        <v>82</v>
      </c>
      <c r="AA938" t="s">
        <v>4615</v>
      </c>
      <c r="AB938" t="s">
        <v>4616</v>
      </c>
      <c r="AC938" t="s">
        <v>4617</v>
      </c>
      <c r="AD938" t="s">
        <v>4618</v>
      </c>
      <c r="AE938">
        <v>217.12</v>
      </c>
      <c r="AF938" t="s">
        <v>87</v>
      </c>
      <c r="AG938" t="s">
        <v>169</v>
      </c>
    </row>
    <row r="939" spans="1:33" x14ac:dyDescent="0.25">
      <c r="A939">
        <v>33170</v>
      </c>
      <c r="B939" t="s">
        <v>32</v>
      </c>
      <c r="C939">
        <v>1</v>
      </c>
      <c r="D939" t="s">
        <v>5122</v>
      </c>
      <c r="E939" t="s">
        <v>70</v>
      </c>
      <c r="F939" t="s">
        <v>3256</v>
      </c>
      <c r="G939" t="s">
        <v>3257</v>
      </c>
      <c r="H939" t="s">
        <v>159</v>
      </c>
      <c r="I939" t="s">
        <v>5123</v>
      </c>
      <c r="J939" t="s">
        <v>5124</v>
      </c>
      <c r="K939" t="s">
        <v>36</v>
      </c>
      <c r="L939" t="s">
        <v>33</v>
      </c>
      <c r="M939">
        <v>20555113731</v>
      </c>
      <c r="N939" t="s">
        <v>2147</v>
      </c>
      <c r="P939" t="s">
        <v>38</v>
      </c>
      <c r="Q939" t="s">
        <v>2148</v>
      </c>
      <c r="R939" t="s">
        <v>5125</v>
      </c>
      <c r="S939">
        <v>217.12</v>
      </c>
      <c r="T939" t="s">
        <v>40</v>
      </c>
      <c r="U939">
        <f>+IF(Tabla1[[#This Row],[MONEDA]]="PEN",Tabla1[[#This Row],[MONTO]],Tabla1[[#This Row],[MONTO]]*3.56)</f>
        <v>217.12</v>
      </c>
      <c r="X939" t="s">
        <v>41</v>
      </c>
      <c r="Y939" t="s">
        <v>42</v>
      </c>
      <c r="Z939" t="s">
        <v>82</v>
      </c>
      <c r="AA939" t="s">
        <v>5126</v>
      </c>
      <c r="AB939" t="s">
        <v>5127</v>
      </c>
      <c r="AC939" t="s">
        <v>5128</v>
      </c>
      <c r="AD939" t="s">
        <v>5129</v>
      </c>
      <c r="AE939">
        <v>217.12</v>
      </c>
      <c r="AG939" t="s">
        <v>169</v>
      </c>
    </row>
    <row r="940" spans="1:33" x14ac:dyDescent="0.25">
      <c r="A940">
        <v>31671</v>
      </c>
      <c r="B940" t="s">
        <v>32</v>
      </c>
      <c r="C940">
        <v>1</v>
      </c>
      <c r="D940" t="s">
        <v>5751</v>
      </c>
      <c r="E940" t="s">
        <v>70</v>
      </c>
      <c r="F940" t="s">
        <v>3256</v>
      </c>
      <c r="G940" t="s">
        <v>3257</v>
      </c>
      <c r="H940" t="s">
        <v>159</v>
      </c>
      <c r="I940" t="s">
        <v>5752</v>
      </c>
      <c r="J940" t="s">
        <v>5753</v>
      </c>
      <c r="K940" t="s">
        <v>36</v>
      </c>
      <c r="L940" t="s">
        <v>33</v>
      </c>
      <c r="M940">
        <v>20555113731</v>
      </c>
      <c r="N940" t="s">
        <v>2147</v>
      </c>
      <c r="P940" t="s">
        <v>38</v>
      </c>
      <c r="Q940" t="s">
        <v>2148</v>
      </c>
      <c r="R940" t="s">
        <v>5754</v>
      </c>
      <c r="S940">
        <v>217.12</v>
      </c>
      <c r="T940" t="s">
        <v>40</v>
      </c>
      <c r="U940">
        <f>+IF(Tabla1[[#This Row],[MONEDA]]="PEN",Tabla1[[#This Row],[MONTO]],Tabla1[[#This Row],[MONTO]]*3.56)</f>
        <v>217.12</v>
      </c>
      <c r="X940" t="s">
        <v>41</v>
      </c>
      <c r="Y940" t="s">
        <v>42</v>
      </c>
      <c r="Z940" t="s">
        <v>82</v>
      </c>
      <c r="AA940" t="s">
        <v>5755</v>
      </c>
      <c r="AB940" t="s">
        <v>5756</v>
      </c>
      <c r="AC940" t="s">
        <v>5757</v>
      </c>
      <c r="AD940" t="s">
        <v>5758</v>
      </c>
      <c r="AE940">
        <v>217.12</v>
      </c>
      <c r="AF940" t="s">
        <v>87</v>
      </c>
      <c r="AG940" t="s">
        <v>169</v>
      </c>
    </row>
    <row r="941" spans="1:33" x14ac:dyDescent="0.25">
      <c r="A941">
        <v>31170</v>
      </c>
      <c r="B941" t="s">
        <v>32</v>
      </c>
      <c r="C941">
        <v>1</v>
      </c>
      <c r="D941" t="s">
        <v>6094</v>
      </c>
      <c r="E941" t="s">
        <v>70</v>
      </c>
      <c r="F941" t="s">
        <v>3256</v>
      </c>
      <c r="G941" t="s">
        <v>3257</v>
      </c>
      <c r="H941" t="s">
        <v>159</v>
      </c>
      <c r="I941" t="s">
        <v>6095</v>
      </c>
      <c r="J941" t="s">
        <v>6096</v>
      </c>
      <c r="K941" t="s">
        <v>36</v>
      </c>
      <c r="L941" t="s">
        <v>33</v>
      </c>
      <c r="M941">
        <v>20555113731</v>
      </c>
      <c r="N941" t="s">
        <v>2147</v>
      </c>
      <c r="P941" t="s">
        <v>38</v>
      </c>
      <c r="Q941" t="s">
        <v>2148</v>
      </c>
      <c r="R941" t="s">
        <v>6097</v>
      </c>
      <c r="S941">
        <v>217.12</v>
      </c>
      <c r="T941" t="s">
        <v>40</v>
      </c>
      <c r="U941">
        <f>+IF(Tabla1[[#This Row],[MONEDA]]="PEN",Tabla1[[#This Row],[MONTO]],Tabla1[[#This Row],[MONTO]]*3.56)</f>
        <v>217.12</v>
      </c>
      <c r="X941" t="s">
        <v>41</v>
      </c>
      <c r="Y941" t="s">
        <v>42</v>
      </c>
      <c r="Z941" t="s">
        <v>82</v>
      </c>
      <c r="AA941" t="s">
        <v>6098</v>
      </c>
      <c r="AB941" t="s">
        <v>6099</v>
      </c>
      <c r="AC941" t="s">
        <v>6100</v>
      </c>
      <c r="AD941" t="s">
        <v>6101</v>
      </c>
      <c r="AE941">
        <v>217.12</v>
      </c>
      <c r="AF941" t="s">
        <v>87</v>
      </c>
      <c r="AG941" t="s">
        <v>169</v>
      </c>
    </row>
    <row r="942" spans="1:33" x14ac:dyDescent="0.25">
      <c r="A942">
        <v>29983</v>
      </c>
      <c r="B942" t="s">
        <v>32</v>
      </c>
      <c r="C942">
        <v>1</v>
      </c>
      <c r="D942" t="s">
        <v>6513</v>
      </c>
      <c r="E942" t="s">
        <v>70</v>
      </c>
      <c r="F942" t="s">
        <v>3256</v>
      </c>
      <c r="G942" t="s">
        <v>3257</v>
      </c>
      <c r="H942" t="s">
        <v>159</v>
      </c>
      <c r="I942" t="s">
        <v>6514</v>
      </c>
      <c r="J942" t="s">
        <v>6515</v>
      </c>
      <c r="K942" t="s">
        <v>36</v>
      </c>
      <c r="L942" t="s">
        <v>33</v>
      </c>
      <c r="M942">
        <v>20555113731</v>
      </c>
      <c r="N942" t="s">
        <v>2147</v>
      </c>
      <c r="P942" t="s">
        <v>38</v>
      </c>
      <c r="Q942" t="s">
        <v>2148</v>
      </c>
      <c r="R942" t="s">
        <v>6516</v>
      </c>
      <c r="S942">
        <v>217.12</v>
      </c>
      <c r="T942" t="s">
        <v>40</v>
      </c>
      <c r="U942">
        <f>+IF(Tabla1[[#This Row],[MONEDA]]="PEN",Tabla1[[#This Row],[MONTO]],Tabla1[[#This Row],[MONTO]]*3.56)</f>
        <v>217.12</v>
      </c>
      <c r="X942" t="s">
        <v>41</v>
      </c>
      <c r="Y942" t="s">
        <v>42</v>
      </c>
      <c r="Z942" t="s">
        <v>82</v>
      </c>
      <c r="AA942" t="s">
        <v>6517</v>
      </c>
      <c r="AB942" t="s">
        <v>6518</v>
      </c>
      <c r="AC942" t="s">
        <v>6519</v>
      </c>
      <c r="AD942" t="s">
        <v>6520</v>
      </c>
      <c r="AE942">
        <v>217.12</v>
      </c>
      <c r="AF942" t="s">
        <v>87</v>
      </c>
      <c r="AG942" t="s">
        <v>169</v>
      </c>
    </row>
    <row r="943" spans="1:33" x14ac:dyDescent="0.25">
      <c r="A943">
        <v>29227</v>
      </c>
      <c r="B943" t="s">
        <v>32</v>
      </c>
      <c r="C943">
        <v>1</v>
      </c>
      <c r="D943" t="s">
        <v>7076</v>
      </c>
      <c r="E943" t="s">
        <v>70</v>
      </c>
      <c r="F943" t="s">
        <v>3256</v>
      </c>
      <c r="G943" t="s">
        <v>3257</v>
      </c>
      <c r="H943" t="s">
        <v>159</v>
      </c>
      <c r="I943" t="s">
        <v>7077</v>
      </c>
      <c r="J943" t="s">
        <v>7078</v>
      </c>
      <c r="K943" t="s">
        <v>36</v>
      </c>
      <c r="L943" t="s">
        <v>33</v>
      </c>
      <c r="M943">
        <v>20555113731</v>
      </c>
      <c r="N943" t="s">
        <v>2147</v>
      </c>
      <c r="P943" t="s">
        <v>38</v>
      </c>
      <c r="Q943" t="s">
        <v>2148</v>
      </c>
      <c r="R943" t="s">
        <v>7079</v>
      </c>
      <c r="S943">
        <v>217.12</v>
      </c>
      <c r="T943" t="s">
        <v>40</v>
      </c>
      <c r="U943">
        <f>+IF(Tabla1[[#This Row],[MONEDA]]="PEN",Tabla1[[#This Row],[MONTO]],Tabla1[[#This Row],[MONTO]]*3.56)</f>
        <v>217.12</v>
      </c>
      <c r="X943" t="s">
        <v>41</v>
      </c>
      <c r="Y943" t="s">
        <v>42</v>
      </c>
      <c r="Z943" t="s">
        <v>82</v>
      </c>
      <c r="AA943" t="s">
        <v>7080</v>
      </c>
      <c r="AB943" t="s">
        <v>7081</v>
      </c>
      <c r="AC943" t="s">
        <v>7082</v>
      </c>
      <c r="AD943" t="s">
        <v>7083</v>
      </c>
      <c r="AE943">
        <v>217.12</v>
      </c>
      <c r="AF943" t="s">
        <v>87</v>
      </c>
      <c r="AG943" t="s">
        <v>169</v>
      </c>
    </row>
    <row r="944" spans="1:33" x14ac:dyDescent="0.25">
      <c r="A944">
        <v>27319</v>
      </c>
      <c r="B944" t="s">
        <v>32</v>
      </c>
      <c r="C944">
        <v>1</v>
      </c>
      <c r="D944" t="s">
        <v>8543</v>
      </c>
      <c r="E944" t="s">
        <v>70</v>
      </c>
      <c r="F944" t="s">
        <v>3256</v>
      </c>
      <c r="G944" t="s">
        <v>3257</v>
      </c>
      <c r="H944" t="s">
        <v>8233</v>
      </c>
      <c r="I944" t="s">
        <v>8544</v>
      </c>
      <c r="J944" t="s">
        <v>8545</v>
      </c>
      <c r="K944" t="s">
        <v>36</v>
      </c>
      <c r="L944" t="s">
        <v>33</v>
      </c>
      <c r="M944">
        <v>20555113731</v>
      </c>
      <c r="N944" t="s">
        <v>2147</v>
      </c>
      <c r="P944" t="s">
        <v>38</v>
      </c>
      <c r="Q944" t="s">
        <v>2148</v>
      </c>
      <c r="R944" t="s">
        <v>8546</v>
      </c>
      <c r="S944">
        <v>217.12</v>
      </c>
      <c r="T944" t="s">
        <v>40</v>
      </c>
      <c r="U944">
        <f>+IF(Tabla1[[#This Row],[MONEDA]]="PEN",Tabla1[[#This Row],[MONTO]],Tabla1[[#This Row],[MONTO]]*3.56)</f>
        <v>217.12</v>
      </c>
      <c r="X944" t="s">
        <v>41</v>
      </c>
      <c r="Y944" t="s">
        <v>42</v>
      </c>
      <c r="Z944" t="s">
        <v>82</v>
      </c>
      <c r="AA944" t="s">
        <v>8547</v>
      </c>
      <c r="AB944" t="s">
        <v>8548</v>
      </c>
      <c r="AC944" t="s">
        <v>8549</v>
      </c>
      <c r="AD944" t="s">
        <v>8550</v>
      </c>
      <c r="AE944">
        <v>217.12</v>
      </c>
      <c r="AF944" t="s">
        <v>87</v>
      </c>
      <c r="AG944" t="s">
        <v>169</v>
      </c>
    </row>
    <row r="945" spans="1:33" x14ac:dyDescent="0.25">
      <c r="A945">
        <v>27093</v>
      </c>
      <c r="B945" t="s">
        <v>32</v>
      </c>
      <c r="C945">
        <v>1</v>
      </c>
      <c r="D945" t="s">
        <v>8739</v>
      </c>
      <c r="E945" t="s">
        <v>70</v>
      </c>
      <c r="F945" t="s">
        <v>3256</v>
      </c>
      <c r="G945" t="s">
        <v>3257</v>
      </c>
      <c r="H945" t="s">
        <v>8233</v>
      </c>
      <c r="I945" t="s">
        <v>8740</v>
      </c>
      <c r="J945" t="s">
        <v>8741</v>
      </c>
      <c r="K945" t="s">
        <v>36</v>
      </c>
      <c r="L945" t="s">
        <v>33</v>
      </c>
      <c r="M945">
        <v>20555113731</v>
      </c>
      <c r="N945" t="s">
        <v>2147</v>
      </c>
      <c r="P945" t="s">
        <v>38</v>
      </c>
      <c r="Q945" t="s">
        <v>2148</v>
      </c>
      <c r="R945" t="s">
        <v>8742</v>
      </c>
      <c r="S945">
        <v>434.24</v>
      </c>
      <c r="T945" t="s">
        <v>40</v>
      </c>
      <c r="U945">
        <f>+IF(Tabla1[[#This Row],[MONEDA]]="PEN",Tabla1[[#This Row],[MONTO]],Tabla1[[#This Row],[MONTO]]*3.56)</f>
        <v>434.24</v>
      </c>
      <c r="X945" t="s">
        <v>41</v>
      </c>
      <c r="Y945" t="s">
        <v>42</v>
      </c>
      <c r="Z945" t="s">
        <v>82</v>
      </c>
      <c r="AA945" t="s">
        <v>8743</v>
      </c>
      <c r="AB945" t="s">
        <v>8744</v>
      </c>
      <c r="AC945" t="s">
        <v>8745</v>
      </c>
      <c r="AD945" t="s">
        <v>8746</v>
      </c>
      <c r="AE945">
        <v>434.24</v>
      </c>
      <c r="AF945" t="s">
        <v>87</v>
      </c>
      <c r="AG945" t="s">
        <v>169</v>
      </c>
    </row>
    <row r="946" spans="1:33" x14ac:dyDescent="0.25">
      <c r="A946">
        <v>21665</v>
      </c>
      <c r="B946" t="s">
        <v>32</v>
      </c>
      <c r="C946">
        <v>1</v>
      </c>
      <c r="D946" t="s">
        <v>12281</v>
      </c>
      <c r="E946" t="s">
        <v>70</v>
      </c>
      <c r="F946" t="s">
        <v>3256</v>
      </c>
      <c r="G946" t="s">
        <v>3257</v>
      </c>
      <c r="H946" t="s">
        <v>8233</v>
      </c>
      <c r="I946" t="s">
        <v>12282</v>
      </c>
      <c r="J946" t="s">
        <v>12283</v>
      </c>
      <c r="K946" t="s">
        <v>36</v>
      </c>
      <c r="L946" t="s">
        <v>33</v>
      </c>
      <c r="M946">
        <v>20555113731</v>
      </c>
      <c r="N946" t="s">
        <v>2147</v>
      </c>
      <c r="P946" t="s">
        <v>38</v>
      </c>
      <c r="Q946" t="s">
        <v>2148</v>
      </c>
      <c r="R946" t="s">
        <v>12284</v>
      </c>
      <c r="S946">
        <v>217.12</v>
      </c>
      <c r="T946" t="s">
        <v>40</v>
      </c>
      <c r="U946">
        <f>+IF(Tabla1[[#This Row],[MONEDA]]="PEN",Tabla1[[#This Row],[MONTO]],Tabla1[[#This Row],[MONTO]]*3.56)</f>
        <v>217.12</v>
      </c>
      <c r="X946" t="s">
        <v>41</v>
      </c>
      <c r="Y946" t="s">
        <v>42</v>
      </c>
      <c r="Z946" t="s">
        <v>82</v>
      </c>
      <c r="AA946" t="s">
        <v>12285</v>
      </c>
      <c r="AB946" t="s">
        <v>12286</v>
      </c>
      <c r="AC946" t="s">
        <v>12287</v>
      </c>
      <c r="AD946" t="s">
        <v>12288</v>
      </c>
      <c r="AE946">
        <v>217.12</v>
      </c>
      <c r="AF946" t="s">
        <v>87</v>
      </c>
      <c r="AG946" t="s">
        <v>169</v>
      </c>
    </row>
    <row r="947" spans="1:33" x14ac:dyDescent="0.25">
      <c r="A947">
        <v>21200</v>
      </c>
      <c r="B947" t="s">
        <v>32</v>
      </c>
      <c r="C947">
        <v>1</v>
      </c>
      <c r="D947" t="s">
        <v>12645</v>
      </c>
      <c r="E947" t="s">
        <v>70</v>
      </c>
      <c r="F947" t="s">
        <v>157</v>
      </c>
      <c r="G947" t="s">
        <v>12377</v>
      </c>
      <c r="H947" t="s">
        <v>8233</v>
      </c>
      <c r="I947" t="s">
        <v>12624</v>
      </c>
      <c r="J947" t="s">
        <v>12646</v>
      </c>
      <c r="K947" t="s">
        <v>36</v>
      </c>
      <c r="L947" t="s">
        <v>33</v>
      </c>
      <c r="M947">
        <v>20555113731</v>
      </c>
      <c r="N947" t="s">
        <v>2147</v>
      </c>
      <c r="P947" t="s">
        <v>38</v>
      </c>
      <c r="Q947" t="s">
        <v>2148</v>
      </c>
      <c r="R947" t="s">
        <v>12647</v>
      </c>
      <c r="S947">
        <v>217.12</v>
      </c>
      <c r="T947" t="s">
        <v>40</v>
      </c>
      <c r="U947">
        <f>+IF(Tabla1[[#This Row],[MONEDA]]="PEN",Tabla1[[#This Row],[MONTO]],Tabla1[[#This Row],[MONTO]]*3.56)</f>
        <v>217.12</v>
      </c>
      <c r="X947" t="s">
        <v>41</v>
      </c>
      <c r="Y947" t="s">
        <v>42</v>
      </c>
      <c r="Z947" t="s">
        <v>82</v>
      </c>
      <c r="AA947" t="s">
        <v>12648</v>
      </c>
      <c r="AB947" t="s">
        <v>12649</v>
      </c>
      <c r="AC947" t="s">
        <v>12650</v>
      </c>
      <c r="AD947" t="s">
        <v>12651</v>
      </c>
      <c r="AE947">
        <v>217.12</v>
      </c>
      <c r="AF947" t="s">
        <v>87</v>
      </c>
      <c r="AG947" t="s">
        <v>169</v>
      </c>
    </row>
    <row r="948" spans="1:33" hidden="1" x14ac:dyDescent="0.25">
      <c r="A948">
        <v>25909</v>
      </c>
      <c r="B948" t="s">
        <v>32</v>
      </c>
      <c r="C948">
        <v>1</v>
      </c>
      <c r="D948" t="s">
        <v>9474</v>
      </c>
      <c r="E948" t="s">
        <v>70</v>
      </c>
      <c r="F948" t="s">
        <v>33</v>
      </c>
      <c r="G948" t="s">
        <v>71</v>
      </c>
      <c r="H948" t="s">
        <v>72</v>
      </c>
      <c r="I948" t="s">
        <v>9469</v>
      </c>
      <c r="J948" t="s">
        <v>9475</v>
      </c>
      <c r="K948" t="s">
        <v>36</v>
      </c>
      <c r="L948" t="s">
        <v>33</v>
      </c>
      <c r="M948">
        <v>20607728110</v>
      </c>
      <c r="N948" t="s">
        <v>9476</v>
      </c>
      <c r="O948" t="s">
        <v>76</v>
      </c>
      <c r="P948" t="s">
        <v>38</v>
      </c>
      <c r="Q948" t="s">
        <v>9477</v>
      </c>
      <c r="R948" t="s">
        <v>9478</v>
      </c>
      <c r="S948">
        <v>585</v>
      </c>
      <c r="T948" t="s">
        <v>40</v>
      </c>
      <c r="U948">
        <f>+IF(Tabla1[[#This Row],[MONEDA]]="PEN",Tabla1[[#This Row],[MONTO]],Tabla1[[#This Row],[MONTO]]*3.56)</f>
        <v>585</v>
      </c>
      <c r="X948" t="s">
        <v>81</v>
      </c>
      <c r="Y948" t="s">
        <v>42</v>
      </c>
      <c r="Z948" t="s">
        <v>82</v>
      </c>
      <c r="AA948" t="s">
        <v>9479</v>
      </c>
      <c r="AB948" t="s">
        <v>9480</v>
      </c>
      <c r="AC948" t="s">
        <v>9481</v>
      </c>
      <c r="AD948" t="s">
        <v>9482</v>
      </c>
      <c r="AE948">
        <v>585</v>
      </c>
      <c r="AF948" t="s">
        <v>87</v>
      </c>
      <c r="AG948" t="s">
        <v>169</v>
      </c>
    </row>
    <row r="949" spans="1:33" x14ac:dyDescent="0.25">
      <c r="A949">
        <v>40911</v>
      </c>
      <c r="B949" t="s">
        <v>32</v>
      </c>
      <c r="C949">
        <v>1</v>
      </c>
      <c r="D949" t="s">
        <v>1792</v>
      </c>
      <c r="E949" t="s">
        <v>70</v>
      </c>
      <c r="F949" t="s">
        <v>90</v>
      </c>
      <c r="G949" t="s">
        <v>91</v>
      </c>
      <c r="H949" t="s">
        <v>35</v>
      </c>
      <c r="I949" t="s">
        <v>1793</v>
      </c>
      <c r="J949" t="s">
        <v>1794</v>
      </c>
      <c r="K949" t="s">
        <v>36</v>
      </c>
      <c r="L949" t="s">
        <v>33</v>
      </c>
      <c r="M949">
        <v>10742857013</v>
      </c>
      <c r="N949" t="s">
        <v>460</v>
      </c>
      <c r="P949" t="s">
        <v>224</v>
      </c>
      <c r="Q949">
        <v>3613007104004</v>
      </c>
      <c r="R949" t="s">
        <v>461</v>
      </c>
      <c r="S949">
        <v>34408.800000000003</v>
      </c>
      <c r="T949" t="s">
        <v>40</v>
      </c>
      <c r="U949">
        <f>+IF(Tabla1[[#This Row],[MONEDA]]="PEN",Tabla1[[#This Row],[MONTO]],Tabla1[[#This Row],[MONTO]]*3.56)</f>
        <v>34408.800000000003</v>
      </c>
      <c r="X949" t="s">
        <v>41</v>
      </c>
      <c r="Y949" t="s">
        <v>51</v>
      </c>
      <c r="Z949" t="s">
        <v>43</v>
      </c>
      <c r="AA949" t="s">
        <v>1795</v>
      </c>
      <c r="AB949" t="s">
        <v>1796</v>
      </c>
      <c r="AC949" t="s">
        <v>1797</v>
      </c>
      <c r="AE949">
        <v>30967.919999999998</v>
      </c>
      <c r="AF949" t="s">
        <v>87</v>
      </c>
      <c r="AG949" t="s">
        <v>1798</v>
      </c>
    </row>
    <row r="950" spans="1:33" x14ac:dyDescent="0.25">
      <c r="A950">
        <v>40562</v>
      </c>
      <c r="B950" t="s">
        <v>32</v>
      </c>
      <c r="C950">
        <v>4</v>
      </c>
      <c r="D950" t="s">
        <v>2057</v>
      </c>
      <c r="E950" t="s">
        <v>70</v>
      </c>
      <c r="F950" t="s">
        <v>90</v>
      </c>
      <c r="G950" t="s">
        <v>91</v>
      </c>
      <c r="H950" t="s">
        <v>35</v>
      </c>
      <c r="I950" t="s">
        <v>2024</v>
      </c>
      <c r="J950" t="s">
        <v>2058</v>
      </c>
      <c r="K950" t="s">
        <v>36</v>
      </c>
      <c r="L950" t="s">
        <v>33</v>
      </c>
      <c r="M950">
        <v>10742857013</v>
      </c>
      <c r="N950" t="s">
        <v>460</v>
      </c>
      <c r="P950" t="s">
        <v>224</v>
      </c>
      <c r="Q950">
        <v>3613007104004</v>
      </c>
      <c r="R950" t="s">
        <v>2059</v>
      </c>
      <c r="S950">
        <v>31860</v>
      </c>
      <c r="T950" t="s">
        <v>40</v>
      </c>
      <c r="U950">
        <f>+IF(Tabla1[[#This Row],[MONEDA]]="PEN",Tabla1[[#This Row],[MONTO]],Tabla1[[#This Row],[MONTO]]*3.56)</f>
        <v>31860</v>
      </c>
      <c r="X950" t="s">
        <v>41</v>
      </c>
      <c r="Y950" t="s">
        <v>51</v>
      </c>
      <c r="Z950" t="s">
        <v>43</v>
      </c>
      <c r="AA950" t="s">
        <v>2060</v>
      </c>
      <c r="AB950" t="s">
        <v>2061</v>
      </c>
      <c r="AC950" t="s">
        <v>2062</v>
      </c>
      <c r="AE950">
        <v>28674</v>
      </c>
      <c r="AF950" t="s">
        <v>87</v>
      </c>
      <c r="AG950" t="s">
        <v>1798</v>
      </c>
    </row>
    <row r="951" spans="1:33" x14ac:dyDescent="0.25">
      <c r="A951">
        <v>40057</v>
      </c>
      <c r="B951" t="s">
        <v>32</v>
      </c>
      <c r="C951">
        <v>1</v>
      </c>
      <c r="D951" t="s">
        <v>2161</v>
      </c>
      <c r="E951" t="s">
        <v>70</v>
      </c>
      <c r="F951" t="s">
        <v>90</v>
      </c>
      <c r="G951" t="s">
        <v>91</v>
      </c>
      <c r="H951" t="s">
        <v>35</v>
      </c>
      <c r="I951" t="s">
        <v>2162</v>
      </c>
      <c r="J951" t="s">
        <v>2163</v>
      </c>
      <c r="K951" t="s">
        <v>36</v>
      </c>
      <c r="L951" t="s">
        <v>33</v>
      </c>
      <c r="M951">
        <v>10742857013</v>
      </c>
      <c r="N951" t="s">
        <v>460</v>
      </c>
      <c r="P951" t="s">
        <v>224</v>
      </c>
      <c r="Q951">
        <v>3613007104004</v>
      </c>
      <c r="R951" t="s">
        <v>2164</v>
      </c>
      <c r="S951">
        <v>2655</v>
      </c>
      <c r="T951" t="s">
        <v>40</v>
      </c>
      <c r="U951">
        <f>+IF(Tabla1[[#This Row],[MONEDA]]="PEN",Tabla1[[#This Row],[MONTO]],Tabla1[[#This Row],[MONTO]]*3.56)</f>
        <v>2655</v>
      </c>
      <c r="X951" t="s">
        <v>41</v>
      </c>
      <c r="Y951" t="s">
        <v>42</v>
      </c>
      <c r="Z951" t="s">
        <v>82</v>
      </c>
      <c r="AA951" t="s">
        <v>2165</v>
      </c>
      <c r="AB951" t="s">
        <v>2166</v>
      </c>
      <c r="AC951" t="s">
        <v>2167</v>
      </c>
      <c r="AD951" t="s">
        <v>2168</v>
      </c>
      <c r="AE951">
        <v>2575.35</v>
      </c>
      <c r="AF951" t="s">
        <v>87</v>
      </c>
      <c r="AG951" t="s">
        <v>1798</v>
      </c>
    </row>
    <row r="952" spans="1:33" x14ac:dyDescent="0.25">
      <c r="A952">
        <v>37217</v>
      </c>
      <c r="B952" t="s">
        <v>32</v>
      </c>
      <c r="C952">
        <v>1</v>
      </c>
      <c r="D952" t="s">
        <v>3423</v>
      </c>
      <c r="E952" t="s">
        <v>70</v>
      </c>
      <c r="F952" t="s">
        <v>90</v>
      </c>
      <c r="G952" t="s">
        <v>91</v>
      </c>
      <c r="H952" t="s">
        <v>35</v>
      </c>
      <c r="I952" t="s">
        <v>3424</v>
      </c>
      <c r="J952" t="s">
        <v>3425</v>
      </c>
      <c r="K952" t="s">
        <v>36</v>
      </c>
      <c r="L952" t="s">
        <v>33</v>
      </c>
      <c r="M952">
        <v>10742857013</v>
      </c>
      <c r="N952" t="s">
        <v>460</v>
      </c>
      <c r="P952" t="s">
        <v>224</v>
      </c>
      <c r="Q952">
        <v>3613007104004</v>
      </c>
      <c r="R952" t="s">
        <v>1812</v>
      </c>
      <c r="S952">
        <v>44604</v>
      </c>
      <c r="T952" t="s">
        <v>40</v>
      </c>
      <c r="U952">
        <f>+IF(Tabla1[[#This Row],[MONEDA]]="PEN",Tabla1[[#This Row],[MONTO]],Tabla1[[#This Row],[MONTO]]*3.56)</f>
        <v>44604</v>
      </c>
      <c r="X952" t="s">
        <v>41</v>
      </c>
      <c r="Y952" t="s">
        <v>42</v>
      </c>
      <c r="Z952" t="s">
        <v>82</v>
      </c>
      <c r="AA952" t="s">
        <v>3426</v>
      </c>
      <c r="AB952" t="s">
        <v>3427</v>
      </c>
      <c r="AC952" t="s">
        <v>3428</v>
      </c>
      <c r="AD952" t="s">
        <v>3429</v>
      </c>
      <c r="AE952">
        <v>40143.599999999999</v>
      </c>
      <c r="AF952" t="s">
        <v>87</v>
      </c>
      <c r="AG952" t="s">
        <v>1798</v>
      </c>
    </row>
    <row r="953" spans="1:33" x14ac:dyDescent="0.25">
      <c r="A953">
        <v>37219</v>
      </c>
      <c r="B953" t="s">
        <v>32</v>
      </c>
      <c r="C953">
        <v>1</v>
      </c>
      <c r="D953" t="s">
        <v>3430</v>
      </c>
      <c r="E953" t="s">
        <v>70</v>
      </c>
      <c r="F953" t="s">
        <v>90</v>
      </c>
      <c r="G953" t="s">
        <v>91</v>
      </c>
      <c r="H953" t="s">
        <v>35</v>
      </c>
      <c r="I953" t="s">
        <v>3424</v>
      </c>
      <c r="J953" t="s">
        <v>3431</v>
      </c>
      <c r="K953" t="s">
        <v>36</v>
      </c>
      <c r="L953" t="s">
        <v>33</v>
      </c>
      <c r="M953">
        <v>10742857013</v>
      </c>
      <c r="N953" t="s">
        <v>460</v>
      </c>
      <c r="P953" t="s">
        <v>224</v>
      </c>
      <c r="Q953">
        <v>3613007104004</v>
      </c>
      <c r="R953" t="s">
        <v>3432</v>
      </c>
      <c r="S953">
        <v>42952</v>
      </c>
      <c r="T953" t="s">
        <v>40</v>
      </c>
      <c r="U953">
        <f>+IF(Tabla1[[#This Row],[MONEDA]]="PEN",Tabla1[[#This Row],[MONTO]],Tabla1[[#This Row],[MONTO]]*3.56)</f>
        <v>42952</v>
      </c>
      <c r="X953" t="s">
        <v>41</v>
      </c>
      <c r="Y953" t="s">
        <v>42</v>
      </c>
      <c r="Z953" t="s">
        <v>82</v>
      </c>
      <c r="AA953" t="s">
        <v>3433</v>
      </c>
      <c r="AB953" t="s">
        <v>3434</v>
      </c>
      <c r="AC953" t="s">
        <v>3435</v>
      </c>
      <c r="AD953" t="s">
        <v>3436</v>
      </c>
      <c r="AE953">
        <v>38656.800000000003</v>
      </c>
      <c r="AF953" t="s">
        <v>87</v>
      </c>
      <c r="AG953" t="s">
        <v>1798</v>
      </c>
    </row>
    <row r="954" spans="1:33" x14ac:dyDescent="0.25">
      <c r="A954">
        <v>37220</v>
      </c>
      <c r="B954" t="s">
        <v>32</v>
      </c>
      <c r="C954">
        <v>1</v>
      </c>
      <c r="D954" t="s">
        <v>3437</v>
      </c>
      <c r="E954" t="s">
        <v>70</v>
      </c>
      <c r="F954" t="s">
        <v>90</v>
      </c>
      <c r="G954" t="s">
        <v>91</v>
      </c>
      <c r="H954" t="s">
        <v>35</v>
      </c>
      <c r="I954" t="s">
        <v>3424</v>
      </c>
      <c r="J954" t="s">
        <v>3438</v>
      </c>
      <c r="K954" t="s">
        <v>36</v>
      </c>
      <c r="L954" t="s">
        <v>33</v>
      </c>
      <c r="M954">
        <v>10742857013</v>
      </c>
      <c r="N954" t="s">
        <v>460</v>
      </c>
      <c r="P954" t="s">
        <v>224</v>
      </c>
      <c r="Q954">
        <v>3613007104004</v>
      </c>
      <c r="R954" t="s">
        <v>1811</v>
      </c>
      <c r="S954">
        <v>10832.4</v>
      </c>
      <c r="T954" t="s">
        <v>40</v>
      </c>
      <c r="U954">
        <f>+IF(Tabla1[[#This Row],[MONEDA]]="PEN",Tabla1[[#This Row],[MONTO]],Tabla1[[#This Row],[MONTO]]*3.56)</f>
        <v>10832.4</v>
      </c>
      <c r="X954" t="s">
        <v>41</v>
      </c>
      <c r="Y954" t="s">
        <v>42</v>
      </c>
      <c r="Z954" t="s">
        <v>82</v>
      </c>
      <c r="AA954" t="s">
        <v>3439</v>
      </c>
      <c r="AB954" t="s">
        <v>3440</v>
      </c>
      <c r="AC954" t="s">
        <v>3441</v>
      </c>
      <c r="AD954" t="s">
        <v>3442</v>
      </c>
      <c r="AE954">
        <v>9749.16</v>
      </c>
      <c r="AF954" t="s">
        <v>87</v>
      </c>
      <c r="AG954" t="s">
        <v>1798</v>
      </c>
    </row>
    <row r="955" spans="1:33" x14ac:dyDescent="0.25">
      <c r="A955">
        <v>37221</v>
      </c>
      <c r="B955" t="s">
        <v>32</v>
      </c>
      <c r="C955">
        <v>1</v>
      </c>
      <c r="D955" t="s">
        <v>3443</v>
      </c>
      <c r="E955" t="s">
        <v>70</v>
      </c>
      <c r="F955" t="s">
        <v>90</v>
      </c>
      <c r="G955" t="s">
        <v>91</v>
      </c>
      <c r="H955" t="s">
        <v>35</v>
      </c>
      <c r="I955" t="s">
        <v>3424</v>
      </c>
      <c r="J955" t="s">
        <v>3444</v>
      </c>
      <c r="K955" t="s">
        <v>36</v>
      </c>
      <c r="L955" t="s">
        <v>33</v>
      </c>
      <c r="M955">
        <v>10742857013</v>
      </c>
      <c r="N955" t="s">
        <v>460</v>
      </c>
      <c r="P955" t="s">
        <v>224</v>
      </c>
      <c r="Q955">
        <v>3613007104004</v>
      </c>
      <c r="R955" t="s">
        <v>3445</v>
      </c>
      <c r="S955">
        <v>11894.4</v>
      </c>
      <c r="T955" t="s">
        <v>40</v>
      </c>
      <c r="U955">
        <f>+IF(Tabla1[[#This Row],[MONEDA]]="PEN",Tabla1[[#This Row],[MONTO]],Tabla1[[#This Row],[MONTO]]*3.56)</f>
        <v>11894.4</v>
      </c>
      <c r="X955" t="s">
        <v>41</v>
      </c>
      <c r="Y955" t="s">
        <v>42</v>
      </c>
      <c r="Z955" t="s">
        <v>82</v>
      </c>
      <c r="AA955" t="s">
        <v>3446</v>
      </c>
      <c r="AB955" t="s">
        <v>3447</v>
      </c>
      <c r="AC955" t="s">
        <v>3448</v>
      </c>
      <c r="AD955" t="s">
        <v>3449</v>
      </c>
      <c r="AE955">
        <v>10705.4</v>
      </c>
      <c r="AF955" t="s">
        <v>87</v>
      </c>
      <c r="AG955" t="s">
        <v>1798</v>
      </c>
    </row>
    <row r="956" spans="1:33" x14ac:dyDescent="0.25">
      <c r="A956">
        <v>37226</v>
      </c>
      <c r="B956" t="s">
        <v>32</v>
      </c>
      <c r="C956">
        <v>1</v>
      </c>
      <c r="D956" t="s">
        <v>3450</v>
      </c>
      <c r="E956" t="s">
        <v>70</v>
      </c>
      <c r="F956" t="s">
        <v>90</v>
      </c>
      <c r="G956" t="s">
        <v>91</v>
      </c>
      <c r="H956" t="s">
        <v>35</v>
      </c>
      <c r="I956" t="s">
        <v>3424</v>
      </c>
      <c r="J956" t="s">
        <v>3451</v>
      </c>
      <c r="K956" t="s">
        <v>36</v>
      </c>
      <c r="L956" t="s">
        <v>33</v>
      </c>
      <c r="M956">
        <v>10742857013</v>
      </c>
      <c r="N956" t="s">
        <v>460</v>
      </c>
      <c r="P956" t="s">
        <v>224</v>
      </c>
      <c r="Q956">
        <v>3613007104004</v>
      </c>
      <c r="R956" t="s">
        <v>3452</v>
      </c>
      <c r="S956">
        <v>6048</v>
      </c>
      <c r="T956" t="s">
        <v>40</v>
      </c>
      <c r="U956">
        <f>+IF(Tabla1[[#This Row],[MONEDA]]="PEN",Tabla1[[#This Row],[MONTO]],Tabla1[[#This Row],[MONTO]]*3.56)</f>
        <v>6048</v>
      </c>
      <c r="X956" t="s">
        <v>41</v>
      </c>
      <c r="Y956" t="s">
        <v>42</v>
      </c>
      <c r="Z956" t="s">
        <v>82</v>
      </c>
      <c r="AA956" t="s">
        <v>3426</v>
      </c>
      <c r="AB956" t="s">
        <v>3453</v>
      </c>
      <c r="AC956" t="s">
        <v>3454</v>
      </c>
      <c r="AD956" t="s">
        <v>3455</v>
      </c>
      <c r="AE956">
        <v>5443.2</v>
      </c>
      <c r="AF956" t="s">
        <v>87</v>
      </c>
      <c r="AG956" t="s">
        <v>1798</v>
      </c>
    </row>
    <row r="957" spans="1:33" x14ac:dyDescent="0.25">
      <c r="A957">
        <v>37216</v>
      </c>
      <c r="B957" t="s">
        <v>32</v>
      </c>
      <c r="C957">
        <v>1</v>
      </c>
      <c r="D957" t="s">
        <v>3456</v>
      </c>
      <c r="E957" t="s">
        <v>70</v>
      </c>
      <c r="F957" t="s">
        <v>90</v>
      </c>
      <c r="G957" t="s">
        <v>91</v>
      </c>
      <c r="H957" t="s">
        <v>35</v>
      </c>
      <c r="I957" t="s">
        <v>3457</v>
      </c>
      <c r="J957" t="s">
        <v>3458</v>
      </c>
      <c r="K957" t="s">
        <v>36</v>
      </c>
      <c r="L957" t="s">
        <v>33</v>
      </c>
      <c r="M957">
        <v>10742857013</v>
      </c>
      <c r="N957" t="s">
        <v>460</v>
      </c>
      <c r="P957" t="s">
        <v>224</v>
      </c>
      <c r="Q957">
        <v>3613007104004</v>
      </c>
      <c r="R957" t="s">
        <v>1814</v>
      </c>
      <c r="S957">
        <v>42952</v>
      </c>
      <c r="T957" t="s">
        <v>40</v>
      </c>
      <c r="U957">
        <f>+IF(Tabla1[[#This Row],[MONEDA]]="PEN",Tabla1[[#This Row],[MONTO]],Tabla1[[#This Row],[MONTO]]*3.56)</f>
        <v>42952</v>
      </c>
      <c r="X957" t="s">
        <v>41</v>
      </c>
      <c r="Y957" t="s">
        <v>42</v>
      </c>
      <c r="Z957" t="s">
        <v>43</v>
      </c>
      <c r="AA957" t="s">
        <v>3459</v>
      </c>
      <c r="AB957" t="s">
        <v>3460</v>
      </c>
      <c r="AC957" t="s">
        <v>3461</v>
      </c>
      <c r="AD957" t="s">
        <v>3462</v>
      </c>
      <c r="AE957">
        <v>38656.800000000003</v>
      </c>
      <c r="AG957" t="s">
        <v>1798</v>
      </c>
    </row>
    <row r="958" spans="1:33" hidden="1" x14ac:dyDescent="0.25">
      <c r="A958">
        <v>35652</v>
      </c>
      <c r="B958" t="s">
        <v>32</v>
      </c>
      <c r="C958">
        <v>1</v>
      </c>
      <c r="D958" t="s">
        <v>4199</v>
      </c>
      <c r="E958" t="s">
        <v>70</v>
      </c>
      <c r="F958" t="s">
        <v>33</v>
      </c>
      <c r="G958" t="s">
        <v>71</v>
      </c>
      <c r="H958" t="s">
        <v>72</v>
      </c>
      <c r="I958" t="s">
        <v>4177</v>
      </c>
      <c r="J958" t="s">
        <v>4200</v>
      </c>
      <c r="K958" t="s">
        <v>36</v>
      </c>
      <c r="L958" t="s">
        <v>33</v>
      </c>
      <c r="M958">
        <v>10742857013</v>
      </c>
      <c r="N958" t="s">
        <v>460</v>
      </c>
      <c r="O958" t="s">
        <v>76</v>
      </c>
      <c r="P958" t="s">
        <v>224</v>
      </c>
      <c r="Q958">
        <v>3613007104004</v>
      </c>
      <c r="R958" t="s">
        <v>4201</v>
      </c>
      <c r="S958">
        <v>778</v>
      </c>
      <c r="T958" t="s">
        <v>40</v>
      </c>
      <c r="U958">
        <f>+IF(Tabla1[[#This Row],[MONEDA]]="PEN",Tabla1[[#This Row],[MONTO]],Tabla1[[#This Row],[MONTO]]*3.56)</f>
        <v>778</v>
      </c>
      <c r="X958" t="s">
        <v>81</v>
      </c>
      <c r="Y958" t="s">
        <v>42</v>
      </c>
      <c r="Z958" t="s">
        <v>43</v>
      </c>
      <c r="AA958" t="s">
        <v>4202</v>
      </c>
      <c r="AB958" t="s">
        <v>4203</v>
      </c>
      <c r="AC958" t="s">
        <v>4204</v>
      </c>
      <c r="AD958" t="s">
        <v>4205</v>
      </c>
      <c r="AE958">
        <v>754.66</v>
      </c>
      <c r="AF958" t="s">
        <v>87</v>
      </c>
      <c r="AG958" t="s">
        <v>1798</v>
      </c>
    </row>
    <row r="959" spans="1:33" x14ac:dyDescent="0.25">
      <c r="A959">
        <v>32042</v>
      </c>
      <c r="B959" t="s">
        <v>32</v>
      </c>
      <c r="C959">
        <v>1</v>
      </c>
      <c r="D959" t="s">
        <v>5583</v>
      </c>
      <c r="E959" t="s">
        <v>70</v>
      </c>
      <c r="F959" t="s">
        <v>90</v>
      </c>
      <c r="G959" t="s">
        <v>91</v>
      </c>
      <c r="H959" t="s">
        <v>5153</v>
      </c>
      <c r="I959" t="s">
        <v>5584</v>
      </c>
      <c r="J959" t="s">
        <v>5585</v>
      </c>
      <c r="K959" t="s">
        <v>36</v>
      </c>
      <c r="L959" t="s">
        <v>33</v>
      </c>
      <c r="M959">
        <v>10742857013</v>
      </c>
      <c r="N959" t="s">
        <v>460</v>
      </c>
      <c r="P959" t="s">
        <v>224</v>
      </c>
      <c r="Q959">
        <v>3613007104004</v>
      </c>
      <c r="R959" t="s">
        <v>5586</v>
      </c>
      <c r="S959">
        <v>1500</v>
      </c>
      <c r="T959" t="s">
        <v>40</v>
      </c>
      <c r="U959">
        <f>+IF(Tabla1[[#This Row],[MONEDA]]="PEN",Tabla1[[#This Row],[MONTO]],Tabla1[[#This Row],[MONTO]]*3.56)</f>
        <v>1500</v>
      </c>
      <c r="X959" t="s">
        <v>41</v>
      </c>
      <c r="Y959" t="s">
        <v>42</v>
      </c>
      <c r="Z959" t="s">
        <v>43</v>
      </c>
      <c r="AA959" t="s">
        <v>5587</v>
      </c>
      <c r="AB959" t="s">
        <v>5588</v>
      </c>
      <c r="AC959" t="s">
        <v>5589</v>
      </c>
      <c r="AD959" t="s">
        <v>5590</v>
      </c>
      <c r="AE959">
        <v>1593</v>
      </c>
      <c r="AG959" t="s">
        <v>1798</v>
      </c>
    </row>
    <row r="960" spans="1:33" x14ac:dyDescent="0.25">
      <c r="A960">
        <v>30086</v>
      </c>
      <c r="B960" t="s">
        <v>32</v>
      </c>
      <c r="C960">
        <v>2</v>
      </c>
      <c r="D960" t="s">
        <v>6289</v>
      </c>
      <c r="E960" t="s">
        <v>70</v>
      </c>
      <c r="F960" t="s">
        <v>90</v>
      </c>
      <c r="G960" t="s">
        <v>91</v>
      </c>
      <c r="H960" t="s">
        <v>72</v>
      </c>
      <c r="I960" t="s">
        <v>6290</v>
      </c>
      <c r="J960" t="s">
        <v>6291</v>
      </c>
      <c r="K960" t="s">
        <v>36</v>
      </c>
      <c r="L960" t="s">
        <v>33</v>
      </c>
      <c r="M960">
        <v>10742857013</v>
      </c>
      <c r="N960" t="s">
        <v>460</v>
      </c>
      <c r="O960" t="s">
        <v>1705</v>
      </c>
      <c r="P960" t="s">
        <v>224</v>
      </c>
      <c r="Q960">
        <v>3613007104004</v>
      </c>
      <c r="R960" t="s">
        <v>6292</v>
      </c>
      <c r="S960">
        <v>9180</v>
      </c>
      <c r="T960" t="s">
        <v>40</v>
      </c>
      <c r="U960">
        <f>+IF(Tabla1[[#This Row],[MONEDA]]="PEN",Tabla1[[#This Row],[MONTO]],Tabla1[[#This Row],[MONTO]]*3.56)</f>
        <v>9180</v>
      </c>
      <c r="X960" t="s">
        <v>41</v>
      </c>
      <c r="Y960" t="s">
        <v>42</v>
      </c>
      <c r="Z960" t="s">
        <v>82</v>
      </c>
      <c r="AA960" t="s">
        <v>6293</v>
      </c>
      <c r="AB960" t="s">
        <v>6294</v>
      </c>
      <c r="AC960" t="s">
        <v>6295</v>
      </c>
      <c r="AD960" t="s">
        <v>6296</v>
      </c>
      <c r="AE960">
        <v>9532.34</v>
      </c>
      <c r="AG960" t="s">
        <v>1798</v>
      </c>
    </row>
    <row r="961" spans="1:33" x14ac:dyDescent="0.25">
      <c r="A961">
        <v>28335</v>
      </c>
      <c r="B961" t="s">
        <v>32</v>
      </c>
      <c r="C961">
        <v>1</v>
      </c>
      <c r="D961" t="s">
        <v>6997</v>
      </c>
      <c r="E961" t="s">
        <v>70</v>
      </c>
      <c r="F961" t="s">
        <v>90</v>
      </c>
      <c r="G961" t="s">
        <v>91</v>
      </c>
      <c r="H961" t="s">
        <v>72</v>
      </c>
      <c r="I961" t="s">
        <v>6972</v>
      </c>
      <c r="J961" t="s">
        <v>6998</v>
      </c>
      <c r="K961" t="s">
        <v>36</v>
      </c>
      <c r="L961" t="s">
        <v>33</v>
      </c>
      <c r="M961">
        <v>10742857013</v>
      </c>
      <c r="N961" t="s">
        <v>460</v>
      </c>
      <c r="P961" t="s">
        <v>224</v>
      </c>
      <c r="Q961">
        <v>3613007104004</v>
      </c>
      <c r="R961" t="s">
        <v>6999</v>
      </c>
      <c r="S961">
        <v>33600</v>
      </c>
      <c r="T961" t="s">
        <v>40</v>
      </c>
      <c r="U961">
        <f>+IF(Tabla1[[#This Row],[MONEDA]]="PEN",Tabla1[[#This Row],[MONTO]],Tabla1[[#This Row],[MONTO]]*3.56)</f>
        <v>33600</v>
      </c>
      <c r="X961" t="s">
        <v>41</v>
      </c>
      <c r="Y961" t="s">
        <v>42</v>
      </c>
      <c r="Z961" t="s">
        <v>43</v>
      </c>
      <c r="AA961" t="s">
        <v>7000</v>
      </c>
      <c r="AB961" t="s">
        <v>7001</v>
      </c>
      <c r="AC961" t="s">
        <v>7002</v>
      </c>
      <c r="AD961" t="s">
        <v>7003</v>
      </c>
      <c r="AE961">
        <v>30240</v>
      </c>
      <c r="AF961" t="s">
        <v>87</v>
      </c>
      <c r="AG961" t="s">
        <v>1798</v>
      </c>
    </row>
    <row r="962" spans="1:33" x14ac:dyDescent="0.25">
      <c r="A962">
        <v>26755</v>
      </c>
      <c r="B962" t="s">
        <v>32</v>
      </c>
      <c r="C962">
        <v>1</v>
      </c>
      <c r="D962" t="s">
        <v>8419</v>
      </c>
      <c r="E962" t="s">
        <v>70</v>
      </c>
      <c r="F962" t="s">
        <v>90</v>
      </c>
      <c r="G962" t="s">
        <v>91</v>
      </c>
      <c r="H962" t="s">
        <v>72</v>
      </c>
      <c r="I962" t="s">
        <v>8412</v>
      </c>
      <c r="J962" t="s">
        <v>8420</v>
      </c>
      <c r="K962" t="s">
        <v>36</v>
      </c>
      <c r="L962" t="s">
        <v>33</v>
      </c>
      <c r="M962">
        <v>10742857013</v>
      </c>
      <c r="N962" t="s">
        <v>460</v>
      </c>
      <c r="P962" t="s">
        <v>224</v>
      </c>
      <c r="Q962">
        <v>3613007104004</v>
      </c>
      <c r="R962" t="s">
        <v>8421</v>
      </c>
      <c r="S962">
        <v>19824</v>
      </c>
      <c r="T962" t="s">
        <v>40</v>
      </c>
      <c r="U962">
        <f>+IF(Tabla1[[#This Row],[MONEDA]]="PEN",Tabla1[[#This Row],[MONTO]],Tabla1[[#This Row],[MONTO]]*3.56)</f>
        <v>19824</v>
      </c>
      <c r="X962" t="s">
        <v>41</v>
      </c>
      <c r="Y962" t="s">
        <v>42</v>
      </c>
      <c r="Z962" t="s">
        <v>43</v>
      </c>
      <c r="AA962" t="s">
        <v>8422</v>
      </c>
      <c r="AB962" t="s">
        <v>8423</v>
      </c>
      <c r="AC962" t="s">
        <v>8424</v>
      </c>
      <c r="AD962" t="s">
        <v>8425</v>
      </c>
      <c r="AE962">
        <v>17841.599999999999</v>
      </c>
      <c r="AF962" t="s">
        <v>87</v>
      </c>
      <c r="AG962" t="s">
        <v>1798</v>
      </c>
    </row>
    <row r="963" spans="1:33" x14ac:dyDescent="0.25">
      <c r="A963">
        <v>27263</v>
      </c>
      <c r="B963" t="s">
        <v>32</v>
      </c>
      <c r="C963">
        <v>1</v>
      </c>
      <c r="D963" t="s">
        <v>8577</v>
      </c>
      <c r="E963" t="s">
        <v>70</v>
      </c>
      <c r="F963" t="s">
        <v>90</v>
      </c>
      <c r="G963" t="s">
        <v>91</v>
      </c>
      <c r="H963" t="s">
        <v>72</v>
      </c>
      <c r="I963" t="s">
        <v>8560</v>
      </c>
      <c r="J963" t="s">
        <v>8578</v>
      </c>
      <c r="K963" t="s">
        <v>36</v>
      </c>
      <c r="L963" t="s">
        <v>33</v>
      </c>
      <c r="M963">
        <v>10742857013</v>
      </c>
      <c r="N963" t="s">
        <v>460</v>
      </c>
      <c r="P963" t="s">
        <v>224</v>
      </c>
      <c r="Q963">
        <v>3613007104004</v>
      </c>
      <c r="R963" t="s">
        <v>8579</v>
      </c>
      <c r="S963">
        <v>5664</v>
      </c>
      <c r="T963" t="s">
        <v>40</v>
      </c>
      <c r="U963">
        <f>+IF(Tabla1[[#This Row],[MONEDA]]="PEN",Tabla1[[#This Row],[MONTO]],Tabla1[[#This Row],[MONTO]]*3.56)</f>
        <v>5664</v>
      </c>
      <c r="X963" t="s">
        <v>41</v>
      </c>
      <c r="Y963" t="s">
        <v>42</v>
      </c>
      <c r="Z963" t="s">
        <v>43</v>
      </c>
      <c r="AA963" t="s">
        <v>8580</v>
      </c>
      <c r="AB963" t="s">
        <v>8581</v>
      </c>
      <c r="AC963" t="s">
        <v>8582</v>
      </c>
      <c r="AD963" t="s">
        <v>8583</v>
      </c>
      <c r="AE963">
        <v>5097.6000000000004</v>
      </c>
      <c r="AF963" t="s">
        <v>87</v>
      </c>
      <c r="AG963" t="s">
        <v>1798</v>
      </c>
    </row>
    <row r="964" spans="1:33" x14ac:dyDescent="0.25">
      <c r="A964">
        <v>24132</v>
      </c>
      <c r="B964" t="s">
        <v>32</v>
      </c>
      <c r="C964">
        <v>5</v>
      </c>
      <c r="D964" t="s">
        <v>9957</v>
      </c>
      <c r="E964" t="s">
        <v>70</v>
      </c>
      <c r="F964" t="s">
        <v>90</v>
      </c>
      <c r="G964" t="s">
        <v>91</v>
      </c>
      <c r="H964" t="s">
        <v>72</v>
      </c>
      <c r="I964" t="s">
        <v>9958</v>
      </c>
      <c r="J964" t="s">
        <v>9959</v>
      </c>
      <c r="K964" t="s">
        <v>36</v>
      </c>
      <c r="L964" t="s">
        <v>33</v>
      </c>
      <c r="M964">
        <v>10742857013</v>
      </c>
      <c r="N964" t="s">
        <v>460</v>
      </c>
      <c r="P964" t="s">
        <v>224</v>
      </c>
      <c r="Q964">
        <v>3613007104004</v>
      </c>
      <c r="R964" t="s">
        <v>9960</v>
      </c>
      <c r="S964">
        <v>3304</v>
      </c>
      <c r="T964" t="s">
        <v>40</v>
      </c>
      <c r="U964">
        <f>+IF(Tabla1[[#This Row],[MONEDA]]="PEN",Tabla1[[#This Row],[MONTO]],Tabla1[[#This Row],[MONTO]]*3.56)</f>
        <v>3304</v>
      </c>
      <c r="X964" t="s">
        <v>41</v>
      </c>
      <c r="Y964" t="s">
        <v>42</v>
      </c>
      <c r="Z964" t="s">
        <v>43</v>
      </c>
      <c r="AA964" t="s">
        <v>9961</v>
      </c>
      <c r="AB964" t="s">
        <v>9962</v>
      </c>
      <c r="AC964" t="s">
        <v>9963</v>
      </c>
      <c r="AD964" t="s">
        <v>9964</v>
      </c>
      <c r="AE964">
        <v>2973.6</v>
      </c>
      <c r="AF964" t="s">
        <v>87</v>
      </c>
      <c r="AG964" t="s">
        <v>1798</v>
      </c>
    </row>
    <row r="965" spans="1:33" x14ac:dyDescent="0.25">
      <c r="A965">
        <v>21484</v>
      </c>
      <c r="B965" t="s">
        <v>32</v>
      </c>
      <c r="C965">
        <v>1</v>
      </c>
      <c r="D965" t="s">
        <v>12421</v>
      </c>
      <c r="E965" t="s">
        <v>70</v>
      </c>
      <c r="F965" t="s">
        <v>90</v>
      </c>
      <c r="G965" t="s">
        <v>91</v>
      </c>
      <c r="H965" t="s">
        <v>72</v>
      </c>
      <c r="I965" t="s">
        <v>12422</v>
      </c>
      <c r="J965" t="s">
        <v>12423</v>
      </c>
      <c r="K965" t="s">
        <v>36</v>
      </c>
      <c r="L965" t="s">
        <v>33</v>
      </c>
      <c r="M965">
        <v>10742857013</v>
      </c>
      <c r="N965" t="s">
        <v>460</v>
      </c>
      <c r="O965" t="s">
        <v>1747</v>
      </c>
      <c r="P965" t="s">
        <v>224</v>
      </c>
      <c r="Q965">
        <v>3613007104004</v>
      </c>
      <c r="R965" t="s">
        <v>12424</v>
      </c>
      <c r="S965">
        <v>3304</v>
      </c>
      <c r="T965" t="s">
        <v>40</v>
      </c>
      <c r="U965">
        <f>+IF(Tabla1[[#This Row],[MONEDA]]="PEN",Tabla1[[#This Row],[MONTO]],Tabla1[[#This Row],[MONTO]]*3.56)</f>
        <v>3304</v>
      </c>
      <c r="X965" t="s">
        <v>41</v>
      </c>
      <c r="Y965" t="s">
        <v>42</v>
      </c>
      <c r="Z965" t="s">
        <v>43</v>
      </c>
      <c r="AA965" t="s">
        <v>12425</v>
      </c>
      <c r="AB965" t="s">
        <v>12426</v>
      </c>
      <c r="AC965" t="s">
        <v>12427</v>
      </c>
      <c r="AD965" t="s">
        <v>12428</v>
      </c>
      <c r="AE965">
        <v>2973.6</v>
      </c>
      <c r="AF965" t="s">
        <v>87</v>
      </c>
      <c r="AG965" t="s">
        <v>1798</v>
      </c>
    </row>
    <row r="966" spans="1:33" x14ac:dyDescent="0.25">
      <c r="A966">
        <v>21485</v>
      </c>
      <c r="B966" t="s">
        <v>32</v>
      </c>
      <c r="C966">
        <v>1</v>
      </c>
      <c r="D966" t="s">
        <v>12429</v>
      </c>
      <c r="E966" t="s">
        <v>70</v>
      </c>
      <c r="F966" t="s">
        <v>90</v>
      </c>
      <c r="G966" t="s">
        <v>91</v>
      </c>
      <c r="H966" t="s">
        <v>72</v>
      </c>
      <c r="I966" t="s">
        <v>12422</v>
      </c>
      <c r="J966" t="s">
        <v>12430</v>
      </c>
      <c r="K966" t="s">
        <v>36</v>
      </c>
      <c r="L966" t="s">
        <v>33</v>
      </c>
      <c r="M966">
        <v>10742857013</v>
      </c>
      <c r="N966" t="s">
        <v>460</v>
      </c>
      <c r="O966" t="s">
        <v>1747</v>
      </c>
      <c r="P966" t="s">
        <v>224</v>
      </c>
      <c r="Q966">
        <v>3613007104004</v>
      </c>
      <c r="R966" t="s">
        <v>12431</v>
      </c>
      <c r="S966">
        <v>10620</v>
      </c>
      <c r="T966" t="s">
        <v>40</v>
      </c>
      <c r="U966">
        <f>+IF(Tabla1[[#This Row],[MONEDA]]="PEN",Tabla1[[#This Row],[MONTO]],Tabla1[[#This Row],[MONTO]]*3.56)</f>
        <v>10620</v>
      </c>
      <c r="X966" t="s">
        <v>41</v>
      </c>
      <c r="Y966" t="s">
        <v>42</v>
      </c>
      <c r="Z966" t="s">
        <v>43</v>
      </c>
      <c r="AA966" t="s">
        <v>12432</v>
      </c>
      <c r="AB966" t="s">
        <v>12433</v>
      </c>
      <c r="AC966" t="s">
        <v>12434</v>
      </c>
      <c r="AD966" t="s">
        <v>12435</v>
      </c>
      <c r="AE966">
        <v>9558</v>
      </c>
      <c r="AF966" t="s">
        <v>87</v>
      </c>
      <c r="AG966" t="s">
        <v>1798</v>
      </c>
    </row>
    <row r="967" spans="1:33" x14ac:dyDescent="0.25">
      <c r="A967">
        <v>43310</v>
      </c>
      <c r="B967" t="s">
        <v>32</v>
      </c>
      <c r="C967">
        <v>1</v>
      </c>
      <c r="D967" t="s">
        <v>457</v>
      </c>
      <c r="E967" t="s">
        <v>45</v>
      </c>
      <c r="F967" t="s">
        <v>90</v>
      </c>
      <c r="G967" t="s">
        <v>91</v>
      </c>
      <c r="H967" t="s">
        <v>35</v>
      </c>
      <c r="I967" t="s">
        <v>458</v>
      </c>
      <c r="J967" t="s">
        <v>459</v>
      </c>
      <c r="K967" t="s">
        <v>36</v>
      </c>
      <c r="L967" t="s">
        <v>33</v>
      </c>
      <c r="M967">
        <v>10742857013</v>
      </c>
      <c r="N967" t="s">
        <v>460</v>
      </c>
      <c r="P967" t="s">
        <v>224</v>
      </c>
      <c r="Q967">
        <v>3613007104004</v>
      </c>
      <c r="R967" t="s">
        <v>461</v>
      </c>
      <c r="S967">
        <v>34408.800000000003</v>
      </c>
      <c r="T967" t="s">
        <v>40</v>
      </c>
      <c r="U967">
        <f>+IF(Tabla1[[#This Row],[MONEDA]]="PEN",Tabla1[[#This Row],[MONTO]],Tabla1[[#This Row],[MONTO]]*3.56)</f>
        <v>34408.800000000003</v>
      </c>
      <c r="X967" t="s">
        <v>41</v>
      </c>
      <c r="Y967" t="s">
        <v>51</v>
      </c>
      <c r="Z967" t="s">
        <v>43</v>
      </c>
      <c r="AB967" t="s">
        <v>462</v>
      </c>
    </row>
    <row r="968" spans="1:33" hidden="1" x14ac:dyDescent="0.25">
      <c r="A968">
        <v>42323</v>
      </c>
      <c r="B968" t="s">
        <v>32</v>
      </c>
      <c r="C968">
        <v>3</v>
      </c>
      <c r="D968" t="s">
        <v>568</v>
      </c>
      <c r="E968" t="s">
        <v>45</v>
      </c>
      <c r="F968" t="s">
        <v>33</v>
      </c>
      <c r="G968" t="s">
        <v>34</v>
      </c>
      <c r="H968" t="s">
        <v>35</v>
      </c>
      <c r="I968" t="s">
        <v>569</v>
      </c>
      <c r="J968" t="s">
        <v>570</v>
      </c>
      <c r="K968" t="s">
        <v>36</v>
      </c>
      <c r="L968" t="s">
        <v>33</v>
      </c>
      <c r="M968">
        <v>10742857013</v>
      </c>
      <c r="N968" t="s">
        <v>460</v>
      </c>
      <c r="P968" t="s">
        <v>224</v>
      </c>
      <c r="Q968">
        <v>3613007104004</v>
      </c>
      <c r="R968" t="s">
        <v>571</v>
      </c>
      <c r="S968">
        <v>34408.800000000003</v>
      </c>
      <c r="T968" t="s">
        <v>40</v>
      </c>
      <c r="U968">
        <f>+IF(Tabla1[[#This Row],[MONEDA]]="PEN",Tabla1[[#This Row],[MONTO]],Tabla1[[#This Row],[MONTO]]*3.56)</f>
        <v>34408.800000000003</v>
      </c>
      <c r="X968" t="s">
        <v>41</v>
      </c>
      <c r="Y968" t="s">
        <v>51</v>
      </c>
      <c r="Z968" t="s">
        <v>43</v>
      </c>
      <c r="AB968" t="s">
        <v>572</v>
      </c>
      <c r="AD968" t="s">
        <v>573</v>
      </c>
    </row>
    <row r="969" spans="1:33" x14ac:dyDescent="0.25">
      <c r="A969">
        <v>43034</v>
      </c>
      <c r="B969" t="s">
        <v>32</v>
      </c>
      <c r="C969">
        <v>1</v>
      </c>
      <c r="D969" t="s">
        <v>922</v>
      </c>
      <c r="E969" t="s">
        <v>45</v>
      </c>
      <c r="F969" t="s">
        <v>90</v>
      </c>
      <c r="G969" t="s">
        <v>91</v>
      </c>
      <c r="H969" t="s">
        <v>35</v>
      </c>
      <c r="I969" t="s">
        <v>915</v>
      </c>
      <c r="J969" t="s">
        <v>923</v>
      </c>
      <c r="K969" t="s">
        <v>36</v>
      </c>
      <c r="L969" t="s">
        <v>33</v>
      </c>
      <c r="M969">
        <v>10742857013</v>
      </c>
      <c r="N969" t="s">
        <v>460</v>
      </c>
      <c r="P969" t="s">
        <v>224</v>
      </c>
      <c r="Q969">
        <v>3613007104004</v>
      </c>
      <c r="R969" t="s">
        <v>924</v>
      </c>
      <c r="S969">
        <v>31860</v>
      </c>
      <c r="T969" t="s">
        <v>40</v>
      </c>
      <c r="U969">
        <f>+IF(Tabla1[[#This Row],[MONEDA]]="PEN",Tabla1[[#This Row],[MONTO]],Tabla1[[#This Row],[MONTO]]*3.56)</f>
        <v>31860</v>
      </c>
      <c r="X969" t="s">
        <v>41</v>
      </c>
      <c r="Y969" t="s">
        <v>51</v>
      </c>
      <c r="Z969" t="s">
        <v>43</v>
      </c>
      <c r="AB969" t="s">
        <v>925</v>
      </c>
    </row>
    <row r="970" spans="1:33" hidden="1" x14ac:dyDescent="0.25">
      <c r="A970">
        <v>39100</v>
      </c>
      <c r="B970" t="s">
        <v>32</v>
      </c>
      <c r="C970">
        <v>1</v>
      </c>
      <c r="D970" t="s">
        <v>2613</v>
      </c>
      <c r="E970" t="s">
        <v>70</v>
      </c>
      <c r="F970" t="s">
        <v>33</v>
      </c>
      <c r="G970" t="s">
        <v>71</v>
      </c>
      <c r="H970" t="s">
        <v>35</v>
      </c>
      <c r="I970" t="s">
        <v>2614</v>
      </c>
      <c r="J970" t="s">
        <v>2615</v>
      </c>
      <c r="K970" t="s">
        <v>36</v>
      </c>
      <c r="L970" t="s">
        <v>33</v>
      </c>
      <c r="M970">
        <v>20600849019</v>
      </c>
      <c r="N970" t="s">
        <v>2616</v>
      </c>
      <c r="O970" t="s">
        <v>76</v>
      </c>
      <c r="P970" t="s">
        <v>38</v>
      </c>
      <c r="Q970" t="s">
        <v>2617</v>
      </c>
      <c r="R970" t="s">
        <v>2618</v>
      </c>
      <c r="S970">
        <v>1638</v>
      </c>
      <c r="T970" t="s">
        <v>40</v>
      </c>
      <c r="U970">
        <f>+IF(Tabla1[[#This Row],[MONEDA]]="PEN",Tabla1[[#This Row],[MONTO]],Tabla1[[#This Row],[MONTO]]*3.56)</f>
        <v>1638</v>
      </c>
      <c r="X970" t="s">
        <v>81</v>
      </c>
      <c r="Y970" t="s">
        <v>42</v>
      </c>
      <c r="Z970" t="s">
        <v>82</v>
      </c>
      <c r="AA970" t="s">
        <v>2619</v>
      </c>
      <c r="AB970" t="s">
        <v>2620</v>
      </c>
      <c r="AC970" t="s">
        <v>2621</v>
      </c>
      <c r="AD970" t="s">
        <v>2622</v>
      </c>
      <c r="AE970">
        <v>1638</v>
      </c>
      <c r="AF970" t="s">
        <v>87</v>
      </c>
      <c r="AG970" t="s">
        <v>169</v>
      </c>
    </row>
    <row r="971" spans="1:33" hidden="1" x14ac:dyDescent="0.25">
      <c r="A971">
        <v>35834</v>
      </c>
      <c r="B971" t="s">
        <v>32</v>
      </c>
      <c r="C971">
        <v>1</v>
      </c>
      <c r="D971" t="s">
        <v>4169</v>
      </c>
      <c r="E971" t="s">
        <v>70</v>
      </c>
      <c r="F971" t="s">
        <v>33</v>
      </c>
      <c r="G971" t="s">
        <v>71</v>
      </c>
      <c r="H971" t="s">
        <v>35</v>
      </c>
      <c r="I971" t="s">
        <v>4162</v>
      </c>
      <c r="J971" t="s">
        <v>4170</v>
      </c>
      <c r="K971" t="s">
        <v>36</v>
      </c>
      <c r="L971" t="s">
        <v>33</v>
      </c>
      <c r="M971">
        <v>20600849019</v>
      </c>
      <c r="N971" t="s">
        <v>2616</v>
      </c>
      <c r="O971" t="s">
        <v>76</v>
      </c>
      <c r="P971" t="s">
        <v>38</v>
      </c>
      <c r="Q971" t="s">
        <v>2617</v>
      </c>
      <c r="R971" t="s">
        <v>4171</v>
      </c>
      <c r="S971">
        <v>1413.82</v>
      </c>
      <c r="T971" t="s">
        <v>40</v>
      </c>
      <c r="U971">
        <f>+IF(Tabla1[[#This Row],[MONEDA]]="PEN",Tabla1[[#This Row],[MONTO]],Tabla1[[#This Row],[MONTO]]*3.56)</f>
        <v>1413.82</v>
      </c>
      <c r="X971" t="s">
        <v>81</v>
      </c>
      <c r="Y971" t="s">
        <v>42</v>
      </c>
      <c r="Z971" t="s">
        <v>43</v>
      </c>
      <c r="AA971" t="s">
        <v>4172</v>
      </c>
      <c r="AB971" t="s">
        <v>4173</v>
      </c>
      <c r="AC971" t="s">
        <v>4174</v>
      </c>
      <c r="AD971" t="s">
        <v>4175</v>
      </c>
      <c r="AE971">
        <v>1413.82</v>
      </c>
      <c r="AF971" t="s">
        <v>87</v>
      </c>
      <c r="AG971" t="s">
        <v>169</v>
      </c>
    </row>
    <row r="972" spans="1:33" hidden="1" x14ac:dyDescent="0.25">
      <c r="A972">
        <v>33892</v>
      </c>
      <c r="B972" t="s">
        <v>32</v>
      </c>
      <c r="C972">
        <v>1</v>
      </c>
      <c r="D972" t="s">
        <v>4772</v>
      </c>
      <c r="E972" t="s">
        <v>70</v>
      </c>
      <c r="F972" t="s">
        <v>33</v>
      </c>
      <c r="G972" t="s">
        <v>71</v>
      </c>
      <c r="H972" t="s">
        <v>72</v>
      </c>
      <c r="I972" t="s">
        <v>4773</v>
      </c>
      <c r="J972" t="s">
        <v>4774</v>
      </c>
      <c r="K972" t="s">
        <v>36</v>
      </c>
      <c r="L972" t="s">
        <v>33</v>
      </c>
      <c r="M972">
        <v>20600849019</v>
      </c>
      <c r="N972" t="s">
        <v>2616</v>
      </c>
      <c r="O972" t="s">
        <v>76</v>
      </c>
      <c r="P972" t="s">
        <v>38</v>
      </c>
      <c r="Q972" t="s">
        <v>2617</v>
      </c>
      <c r="R972" t="s">
        <v>4775</v>
      </c>
      <c r="S972">
        <v>32988.18</v>
      </c>
      <c r="T972" t="s">
        <v>40</v>
      </c>
      <c r="U972">
        <f>+IF(Tabla1[[#This Row],[MONEDA]]="PEN",Tabla1[[#This Row],[MONTO]],Tabla1[[#This Row],[MONTO]]*3.56)</f>
        <v>32988.18</v>
      </c>
      <c r="X972" t="s">
        <v>81</v>
      </c>
      <c r="Y972" t="s">
        <v>42</v>
      </c>
      <c r="Z972" t="s">
        <v>43</v>
      </c>
      <c r="AA972" t="s">
        <v>4776</v>
      </c>
      <c r="AB972" t="s">
        <v>4777</v>
      </c>
      <c r="AC972" t="s">
        <v>4778</v>
      </c>
      <c r="AD972" t="s">
        <v>4779</v>
      </c>
      <c r="AE972">
        <v>32988.18</v>
      </c>
      <c r="AF972" t="s">
        <v>87</v>
      </c>
      <c r="AG972" t="s">
        <v>169</v>
      </c>
    </row>
    <row r="973" spans="1:33" hidden="1" x14ac:dyDescent="0.25">
      <c r="A973">
        <v>32923</v>
      </c>
      <c r="B973" t="s">
        <v>32</v>
      </c>
      <c r="C973">
        <v>1</v>
      </c>
      <c r="D973" t="s">
        <v>5219</v>
      </c>
      <c r="E973" t="s">
        <v>70</v>
      </c>
      <c r="F973" t="s">
        <v>33</v>
      </c>
      <c r="G973" t="s">
        <v>71</v>
      </c>
      <c r="H973" t="s">
        <v>35</v>
      </c>
      <c r="I973" t="s">
        <v>5199</v>
      </c>
      <c r="J973" t="s">
        <v>5220</v>
      </c>
      <c r="K973" t="s">
        <v>36</v>
      </c>
      <c r="L973" t="s">
        <v>33</v>
      </c>
      <c r="M973">
        <v>20600849019</v>
      </c>
      <c r="N973" t="s">
        <v>2616</v>
      </c>
      <c r="O973" t="s">
        <v>76</v>
      </c>
      <c r="P973" t="s">
        <v>38</v>
      </c>
      <c r="Q973" t="s">
        <v>2617</v>
      </c>
      <c r="R973" t="s">
        <v>5221</v>
      </c>
      <c r="S973">
        <v>1706</v>
      </c>
      <c r="T973" t="s">
        <v>40</v>
      </c>
      <c r="U973">
        <f>+IF(Tabla1[[#This Row],[MONEDA]]="PEN",Tabla1[[#This Row],[MONTO]],Tabla1[[#This Row],[MONTO]]*3.56)</f>
        <v>1706</v>
      </c>
      <c r="X973" t="s">
        <v>81</v>
      </c>
      <c r="Y973" t="s">
        <v>42</v>
      </c>
      <c r="Z973" t="s">
        <v>43</v>
      </c>
      <c r="AA973" t="s">
        <v>5222</v>
      </c>
      <c r="AB973" t="s">
        <v>5223</v>
      </c>
      <c r="AC973" t="s">
        <v>5224</v>
      </c>
      <c r="AD973" t="s">
        <v>5225</v>
      </c>
      <c r="AE973">
        <v>1706</v>
      </c>
      <c r="AF973" t="s">
        <v>87</v>
      </c>
      <c r="AG973" t="s">
        <v>169</v>
      </c>
    </row>
    <row r="974" spans="1:33" hidden="1" x14ac:dyDescent="0.25">
      <c r="A974">
        <v>31817</v>
      </c>
      <c r="B974" t="s">
        <v>32</v>
      </c>
      <c r="C974">
        <v>1</v>
      </c>
      <c r="D974" t="s">
        <v>5639</v>
      </c>
      <c r="E974" t="s">
        <v>70</v>
      </c>
      <c r="F974" t="s">
        <v>33</v>
      </c>
      <c r="G974" t="s">
        <v>71</v>
      </c>
      <c r="H974" t="s">
        <v>35</v>
      </c>
      <c r="I974" t="s">
        <v>5632</v>
      </c>
      <c r="J974" t="s">
        <v>5640</v>
      </c>
      <c r="K974" t="s">
        <v>36</v>
      </c>
      <c r="L974" t="s">
        <v>33</v>
      </c>
      <c r="M974">
        <v>20600849019</v>
      </c>
      <c r="N974" t="s">
        <v>2616</v>
      </c>
      <c r="O974" t="s">
        <v>76</v>
      </c>
      <c r="P974" t="s">
        <v>38</v>
      </c>
      <c r="Q974" t="s">
        <v>2617</v>
      </c>
      <c r="R974" t="s">
        <v>5641</v>
      </c>
      <c r="S974">
        <v>1203</v>
      </c>
      <c r="T974" t="s">
        <v>40</v>
      </c>
      <c r="U974">
        <f>+IF(Tabla1[[#This Row],[MONEDA]]="PEN",Tabla1[[#This Row],[MONTO]],Tabla1[[#This Row],[MONTO]]*3.56)</f>
        <v>1203</v>
      </c>
      <c r="X974" t="s">
        <v>81</v>
      </c>
      <c r="Y974" t="s">
        <v>42</v>
      </c>
      <c r="Z974" t="s">
        <v>43</v>
      </c>
      <c r="AA974" t="s">
        <v>5642</v>
      </c>
      <c r="AB974" t="s">
        <v>5643</v>
      </c>
      <c r="AC974" t="s">
        <v>5644</v>
      </c>
      <c r="AD974" t="s">
        <v>5645</v>
      </c>
      <c r="AE974">
        <v>1203</v>
      </c>
      <c r="AF974" t="s">
        <v>87</v>
      </c>
      <c r="AG974" t="s">
        <v>169</v>
      </c>
    </row>
    <row r="975" spans="1:33" hidden="1" x14ac:dyDescent="0.25">
      <c r="A975">
        <v>28547</v>
      </c>
      <c r="B975" t="s">
        <v>32</v>
      </c>
      <c r="C975">
        <v>1</v>
      </c>
      <c r="D975" t="s">
        <v>6926</v>
      </c>
      <c r="E975" t="s">
        <v>70</v>
      </c>
      <c r="F975" t="s">
        <v>33</v>
      </c>
      <c r="G975" t="s">
        <v>71</v>
      </c>
      <c r="H975" t="s">
        <v>72</v>
      </c>
      <c r="I975" t="s">
        <v>6927</v>
      </c>
      <c r="J975" t="s">
        <v>6928</v>
      </c>
      <c r="K975" t="s">
        <v>36</v>
      </c>
      <c r="L975" t="s">
        <v>33</v>
      </c>
      <c r="M975">
        <v>20600849019</v>
      </c>
      <c r="N975" t="s">
        <v>2616</v>
      </c>
      <c r="O975" t="s">
        <v>76</v>
      </c>
      <c r="P975" t="s">
        <v>38</v>
      </c>
      <c r="Q975">
        <v>20453830323</v>
      </c>
      <c r="R975" t="s">
        <v>6929</v>
      </c>
      <c r="S975">
        <v>5969</v>
      </c>
      <c r="T975" t="s">
        <v>40</v>
      </c>
      <c r="U975">
        <f>+IF(Tabla1[[#This Row],[MONEDA]]="PEN",Tabla1[[#This Row],[MONTO]],Tabla1[[#This Row],[MONTO]]*3.56)</f>
        <v>5969</v>
      </c>
      <c r="X975" t="s">
        <v>81</v>
      </c>
      <c r="Y975" t="s">
        <v>42</v>
      </c>
      <c r="Z975" t="s">
        <v>43</v>
      </c>
      <c r="AA975" t="s">
        <v>6930</v>
      </c>
      <c r="AB975" t="s">
        <v>6931</v>
      </c>
      <c r="AC975" t="s">
        <v>6932</v>
      </c>
      <c r="AD975" t="s">
        <v>6933</v>
      </c>
      <c r="AE975">
        <v>5969</v>
      </c>
      <c r="AF975" t="s">
        <v>87</v>
      </c>
      <c r="AG975" t="s">
        <v>169</v>
      </c>
    </row>
    <row r="976" spans="1:33" hidden="1" x14ac:dyDescent="0.25">
      <c r="A976">
        <v>29026</v>
      </c>
      <c r="B976" t="s">
        <v>32</v>
      </c>
      <c r="C976">
        <v>1</v>
      </c>
      <c r="D976" t="s">
        <v>7055</v>
      </c>
      <c r="E976" t="s">
        <v>70</v>
      </c>
      <c r="F976" t="s">
        <v>33</v>
      </c>
      <c r="G976" t="s">
        <v>71</v>
      </c>
      <c r="H976" t="s">
        <v>72</v>
      </c>
      <c r="I976" t="s">
        <v>7048</v>
      </c>
      <c r="J976" t="s">
        <v>7056</v>
      </c>
      <c r="K976" t="s">
        <v>36</v>
      </c>
      <c r="L976" t="s">
        <v>33</v>
      </c>
      <c r="M976">
        <v>20600849019</v>
      </c>
      <c r="N976" t="s">
        <v>2616</v>
      </c>
      <c r="O976" t="s">
        <v>76</v>
      </c>
      <c r="P976" t="s">
        <v>38</v>
      </c>
      <c r="Q976">
        <v>20453830323</v>
      </c>
      <c r="R976" t="s">
        <v>7057</v>
      </c>
      <c r="S976">
        <v>2546</v>
      </c>
      <c r="T976" t="s">
        <v>40</v>
      </c>
      <c r="U976">
        <f>+IF(Tabla1[[#This Row],[MONEDA]]="PEN",Tabla1[[#This Row],[MONTO]],Tabla1[[#This Row],[MONTO]]*3.56)</f>
        <v>2546</v>
      </c>
      <c r="X976" t="s">
        <v>81</v>
      </c>
      <c r="Y976" t="s">
        <v>42</v>
      </c>
      <c r="Z976" t="s">
        <v>43</v>
      </c>
      <c r="AA976" t="s">
        <v>7058</v>
      </c>
      <c r="AB976" t="s">
        <v>7059</v>
      </c>
      <c r="AC976" t="s">
        <v>7060</v>
      </c>
      <c r="AD976" t="s">
        <v>7061</v>
      </c>
      <c r="AE976">
        <v>2546</v>
      </c>
      <c r="AF976" t="s">
        <v>87</v>
      </c>
      <c r="AG976" t="s">
        <v>169</v>
      </c>
    </row>
    <row r="977" spans="1:33" hidden="1" x14ac:dyDescent="0.25">
      <c r="A977">
        <v>26372</v>
      </c>
      <c r="B977" t="s">
        <v>32</v>
      </c>
      <c r="C977">
        <v>1</v>
      </c>
      <c r="D977" t="s">
        <v>9363</v>
      </c>
      <c r="E977" t="s">
        <v>70</v>
      </c>
      <c r="F977" t="s">
        <v>33</v>
      </c>
      <c r="G977" t="s">
        <v>71</v>
      </c>
      <c r="H977" t="s">
        <v>72</v>
      </c>
      <c r="I977" t="s">
        <v>9337</v>
      </c>
      <c r="J977" t="s">
        <v>9364</v>
      </c>
      <c r="K977" t="s">
        <v>36</v>
      </c>
      <c r="L977" t="s">
        <v>33</v>
      </c>
      <c r="M977">
        <v>20600849019</v>
      </c>
      <c r="N977" t="s">
        <v>2616</v>
      </c>
      <c r="O977" t="s">
        <v>76</v>
      </c>
      <c r="P977" t="s">
        <v>38</v>
      </c>
      <c r="Q977" t="s">
        <v>9365</v>
      </c>
      <c r="R977" t="s">
        <v>9366</v>
      </c>
      <c r="S977">
        <v>2442</v>
      </c>
      <c r="T977" t="s">
        <v>40</v>
      </c>
      <c r="U977">
        <f>+IF(Tabla1[[#This Row],[MONEDA]]="PEN",Tabla1[[#This Row],[MONTO]],Tabla1[[#This Row],[MONTO]]*3.56)</f>
        <v>2442</v>
      </c>
      <c r="X977" t="s">
        <v>81</v>
      </c>
      <c r="Y977" t="s">
        <v>42</v>
      </c>
      <c r="Z977" t="s">
        <v>43</v>
      </c>
      <c r="AA977" t="s">
        <v>9367</v>
      </c>
      <c r="AB977" t="s">
        <v>9368</v>
      </c>
      <c r="AC977" t="s">
        <v>9369</v>
      </c>
      <c r="AD977" t="s">
        <v>9370</v>
      </c>
      <c r="AE977">
        <v>2442</v>
      </c>
      <c r="AF977" t="s">
        <v>87</v>
      </c>
      <c r="AG977" t="s">
        <v>169</v>
      </c>
    </row>
    <row r="978" spans="1:33" hidden="1" x14ac:dyDescent="0.25">
      <c r="A978">
        <v>24381</v>
      </c>
      <c r="B978" t="s">
        <v>32</v>
      </c>
      <c r="C978">
        <v>2</v>
      </c>
      <c r="D978" t="s">
        <v>10389</v>
      </c>
      <c r="E978" t="s">
        <v>70</v>
      </c>
      <c r="F978" t="s">
        <v>1275</v>
      </c>
      <c r="G978" t="s">
        <v>10333</v>
      </c>
      <c r="H978" t="s">
        <v>3703</v>
      </c>
      <c r="I978" t="s">
        <v>10390</v>
      </c>
      <c r="J978" t="s">
        <v>10390</v>
      </c>
      <c r="K978" t="s">
        <v>36</v>
      </c>
      <c r="L978" t="s">
        <v>33</v>
      </c>
      <c r="M978">
        <v>20604853681</v>
      </c>
      <c r="N978" t="s">
        <v>10391</v>
      </c>
      <c r="O978" t="s">
        <v>10333</v>
      </c>
      <c r="P978" t="s">
        <v>38</v>
      </c>
      <c r="Q978">
        <v>4302612039065</v>
      </c>
      <c r="R978" t="s">
        <v>10392</v>
      </c>
      <c r="S978">
        <v>260</v>
      </c>
      <c r="T978" t="s">
        <v>40</v>
      </c>
      <c r="U978">
        <f>+IF(Tabla1[[#This Row],[MONEDA]]="PEN",Tabla1[[#This Row],[MONTO]],Tabla1[[#This Row],[MONTO]]*3.56)</f>
        <v>260</v>
      </c>
      <c r="V978" t="s">
        <v>190</v>
      </c>
      <c r="W978">
        <v>22824</v>
      </c>
      <c r="X978" t="s">
        <v>81</v>
      </c>
      <c r="Y978" t="s">
        <v>42</v>
      </c>
      <c r="Z978" t="s">
        <v>82</v>
      </c>
      <c r="AA978" t="s">
        <v>10393</v>
      </c>
      <c r="AC978" t="s">
        <v>10394</v>
      </c>
      <c r="AD978" t="s">
        <v>10395</v>
      </c>
    </row>
    <row r="979" spans="1:33" x14ac:dyDescent="0.25">
      <c r="A979">
        <v>27461</v>
      </c>
      <c r="B979" t="s">
        <v>32</v>
      </c>
      <c r="C979">
        <v>1</v>
      </c>
      <c r="D979" t="s">
        <v>8286</v>
      </c>
      <c r="E979" t="s">
        <v>70</v>
      </c>
      <c r="F979" t="s">
        <v>5328</v>
      </c>
      <c r="G979" t="s">
        <v>5329</v>
      </c>
      <c r="H979" t="s">
        <v>72</v>
      </c>
      <c r="I979" t="s">
        <v>8258</v>
      </c>
      <c r="J979" t="s">
        <v>8287</v>
      </c>
      <c r="K979" t="s">
        <v>36</v>
      </c>
      <c r="L979" t="s">
        <v>33</v>
      </c>
      <c r="M979">
        <v>20601026211</v>
      </c>
      <c r="N979" t="s">
        <v>8288</v>
      </c>
      <c r="O979" t="s">
        <v>6159</v>
      </c>
      <c r="P979" t="s">
        <v>38</v>
      </c>
      <c r="Q979" t="s">
        <v>8289</v>
      </c>
      <c r="R979" t="s">
        <v>8290</v>
      </c>
      <c r="S979">
        <v>740</v>
      </c>
      <c r="T979" t="s">
        <v>40</v>
      </c>
      <c r="U979">
        <f>+IF(Tabla1[[#This Row],[MONEDA]]="PEN",Tabla1[[#This Row],[MONTO]],Tabla1[[#This Row],[MONTO]]*3.56)</f>
        <v>740</v>
      </c>
      <c r="X979" t="s">
        <v>81</v>
      </c>
      <c r="Y979" t="s">
        <v>42</v>
      </c>
      <c r="Z979" t="s">
        <v>43</v>
      </c>
      <c r="AA979" t="s">
        <v>8291</v>
      </c>
      <c r="AB979" t="s">
        <v>8292</v>
      </c>
      <c r="AC979" t="s">
        <v>8293</v>
      </c>
      <c r="AD979" t="s">
        <v>8294</v>
      </c>
      <c r="AE979">
        <v>651.20000000000005</v>
      </c>
      <c r="AF979" t="s">
        <v>87</v>
      </c>
      <c r="AG979" t="s">
        <v>169</v>
      </c>
    </row>
    <row r="980" spans="1:33" hidden="1" x14ac:dyDescent="0.25">
      <c r="A980">
        <v>24134</v>
      </c>
      <c r="B980" t="s">
        <v>32</v>
      </c>
      <c r="C980">
        <v>1</v>
      </c>
      <c r="D980" t="s">
        <v>10630</v>
      </c>
      <c r="E980" t="s">
        <v>70</v>
      </c>
      <c r="F980" t="s">
        <v>33</v>
      </c>
      <c r="G980" t="s">
        <v>9422</v>
      </c>
      <c r="H980" t="s">
        <v>72</v>
      </c>
      <c r="I980" t="s">
        <v>10623</v>
      </c>
      <c r="J980" t="s">
        <v>10631</v>
      </c>
      <c r="K980" t="s">
        <v>36</v>
      </c>
      <c r="L980" t="s">
        <v>33</v>
      </c>
      <c r="M980">
        <v>20601026211</v>
      </c>
      <c r="N980" t="s">
        <v>8288</v>
      </c>
      <c r="O980" t="s">
        <v>9423</v>
      </c>
      <c r="P980" t="s">
        <v>38</v>
      </c>
      <c r="Q980" t="s">
        <v>8289</v>
      </c>
      <c r="R980" t="s">
        <v>10632</v>
      </c>
      <c r="S980">
        <v>440</v>
      </c>
      <c r="T980" t="s">
        <v>40</v>
      </c>
      <c r="U980">
        <f>+IF(Tabla1[[#This Row],[MONEDA]]="PEN",Tabla1[[#This Row],[MONTO]],Tabla1[[#This Row],[MONTO]]*3.56)</f>
        <v>440</v>
      </c>
      <c r="X980" t="s">
        <v>41</v>
      </c>
      <c r="Y980" t="s">
        <v>42</v>
      </c>
      <c r="Z980" t="s">
        <v>43</v>
      </c>
      <c r="AA980" t="s">
        <v>10633</v>
      </c>
      <c r="AB980" t="s">
        <v>10634</v>
      </c>
      <c r="AC980" t="s">
        <v>10635</v>
      </c>
      <c r="AD980" t="s">
        <v>10636</v>
      </c>
      <c r="AE980">
        <v>440</v>
      </c>
      <c r="AF980" t="s">
        <v>87</v>
      </c>
      <c r="AG980" t="s">
        <v>169</v>
      </c>
    </row>
    <row r="981" spans="1:33" hidden="1" x14ac:dyDescent="0.25">
      <c r="A981">
        <v>43247</v>
      </c>
      <c r="B981" t="s">
        <v>32</v>
      </c>
      <c r="C981">
        <v>1</v>
      </c>
      <c r="D981" t="s">
        <v>607</v>
      </c>
      <c r="E981" t="s">
        <v>70</v>
      </c>
      <c r="F981" t="s">
        <v>33</v>
      </c>
      <c r="G981" t="s">
        <v>71</v>
      </c>
      <c r="H981" t="s">
        <v>35</v>
      </c>
      <c r="I981" t="s">
        <v>608</v>
      </c>
      <c r="J981" t="s">
        <v>609</v>
      </c>
      <c r="K981" t="s">
        <v>36</v>
      </c>
      <c r="L981" t="s">
        <v>33</v>
      </c>
      <c r="M981">
        <v>10724713659</v>
      </c>
      <c r="N981" t="s">
        <v>610</v>
      </c>
      <c r="O981" t="s">
        <v>76</v>
      </c>
      <c r="P981" t="s">
        <v>38</v>
      </c>
      <c r="Q981" t="s">
        <v>611</v>
      </c>
      <c r="R981" t="s">
        <v>612</v>
      </c>
      <c r="S981">
        <v>660</v>
      </c>
      <c r="T981" t="s">
        <v>40</v>
      </c>
      <c r="U981">
        <f>+IF(Tabla1[[#This Row],[MONEDA]]="PEN",Tabla1[[#This Row],[MONTO]],Tabla1[[#This Row],[MONTO]]*3.56)</f>
        <v>660</v>
      </c>
      <c r="X981" t="s">
        <v>41</v>
      </c>
      <c r="Y981" t="s">
        <v>42</v>
      </c>
      <c r="Z981" t="s">
        <v>82</v>
      </c>
      <c r="AA981" t="s">
        <v>613</v>
      </c>
      <c r="AB981" t="s">
        <v>614</v>
      </c>
      <c r="AC981" t="s">
        <v>615</v>
      </c>
      <c r="AD981" t="s">
        <v>616</v>
      </c>
      <c r="AE981">
        <v>660</v>
      </c>
      <c r="AF981" t="s">
        <v>87</v>
      </c>
      <c r="AG981" t="s">
        <v>169</v>
      </c>
    </row>
    <row r="982" spans="1:33" x14ac:dyDescent="0.25">
      <c r="A982">
        <v>38887</v>
      </c>
      <c r="B982" t="s">
        <v>32</v>
      </c>
      <c r="C982">
        <v>1</v>
      </c>
      <c r="D982" t="s">
        <v>2732</v>
      </c>
      <c r="E982" t="s">
        <v>70</v>
      </c>
      <c r="F982" t="s">
        <v>90</v>
      </c>
      <c r="G982" t="s">
        <v>91</v>
      </c>
      <c r="H982" t="s">
        <v>35</v>
      </c>
      <c r="I982" t="s">
        <v>2733</v>
      </c>
      <c r="J982" t="s">
        <v>2734</v>
      </c>
      <c r="K982" t="s">
        <v>36</v>
      </c>
      <c r="L982" t="s">
        <v>33</v>
      </c>
      <c r="M982">
        <v>20604315183</v>
      </c>
      <c r="N982" t="s">
        <v>120</v>
      </c>
      <c r="P982" t="s">
        <v>62</v>
      </c>
      <c r="Q982" t="s">
        <v>121</v>
      </c>
      <c r="R982" t="s">
        <v>2735</v>
      </c>
      <c r="S982">
        <v>14160</v>
      </c>
      <c r="T982" t="s">
        <v>40</v>
      </c>
      <c r="U982">
        <f>+IF(Tabla1[[#This Row],[MONEDA]]="PEN",Tabla1[[#This Row],[MONTO]],Tabla1[[#This Row],[MONTO]]*3.56)</f>
        <v>14160</v>
      </c>
      <c r="X982" t="s">
        <v>41</v>
      </c>
      <c r="Y982" t="s">
        <v>42</v>
      </c>
      <c r="Z982" t="s">
        <v>82</v>
      </c>
      <c r="AA982" t="s">
        <v>2736</v>
      </c>
      <c r="AB982" t="s">
        <v>2737</v>
      </c>
      <c r="AC982" t="s">
        <v>2738</v>
      </c>
      <c r="AD982" t="s">
        <v>2739</v>
      </c>
      <c r="AE982">
        <v>12744</v>
      </c>
      <c r="AF982" t="s">
        <v>87</v>
      </c>
      <c r="AG982" t="s">
        <v>515</v>
      </c>
    </row>
    <row r="983" spans="1:33" x14ac:dyDescent="0.25">
      <c r="A983">
        <v>37175</v>
      </c>
      <c r="B983" t="s">
        <v>32</v>
      </c>
      <c r="C983">
        <v>6</v>
      </c>
      <c r="D983" t="s">
        <v>3402</v>
      </c>
      <c r="E983" t="s">
        <v>70</v>
      </c>
      <c r="F983" t="s">
        <v>90</v>
      </c>
      <c r="G983" t="s">
        <v>91</v>
      </c>
      <c r="H983" t="s">
        <v>35</v>
      </c>
      <c r="I983" t="s">
        <v>3403</v>
      </c>
      <c r="J983" t="s">
        <v>3404</v>
      </c>
      <c r="K983" t="s">
        <v>36</v>
      </c>
      <c r="L983" t="s">
        <v>33</v>
      </c>
      <c r="M983">
        <v>20604315183</v>
      </c>
      <c r="N983" t="s">
        <v>120</v>
      </c>
      <c r="P983" t="s">
        <v>62</v>
      </c>
      <c r="Q983" t="s">
        <v>121</v>
      </c>
      <c r="R983" t="s">
        <v>3405</v>
      </c>
      <c r="S983">
        <v>14160</v>
      </c>
      <c r="T983" t="s">
        <v>40</v>
      </c>
      <c r="U983">
        <f>+IF(Tabla1[[#This Row],[MONEDA]]="PEN",Tabla1[[#This Row],[MONTO]],Tabla1[[#This Row],[MONTO]]*3.56)</f>
        <v>14160</v>
      </c>
      <c r="X983" t="s">
        <v>41</v>
      </c>
      <c r="Y983" t="s">
        <v>42</v>
      </c>
      <c r="Z983" t="s">
        <v>82</v>
      </c>
      <c r="AA983" t="s">
        <v>3406</v>
      </c>
      <c r="AB983" t="s">
        <v>3407</v>
      </c>
      <c r="AC983" t="s">
        <v>3408</v>
      </c>
      <c r="AD983" t="s">
        <v>3409</v>
      </c>
      <c r="AE983">
        <v>12744</v>
      </c>
      <c r="AF983" t="s">
        <v>87</v>
      </c>
      <c r="AG983" t="s">
        <v>515</v>
      </c>
    </row>
    <row r="984" spans="1:33" x14ac:dyDescent="0.25">
      <c r="A984">
        <v>33831</v>
      </c>
      <c r="B984" t="s">
        <v>32</v>
      </c>
      <c r="C984">
        <v>5</v>
      </c>
      <c r="D984" t="s">
        <v>4292</v>
      </c>
      <c r="E984" t="s">
        <v>70</v>
      </c>
      <c r="F984" t="s">
        <v>90</v>
      </c>
      <c r="G984" t="s">
        <v>91</v>
      </c>
      <c r="H984" t="s">
        <v>72</v>
      </c>
      <c r="I984" t="s">
        <v>4278</v>
      </c>
      <c r="J984" t="s">
        <v>4293</v>
      </c>
      <c r="K984" t="s">
        <v>36</v>
      </c>
      <c r="L984" t="s">
        <v>33</v>
      </c>
      <c r="M984">
        <v>20604315183</v>
      </c>
      <c r="N984" t="s">
        <v>120</v>
      </c>
      <c r="P984" t="s">
        <v>62</v>
      </c>
      <c r="Q984" t="s">
        <v>121</v>
      </c>
      <c r="R984" t="s">
        <v>4294</v>
      </c>
      <c r="S984">
        <v>14160</v>
      </c>
      <c r="T984" t="s">
        <v>40</v>
      </c>
      <c r="U984">
        <f>+IF(Tabla1[[#This Row],[MONEDA]]="PEN",Tabla1[[#This Row],[MONTO]],Tabla1[[#This Row],[MONTO]]*3.56)</f>
        <v>14160</v>
      </c>
      <c r="X984" t="s">
        <v>41</v>
      </c>
      <c r="Y984" t="s">
        <v>42</v>
      </c>
      <c r="Z984" t="s">
        <v>82</v>
      </c>
      <c r="AA984" t="s">
        <v>3931</v>
      </c>
      <c r="AB984" t="s">
        <v>4295</v>
      </c>
      <c r="AC984" t="s">
        <v>4296</v>
      </c>
      <c r="AD984" t="s">
        <v>4297</v>
      </c>
      <c r="AE984">
        <v>12744</v>
      </c>
      <c r="AF984" t="s">
        <v>87</v>
      </c>
      <c r="AG984" t="s">
        <v>515</v>
      </c>
    </row>
    <row r="985" spans="1:33" x14ac:dyDescent="0.25">
      <c r="A985">
        <v>27945</v>
      </c>
      <c r="B985" t="s">
        <v>32</v>
      </c>
      <c r="C985">
        <v>5</v>
      </c>
      <c r="D985" t="s">
        <v>6971</v>
      </c>
      <c r="E985" t="s">
        <v>70</v>
      </c>
      <c r="F985" t="s">
        <v>90</v>
      </c>
      <c r="G985" t="s">
        <v>91</v>
      </c>
      <c r="H985" t="s">
        <v>72</v>
      </c>
      <c r="I985" t="s">
        <v>6972</v>
      </c>
      <c r="J985" t="s">
        <v>6973</v>
      </c>
      <c r="K985" t="s">
        <v>36</v>
      </c>
      <c r="L985" t="s">
        <v>33</v>
      </c>
      <c r="M985">
        <v>20604315183</v>
      </c>
      <c r="N985" t="s">
        <v>120</v>
      </c>
      <c r="P985" t="s">
        <v>62</v>
      </c>
      <c r="Q985" t="s">
        <v>121</v>
      </c>
      <c r="R985" t="s">
        <v>6974</v>
      </c>
      <c r="S985">
        <v>16368.96</v>
      </c>
      <c r="T985" t="s">
        <v>40</v>
      </c>
      <c r="U985">
        <f>+IF(Tabla1[[#This Row],[MONEDA]]="PEN",Tabla1[[#This Row],[MONTO]],Tabla1[[#This Row],[MONTO]]*3.56)</f>
        <v>16368.96</v>
      </c>
      <c r="X985" t="s">
        <v>41</v>
      </c>
      <c r="Y985" t="s">
        <v>42</v>
      </c>
      <c r="Z985" t="s">
        <v>43</v>
      </c>
      <c r="AA985" t="s">
        <v>6975</v>
      </c>
      <c r="AC985" t="s">
        <v>6976</v>
      </c>
      <c r="AD985" t="s">
        <v>6977</v>
      </c>
      <c r="AE985">
        <v>14732.06</v>
      </c>
      <c r="AF985" t="s">
        <v>87</v>
      </c>
      <c r="AG985" t="s">
        <v>515</v>
      </c>
    </row>
    <row r="986" spans="1:33" x14ac:dyDescent="0.25">
      <c r="A986">
        <v>28981</v>
      </c>
      <c r="B986" t="s">
        <v>32</v>
      </c>
      <c r="C986">
        <v>1</v>
      </c>
      <c r="D986" t="s">
        <v>7004</v>
      </c>
      <c r="E986" t="s">
        <v>70</v>
      </c>
      <c r="F986" t="s">
        <v>90</v>
      </c>
      <c r="G986" t="s">
        <v>91</v>
      </c>
      <c r="H986" t="s">
        <v>72</v>
      </c>
      <c r="I986" t="s">
        <v>6972</v>
      </c>
      <c r="J986" t="s">
        <v>7005</v>
      </c>
      <c r="K986" t="s">
        <v>36</v>
      </c>
      <c r="L986" t="s">
        <v>33</v>
      </c>
      <c r="M986">
        <v>20604315183</v>
      </c>
      <c r="N986" t="s">
        <v>120</v>
      </c>
      <c r="P986" t="s">
        <v>62</v>
      </c>
      <c r="Q986" t="s">
        <v>121</v>
      </c>
      <c r="R986" t="s">
        <v>7006</v>
      </c>
      <c r="S986">
        <v>14160</v>
      </c>
      <c r="T986" t="s">
        <v>40</v>
      </c>
      <c r="U986">
        <f>+IF(Tabla1[[#This Row],[MONEDA]]="PEN",Tabla1[[#This Row],[MONTO]],Tabla1[[#This Row],[MONTO]]*3.56)</f>
        <v>14160</v>
      </c>
      <c r="X986" t="s">
        <v>41</v>
      </c>
      <c r="Y986" t="s">
        <v>42</v>
      </c>
      <c r="Z986" t="s">
        <v>43</v>
      </c>
      <c r="AA986" t="s">
        <v>7007</v>
      </c>
      <c r="AB986" t="s">
        <v>7008</v>
      </c>
      <c r="AC986" t="s">
        <v>7009</v>
      </c>
      <c r="AD986" t="s">
        <v>7010</v>
      </c>
      <c r="AE986">
        <v>12744</v>
      </c>
      <c r="AF986" t="s">
        <v>87</v>
      </c>
      <c r="AG986" t="s">
        <v>515</v>
      </c>
    </row>
    <row r="987" spans="1:33" x14ac:dyDescent="0.25">
      <c r="A987">
        <v>27943</v>
      </c>
      <c r="B987" t="s">
        <v>32</v>
      </c>
      <c r="C987">
        <v>5</v>
      </c>
      <c r="D987" t="s">
        <v>7530</v>
      </c>
      <c r="E987" t="s">
        <v>70</v>
      </c>
      <c r="F987" t="s">
        <v>90</v>
      </c>
      <c r="G987" t="s">
        <v>91</v>
      </c>
      <c r="H987" t="s">
        <v>72</v>
      </c>
      <c r="I987" t="s">
        <v>7531</v>
      </c>
      <c r="J987" t="s">
        <v>7532</v>
      </c>
      <c r="K987" t="s">
        <v>36</v>
      </c>
      <c r="L987" t="s">
        <v>33</v>
      </c>
      <c r="M987">
        <v>20604315183</v>
      </c>
      <c r="N987" t="s">
        <v>120</v>
      </c>
      <c r="P987" t="s">
        <v>62</v>
      </c>
      <c r="Q987" t="s">
        <v>121</v>
      </c>
      <c r="R987" t="s">
        <v>7533</v>
      </c>
      <c r="S987">
        <v>6740.16</v>
      </c>
      <c r="T987" t="s">
        <v>40</v>
      </c>
      <c r="U987">
        <f>+IF(Tabla1[[#This Row],[MONEDA]]="PEN",Tabla1[[#This Row],[MONTO]],Tabla1[[#This Row],[MONTO]]*3.56)</f>
        <v>6740.16</v>
      </c>
      <c r="X987" t="s">
        <v>41</v>
      </c>
      <c r="Y987" t="s">
        <v>42</v>
      </c>
      <c r="Z987" t="s">
        <v>43</v>
      </c>
      <c r="AA987" t="s">
        <v>6975</v>
      </c>
      <c r="AB987" t="s">
        <v>7534</v>
      </c>
      <c r="AC987" t="s">
        <v>7535</v>
      </c>
      <c r="AD987" t="s">
        <v>7536</v>
      </c>
      <c r="AE987">
        <v>6066.14</v>
      </c>
      <c r="AF987" t="s">
        <v>87</v>
      </c>
      <c r="AG987" t="s">
        <v>515</v>
      </c>
    </row>
    <row r="988" spans="1:33" x14ac:dyDescent="0.25">
      <c r="A988">
        <v>25195</v>
      </c>
      <c r="B988" t="s">
        <v>32</v>
      </c>
      <c r="C988">
        <v>5</v>
      </c>
      <c r="D988" t="s">
        <v>9257</v>
      </c>
      <c r="E988" t="s">
        <v>70</v>
      </c>
      <c r="F988" t="s">
        <v>90</v>
      </c>
      <c r="G988" t="s">
        <v>91</v>
      </c>
      <c r="H988" t="s">
        <v>72</v>
      </c>
      <c r="I988" t="s">
        <v>9250</v>
      </c>
      <c r="J988" t="s">
        <v>9258</v>
      </c>
      <c r="K988" t="s">
        <v>36</v>
      </c>
      <c r="L988" t="s">
        <v>33</v>
      </c>
      <c r="M988">
        <v>20604315183</v>
      </c>
      <c r="N988" t="s">
        <v>120</v>
      </c>
      <c r="P988" t="s">
        <v>62</v>
      </c>
      <c r="Q988" t="s">
        <v>121</v>
      </c>
      <c r="R988" t="s">
        <v>9259</v>
      </c>
      <c r="S988">
        <v>11172.24</v>
      </c>
      <c r="T988" t="s">
        <v>40</v>
      </c>
      <c r="U988">
        <f>+IF(Tabla1[[#This Row],[MONEDA]]="PEN",Tabla1[[#This Row],[MONTO]],Tabla1[[#This Row],[MONTO]]*3.56)</f>
        <v>11172.24</v>
      </c>
      <c r="X988" t="s">
        <v>41</v>
      </c>
      <c r="Y988" t="s">
        <v>42</v>
      </c>
      <c r="Z988" t="s">
        <v>43</v>
      </c>
      <c r="AA988" t="s">
        <v>9260</v>
      </c>
      <c r="AB988" t="s">
        <v>9261</v>
      </c>
      <c r="AC988" t="s">
        <v>9262</v>
      </c>
      <c r="AD988" t="s">
        <v>9263</v>
      </c>
      <c r="AE988">
        <v>10055.24</v>
      </c>
      <c r="AF988" t="s">
        <v>87</v>
      </c>
      <c r="AG988" t="s">
        <v>515</v>
      </c>
    </row>
    <row r="989" spans="1:33" x14ac:dyDescent="0.25">
      <c r="A989">
        <v>25192</v>
      </c>
      <c r="B989" t="s">
        <v>32</v>
      </c>
      <c r="C989">
        <v>5</v>
      </c>
      <c r="D989" t="s">
        <v>9949</v>
      </c>
      <c r="E989" t="s">
        <v>70</v>
      </c>
      <c r="F989" t="s">
        <v>90</v>
      </c>
      <c r="G989" t="s">
        <v>91</v>
      </c>
      <c r="H989" t="s">
        <v>72</v>
      </c>
      <c r="I989" t="s">
        <v>9950</v>
      </c>
      <c r="J989" t="s">
        <v>9951</v>
      </c>
      <c r="K989" t="s">
        <v>36</v>
      </c>
      <c r="L989" t="s">
        <v>33</v>
      </c>
      <c r="M989">
        <v>20604315183</v>
      </c>
      <c r="N989" t="s">
        <v>120</v>
      </c>
      <c r="P989" t="s">
        <v>62</v>
      </c>
      <c r="Q989" t="s">
        <v>121</v>
      </c>
      <c r="R989" t="s">
        <v>9952</v>
      </c>
      <c r="S989">
        <v>17076.96</v>
      </c>
      <c r="T989" t="s">
        <v>40</v>
      </c>
      <c r="U989">
        <f>+IF(Tabla1[[#This Row],[MONEDA]]="PEN",Tabla1[[#This Row],[MONTO]],Tabla1[[#This Row],[MONTO]]*3.56)</f>
        <v>17076.96</v>
      </c>
      <c r="X989" t="s">
        <v>41</v>
      </c>
      <c r="Y989" t="s">
        <v>42</v>
      </c>
      <c r="Z989" t="s">
        <v>43</v>
      </c>
      <c r="AA989" t="s">
        <v>9953</v>
      </c>
      <c r="AB989" t="s">
        <v>9954</v>
      </c>
      <c r="AC989" t="s">
        <v>9955</v>
      </c>
      <c r="AD989" t="s">
        <v>9956</v>
      </c>
      <c r="AE989">
        <v>15369.26</v>
      </c>
      <c r="AF989" t="s">
        <v>87</v>
      </c>
      <c r="AG989" t="s">
        <v>515</v>
      </c>
    </row>
    <row r="990" spans="1:33" x14ac:dyDescent="0.25">
      <c r="A990">
        <v>22437</v>
      </c>
      <c r="B990" t="s">
        <v>32</v>
      </c>
      <c r="C990">
        <v>1</v>
      </c>
      <c r="D990" t="s">
        <v>11808</v>
      </c>
      <c r="E990" t="s">
        <v>70</v>
      </c>
      <c r="F990" t="s">
        <v>90</v>
      </c>
      <c r="G990" t="s">
        <v>91</v>
      </c>
      <c r="H990" t="s">
        <v>9503</v>
      </c>
      <c r="I990" t="s">
        <v>11809</v>
      </c>
      <c r="J990" t="s">
        <v>11810</v>
      </c>
      <c r="K990" t="s">
        <v>36</v>
      </c>
      <c r="L990" t="s">
        <v>33</v>
      </c>
      <c r="M990">
        <v>20604315183</v>
      </c>
      <c r="N990" t="s">
        <v>120</v>
      </c>
      <c r="O990" t="s">
        <v>1747</v>
      </c>
      <c r="P990" t="s">
        <v>62</v>
      </c>
      <c r="Q990" t="s">
        <v>121</v>
      </c>
      <c r="R990" t="s">
        <v>11811</v>
      </c>
      <c r="S990">
        <v>1770</v>
      </c>
      <c r="T990" t="s">
        <v>40</v>
      </c>
      <c r="U990">
        <f>+IF(Tabla1[[#This Row],[MONEDA]]="PEN",Tabla1[[#This Row],[MONTO]],Tabla1[[#This Row],[MONTO]]*3.56)</f>
        <v>1770</v>
      </c>
      <c r="X990" t="s">
        <v>41</v>
      </c>
      <c r="Y990" t="s">
        <v>42</v>
      </c>
      <c r="Z990" t="s">
        <v>43</v>
      </c>
      <c r="AA990" t="s">
        <v>11812</v>
      </c>
      <c r="AB990" t="s">
        <v>11813</v>
      </c>
      <c r="AC990" t="s">
        <v>11814</v>
      </c>
      <c r="AD990" t="s">
        <v>11815</v>
      </c>
      <c r="AE990">
        <v>1593</v>
      </c>
      <c r="AF990" t="s">
        <v>87</v>
      </c>
      <c r="AG990" t="s">
        <v>515</v>
      </c>
    </row>
    <row r="991" spans="1:33" x14ac:dyDescent="0.25">
      <c r="A991">
        <v>22439</v>
      </c>
      <c r="B991" t="s">
        <v>32</v>
      </c>
      <c r="C991">
        <v>1</v>
      </c>
      <c r="D991" t="s">
        <v>11816</v>
      </c>
      <c r="E991" t="s">
        <v>70</v>
      </c>
      <c r="F991" t="s">
        <v>90</v>
      </c>
      <c r="G991" t="s">
        <v>91</v>
      </c>
      <c r="H991" t="s">
        <v>9503</v>
      </c>
      <c r="I991" t="s">
        <v>11809</v>
      </c>
      <c r="J991" t="s">
        <v>11817</v>
      </c>
      <c r="K991" t="s">
        <v>36</v>
      </c>
      <c r="L991" t="s">
        <v>33</v>
      </c>
      <c r="M991">
        <v>20604315183</v>
      </c>
      <c r="N991" t="s">
        <v>120</v>
      </c>
      <c r="O991" t="s">
        <v>1747</v>
      </c>
      <c r="P991" t="s">
        <v>62</v>
      </c>
      <c r="Q991" t="s">
        <v>121</v>
      </c>
      <c r="R991" t="s">
        <v>11818</v>
      </c>
      <c r="S991">
        <v>1652</v>
      </c>
      <c r="T991" t="s">
        <v>40</v>
      </c>
      <c r="U991">
        <f>+IF(Tabla1[[#This Row],[MONEDA]]="PEN",Tabla1[[#This Row],[MONTO]],Tabla1[[#This Row],[MONTO]]*3.56)</f>
        <v>1652</v>
      </c>
      <c r="X991" t="s">
        <v>41</v>
      </c>
      <c r="Y991" t="s">
        <v>42</v>
      </c>
      <c r="Z991" t="s">
        <v>43</v>
      </c>
      <c r="AA991" t="s">
        <v>11812</v>
      </c>
      <c r="AB991" t="s">
        <v>11819</v>
      </c>
      <c r="AC991" t="s">
        <v>11820</v>
      </c>
      <c r="AD991" t="s">
        <v>11821</v>
      </c>
      <c r="AE991">
        <v>1486.8</v>
      </c>
      <c r="AF991" t="s">
        <v>87</v>
      </c>
      <c r="AG991" t="s">
        <v>515</v>
      </c>
    </row>
    <row r="992" spans="1:33" x14ac:dyDescent="0.25">
      <c r="A992">
        <v>21879</v>
      </c>
      <c r="B992" t="s">
        <v>32</v>
      </c>
      <c r="C992">
        <v>1</v>
      </c>
      <c r="D992" t="s">
        <v>12158</v>
      </c>
      <c r="E992" t="s">
        <v>70</v>
      </c>
      <c r="F992" t="s">
        <v>90</v>
      </c>
      <c r="G992" t="s">
        <v>91</v>
      </c>
      <c r="H992" t="s">
        <v>72</v>
      </c>
      <c r="I992" t="s">
        <v>12146</v>
      </c>
      <c r="J992" t="s">
        <v>12159</v>
      </c>
      <c r="K992" t="s">
        <v>36</v>
      </c>
      <c r="L992" t="s">
        <v>33</v>
      </c>
      <c r="M992">
        <v>20604315183</v>
      </c>
      <c r="N992" t="s">
        <v>120</v>
      </c>
      <c r="O992" t="s">
        <v>1747</v>
      </c>
      <c r="P992" t="s">
        <v>62</v>
      </c>
      <c r="Q992" t="s">
        <v>121</v>
      </c>
      <c r="R992" t="s">
        <v>12160</v>
      </c>
      <c r="S992">
        <v>1770</v>
      </c>
      <c r="T992" t="s">
        <v>40</v>
      </c>
      <c r="U992">
        <f>+IF(Tabla1[[#This Row],[MONEDA]]="PEN",Tabla1[[#This Row],[MONTO]],Tabla1[[#This Row],[MONTO]]*3.56)</f>
        <v>1770</v>
      </c>
      <c r="X992" t="s">
        <v>41</v>
      </c>
      <c r="Y992" t="s">
        <v>42</v>
      </c>
      <c r="Z992" t="s">
        <v>43</v>
      </c>
      <c r="AA992" t="s">
        <v>12161</v>
      </c>
      <c r="AC992" t="s">
        <v>12162</v>
      </c>
      <c r="AD992" t="s">
        <v>12163</v>
      </c>
      <c r="AE992">
        <v>1593</v>
      </c>
      <c r="AF992" t="s">
        <v>87</v>
      </c>
      <c r="AG992" t="s">
        <v>515</v>
      </c>
    </row>
    <row r="993" spans="1:33" x14ac:dyDescent="0.25">
      <c r="A993">
        <v>21880</v>
      </c>
      <c r="B993" t="s">
        <v>32</v>
      </c>
      <c r="C993">
        <v>1</v>
      </c>
      <c r="D993" t="s">
        <v>12164</v>
      </c>
      <c r="E993" t="s">
        <v>70</v>
      </c>
      <c r="F993" t="s">
        <v>90</v>
      </c>
      <c r="G993" t="s">
        <v>91</v>
      </c>
      <c r="H993" t="s">
        <v>72</v>
      </c>
      <c r="I993" t="s">
        <v>12146</v>
      </c>
      <c r="J993" t="s">
        <v>12165</v>
      </c>
      <c r="K993" t="s">
        <v>36</v>
      </c>
      <c r="L993" t="s">
        <v>33</v>
      </c>
      <c r="M993">
        <v>20604315183</v>
      </c>
      <c r="N993" t="s">
        <v>120</v>
      </c>
      <c r="O993" t="s">
        <v>1747</v>
      </c>
      <c r="P993" t="s">
        <v>62</v>
      </c>
      <c r="Q993" t="s">
        <v>121</v>
      </c>
      <c r="R993" t="s">
        <v>12166</v>
      </c>
      <c r="S993">
        <v>1652</v>
      </c>
      <c r="T993" t="s">
        <v>40</v>
      </c>
      <c r="U993">
        <f>+IF(Tabla1[[#This Row],[MONEDA]]="PEN",Tabla1[[#This Row],[MONTO]],Tabla1[[#This Row],[MONTO]]*3.56)</f>
        <v>1652</v>
      </c>
      <c r="X993" t="s">
        <v>41</v>
      </c>
      <c r="Y993" t="s">
        <v>42</v>
      </c>
      <c r="Z993" t="s">
        <v>43</v>
      </c>
      <c r="AA993" t="s">
        <v>12161</v>
      </c>
      <c r="AC993" t="s">
        <v>12167</v>
      </c>
      <c r="AD993" t="s">
        <v>12168</v>
      </c>
      <c r="AE993">
        <v>1486.8</v>
      </c>
      <c r="AF993" t="s">
        <v>87</v>
      </c>
      <c r="AG993" t="s">
        <v>515</v>
      </c>
    </row>
    <row r="994" spans="1:33" x14ac:dyDescent="0.25">
      <c r="A994">
        <v>21486</v>
      </c>
      <c r="B994" t="s">
        <v>32</v>
      </c>
      <c r="C994">
        <v>1</v>
      </c>
      <c r="D994" t="s">
        <v>12436</v>
      </c>
      <c r="E994" t="s">
        <v>70</v>
      </c>
      <c r="F994" t="s">
        <v>90</v>
      </c>
      <c r="G994" t="s">
        <v>91</v>
      </c>
      <c r="H994" t="s">
        <v>72</v>
      </c>
      <c r="I994" t="s">
        <v>12422</v>
      </c>
      <c r="J994" t="s">
        <v>12437</v>
      </c>
      <c r="K994" t="s">
        <v>36</v>
      </c>
      <c r="L994" t="s">
        <v>33</v>
      </c>
      <c r="M994">
        <v>20604315183</v>
      </c>
      <c r="N994" t="s">
        <v>120</v>
      </c>
      <c r="O994" t="s">
        <v>1747</v>
      </c>
      <c r="P994" t="s">
        <v>62</v>
      </c>
      <c r="Q994" t="s">
        <v>121</v>
      </c>
      <c r="R994" t="s">
        <v>12438</v>
      </c>
      <c r="S994">
        <v>6608</v>
      </c>
      <c r="T994" t="s">
        <v>40</v>
      </c>
      <c r="U994">
        <f>+IF(Tabla1[[#This Row],[MONEDA]]="PEN",Tabla1[[#This Row],[MONTO]],Tabla1[[#This Row],[MONTO]]*3.56)</f>
        <v>6608</v>
      </c>
      <c r="X994" t="s">
        <v>41</v>
      </c>
      <c r="Y994" t="s">
        <v>42</v>
      </c>
      <c r="Z994" t="s">
        <v>43</v>
      </c>
      <c r="AA994" t="s">
        <v>12439</v>
      </c>
      <c r="AB994" t="s">
        <v>12440</v>
      </c>
      <c r="AC994" t="s">
        <v>12441</v>
      </c>
      <c r="AD994" t="s">
        <v>12442</v>
      </c>
      <c r="AE994">
        <v>5841</v>
      </c>
      <c r="AF994" t="s">
        <v>87</v>
      </c>
      <c r="AG994" t="s">
        <v>515</v>
      </c>
    </row>
    <row r="995" spans="1:33" hidden="1" x14ac:dyDescent="0.25">
      <c r="A995">
        <v>45939</v>
      </c>
      <c r="B995" t="s">
        <v>32</v>
      </c>
      <c r="C995">
        <v>2</v>
      </c>
      <c r="D995" t="s">
        <v>118</v>
      </c>
      <c r="E995" t="s">
        <v>45</v>
      </c>
      <c r="F995" t="s">
        <v>33</v>
      </c>
      <c r="G995" t="s">
        <v>34</v>
      </c>
      <c r="H995" t="s">
        <v>35</v>
      </c>
      <c r="I995" t="s">
        <v>98</v>
      </c>
      <c r="J995" t="s">
        <v>119</v>
      </c>
      <c r="K995" t="s">
        <v>36</v>
      </c>
      <c r="L995" t="s">
        <v>33</v>
      </c>
      <c r="M995">
        <v>20604315183</v>
      </c>
      <c r="N995" t="s">
        <v>120</v>
      </c>
      <c r="P995" t="s">
        <v>62</v>
      </c>
      <c r="Q995" t="s">
        <v>121</v>
      </c>
      <c r="R995" t="s">
        <v>122</v>
      </c>
      <c r="S995">
        <v>21240</v>
      </c>
      <c r="T995" t="s">
        <v>40</v>
      </c>
      <c r="U995">
        <f>+IF(Tabla1[[#This Row],[MONEDA]]="PEN",Tabla1[[#This Row],[MONTO]],Tabla1[[#This Row],[MONTO]]*3.56)</f>
        <v>21240</v>
      </c>
      <c r="X995" t="s">
        <v>41</v>
      </c>
      <c r="Y995" t="s">
        <v>51</v>
      </c>
      <c r="Z995" t="s">
        <v>43</v>
      </c>
      <c r="AB995" t="s">
        <v>123</v>
      </c>
      <c r="AD995" t="s">
        <v>124</v>
      </c>
    </row>
    <row r="996" spans="1:33" hidden="1" x14ac:dyDescent="0.25">
      <c r="A996">
        <v>45940</v>
      </c>
      <c r="B996" t="s">
        <v>32</v>
      </c>
      <c r="C996">
        <v>2</v>
      </c>
      <c r="D996" t="s">
        <v>125</v>
      </c>
      <c r="E996" t="s">
        <v>45</v>
      </c>
      <c r="F996" t="s">
        <v>33</v>
      </c>
      <c r="G996" t="s">
        <v>34</v>
      </c>
      <c r="H996" t="s">
        <v>35</v>
      </c>
      <c r="I996" t="s">
        <v>98</v>
      </c>
      <c r="J996" t="s">
        <v>126</v>
      </c>
      <c r="K996" t="s">
        <v>36</v>
      </c>
      <c r="L996" t="s">
        <v>33</v>
      </c>
      <c r="M996">
        <v>20604315183</v>
      </c>
      <c r="N996" t="s">
        <v>120</v>
      </c>
      <c r="P996" t="s">
        <v>62</v>
      </c>
      <c r="Q996" t="s">
        <v>121</v>
      </c>
      <c r="R996" t="s">
        <v>127</v>
      </c>
      <c r="S996">
        <v>4403.76</v>
      </c>
      <c r="T996" t="s">
        <v>40</v>
      </c>
      <c r="U996">
        <f>+IF(Tabla1[[#This Row],[MONEDA]]="PEN",Tabla1[[#This Row],[MONTO]],Tabla1[[#This Row],[MONTO]]*3.56)</f>
        <v>4403.76</v>
      </c>
      <c r="X996" t="s">
        <v>41</v>
      </c>
      <c r="Y996" t="s">
        <v>51</v>
      </c>
      <c r="Z996" t="s">
        <v>43</v>
      </c>
      <c r="AB996" t="s">
        <v>128</v>
      </c>
    </row>
    <row r="997" spans="1:33" hidden="1" x14ac:dyDescent="0.25">
      <c r="A997">
        <v>42322</v>
      </c>
      <c r="B997" t="s">
        <v>32</v>
      </c>
      <c r="C997">
        <v>2</v>
      </c>
      <c r="D997" t="s">
        <v>1216</v>
      </c>
      <c r="E997" t="s">
        <v>45</v>
      </c>
      <c r="F997" t="s">
        <v>33</v>
      </c>
      <c r="G997" t="s">
        <v>34</v>
      </c>
      <c r="H997" t="s">
        <v>35</v>
      </c>
      <c r="I997" t="s">
        <v>1120</v>
      </c>
      <c r="J997" t="s">
        <v>1217</v>
      </c>
      <c r="K997" t="s">
        <v>36</v>
      </c>
      <c r="L997" t="s">
        <v>33</v>
      </c>
      <c r="M997">
        <v>20604315183</v>
      </c>
      <c r="N997" t="s">
        <v>120</v>
      </c>
      <c r="P997" t="s">
        <v>62</v>
      </c>
      <c r="Q997" t="s">
        <v>121</v>
      </c>
      <c r="R997" t="s">
        <v>1218</v>
      </c>
      <c r="S997">
        <v>14160</v>
      </c>
      <c r="T997" t="s">
        <v>40</v>
      </c>
      <c r="U997">
        <f>+IF(Tabla1[[#This Row],[MONEDA]]="PEN",Tabla1[[#This Row],[MONTO]],Tabla1[[#This Row],[MONTO]]*3.56)</f>
        <v>14160</v>
      </c>
      <c r="X997" t="s">
        <v>41</v>
      </c>
      <c r="Y997" t="s">
        <v>51</v>
      </c>
      <c r="Z997" t="s">
        <v>43</v>
      </c>
      <c r="AB997" t="s">
        <v>1219</v>
      </c>
      <c r="AD997" t="s">
        <v>1220</v>
      </c>
    </row>
    <row r="998" spans="1:33" x14ac:dyDescent="0.25">
      <c r="A998">
        <v>27906</v>
      </c>
      <c r="B998" t="s">
        <v>32</v>
      </c>
      <c r="C998">
        <v>1</v>
      </c>
      <c r="D998" t="s">
        <v>8060</v>
      </c>
      <c r="E998" t="s">
        <v>70</v>
      </c>
      <c r="F998" t="s">
        <v>5328</v>
      </c>
      <c r="G998" t="s">
        <v>5329</v>
      </c>
      <c r="H998" t="s">
        <v>72</v>
      </c>
      <c r="I998" t="s">
        <v>8043</v>
      </c>
      <c r="J998" t="s">
        <v>8061</v>
      </c>
      <c r="K998" t="s">
        <v>36</v>
      </c>
      <c r="L998" t="s">
        <v>33</v>
      </c>
      <c r="M998">
        <v>10433199761</v>
      </c>
      <c r="N998" t="s">
        <v>8062</v>
      </c>
      <c r="O998" t="s">
        <v>6159</v>
      </c>
      <c r="P998" t="s">
        <v>38</v>
      </c>
      <c r="Q998">
        <v>43096945625085</v>
      </c>
      <c r="R998" t="s">
        <v>8063</v>
      </c>
      <c r="S998">
        <v>279.66000000000003</v>
      </c>
      <c r="T998" t="s">
        <v>40</v>
      </c>
      <c r="U998">
        <f>+IF(Tabla1[[#This Row],[MONEDA]]="PEN",Tabla1[[#This Row],[MONTO]],Tabla1[[#This Row],[MONTO]]*3.56)</f>
        <v>279.66000000000003</v>
      </c>
      <c r="X998" t="s">
        <v>81</v>
      </c>
      <c r="Y998" t="s">
        <v>42</v>
      </c>
      <c r="Z998" t="s">
        <v>43</v>
      </c>
      <c r="AA998" t="s">
        <v>8064</v>
      </c>
      <c r="AB998" t="s">
        <v>8065</v>
      </c>
      <c r="AC998" t="s">
        <v>8066</v>
      </c>
      <c r="AD998" t="s">
        <v>8067</v>
      </c>
      <c r="AE998">
        <v>279.66000000000003</v>
      </c>
      <c r="AF998" t="s">
        <v>87</v>
      </c>
      <c r="AG998" t="s">
        <v>169</v>
      </c>
    </row>
    <row r="999" spans="1:33" hidden="1" x14ac:dyDescent="0.25">
      <c r="A999">
        <v>26811</v>
      </c>
      <c r="B999" t="s">
        <v>32</v>
      </c>
      <c r="C999">
        <v>2</v>
      </c>
      <c r="D999" t="s">
        <v>9010</v>
      </c>
      <c r="E999" t="s">
        <v>70</v>
      </c>
      <c r="F999" t="s">
        <v>33</v>
      </c>
      <c r="G999" t="s">
        <v>71</v>
      </c>
      <c r="H999" t="s">
        <v>72</v>
      </c>
      <c r="I999" t="s">
        <v>9011</v>
      </c>
      <c r="J999" t="s">
        <v>9012</v>
      </c>
      <c r="K999" t="s">
        <v>36</v>
      </c>
      <c r="L999" t="s">
        <v>33</v>
      </c>
      <c r="M999">
        <v>10433199761</v>
      </c>
      <c r="N999" t="s">
        <v>8062</v>
      </c>
      <c r="O999" t="s">
        <v>76</v>
      </c>
      <c r="R999" t="s">
        <v>9013</v>
      </c>
      <c r="S999">
        <v>70</v>
      </c>
      <c r="T999" t="s">
        <v>40</v>
      </c>
      <c r="U999">
        <f>+IF(Tabla1[[#This Row],[MONEDA]]="PEN",Tabla1[[#This Row],[MONTO]],Tabla1[[#This Row],[MONTO]]*3.56)</f>
        <v>70</v>
      </c>
      <c r="V999" t="s">
        <v>190</v>
      </c>
      <c r="W999">
        <v>26301</v>
      </c>
      <c r="X999" t="s">
        <v>81</v>
      </c>
      <c r="Y999" t="s">
        <v>42</v>
      </c>
      <c r="Z999" t="s">
        <v>43</v>
      </c>
      <c r="AA999" t="s">
        <v>9014</v>
      </c>
      <c r="AC999" t="s">
        <v>9015</v>
      </c>
      <c r="AD999" t="s">
        <v>9016</v>
      </c>
    </row>
    <row r="1000" spans="1:33" hidden="1" x14ac:dyDescent="0.25">
      <c r="A1000">
        <v>23912</v>
      </c>
      <c r="B1000" t="s">
        <v>32</v>
      </c>
      <c r="C1000">
        <v>1</v>
      </c>
      <c r="D1000" t="s">
        <v>10622</v>
      </c>
      <c r="E1000" t="s">
        <v>70</v>
      </c>
      <c r="F1000" t="s">
        <v>33</v>
      </c>
      <c r="G1000" t="s">
        <v>9422</v>
      </c>
      <c r="H1000" t="s">
        <v>72</v>
      </c>
      <c r="I1000" t="s">
        <v>10623</v>
      </c>
      <c r="J1000" t="s">
        <v>10624</v>
      </c>
      <c r="K1000" t="s">
        <v>36</v>
      </c>
      <c r="L1000" t="s">
        <v>33</v>
      </c>
      <c r="M1000">
        <v>10433199761</v>
      </c>
      <c r="N1000" t="s">
        <v>8062</v>
      </c>
      <c r="O1000" t="s">
        <v>9423</v>
      </c>
      <c r="P1000" t="s">
        <v>38</v>
      </c>
      <c r="Q1000">
        <v>43096945625085</v>
      </c>
      <c r="R1000" t="s">
        <v>10625</v>
      </c>
      <c r="S1000">
        <v>566.4</v>
      </c>
      <c r="T1000" t="s">
        <v>40</v>
      </c>
      <c r="U1000">
        <f>+IF(Tabla1[[#This Row],[MONEDA]]="PEN",Tabla1[[#This Row],[MONTO]],Tabla1[[#This Row],[MONTO]]*3.56)</f>
        <v>566.4</v>
      </c>
      <c r="X1000" t="s">
        <v>41</v>
      </c>
      <c r="Y1000" t="s">
        <v>42</v>
      </c>
      <c r="Z1000" t="s">
        <v>43</v>
      </c>
      <c r="AA1000" t="s">
        <v>10626</v>
      </c>
      <c r="AB1000" t="s">
        <v>10627</v>
      </c>
      <c r="AC1000" t="s">
        <v>10628</v>
      </c>
      <c r="AD1000" t="s">
        <v>10629</v>
      </c>
      <c r="AE1000">
        <v>566.4</v>
      </c>
      <c r="AF1000" t="s">
        <v>87</v>
      </c>
      <c r="AG1000" t="s">
        <v>169</v>
      </c>
    </row>
    <row r="1001" spans="1:33" hidden="1" x14ac:dyDescent="0.25">
      <c r="A1001">
        <v>23230</v>
      </c>
      <c r="B1001" t="s">
        <v>32</v>
      </c>
      <c r="C1001">
        <v>1</v>
      </c>
      <c r="D1001" t="s">
        <v>11414</v>
      </c>
      <c r="E1001" t="s">
        <v>70</v>
      </c>
      <c r="F1001" t="s">
        <v>33</v>
      </c>
      <c r="G1001" t="s">
        <v>71</v>
      </c>
      <c r="H1001" t="s">
        <v>72</v>
      </c>
      <c r="I1001" t="s">
        <v>11393</v>
      </c>
      <c r="J1001" t="s">
        <v>11415</v>
      </c>
      <c r="K1001" t="s">
        <v>36</v>
      </c>
      <c r="L1001" t="s">
        <v>33</v>
      </c>
      <c r="M1001">
        <v>10433199761</v>
      </c>
      <c r="N1001" t="s">
        <v>8062</v>
      </c>
      <c r="O1001" t="s">
        <v>76</v>
      </c>
      <c r="P1001" t="s">
        <v>38</v>
      </c>
      <c r="Q1001">
        <v>43096945625085</v>
      </c>
      <c r="R1001" t="s">
        <v>11416</v>
      </c>
      <c r="S1001">
        <v>330.4</v>
      </c>
      <c r="T1001" t="s">
        <v>40</v>
      </c>
      <c r="U1001">
        <f>+IF(Tabla1[[#This Row],[MONEDA]]="PEN",Tabla1[[#This Row],[MONTO]],Tabla1[[#This Row],[MONTO]]*3.56)</f>
        <v>330.4</v>
      </c>
      <c r="X1001" t="s">
        <v>81</v>
      </c>
      <c r="Y1001" t="s">
        <v>42</v>
      </c>
      <c r="Z1001" t="s">
        <v>43</v>
      </c>
      <c r="AA1001" t="s">
        <v>11417</v>
      </c>
      <c r="AB1001" t="s">
        <v>11418</v>
      </c>
      <c r="AC1001" t="s">
        <v>11419</v>
      </c>
      <c r="AD1001" t="s">
        <v>11420</v>
      </c>
      <c r="AE1001">
        <v>330.4</v>
      </c>
      <c r="AF1001" t="s">
        <v>87</v>
      </c>
      <c r="AG1001" t="s">
        <v>169</v>
      </c>
    </row>
    <row r="1002" spans="1:33" hidden="1" x14ac:dyDescent="0.25">
      <c r="A1002">
        <v>23194</v>
      </c>
      <c r="B1002" t="s">
        <v>32</v>
      </c>
      <c r="C1002">
        <v>1</v>
      </c>
      <c r="D1002" t="s">
        <v>11522</v>
      </c>
      <c r="E1002" t="s">
        <v>70</v>
      </c>
      <c r="F1002" t="s">
        <v>33</v>
      </c>
      <c r="G1002" t="s">
        <v>9422</v>
      </c>
      <c r="H1002" t="s">
        <v>72</v>
      </c>
      <c r="I1002" t="s">
        <v>11490</v>
      </c>
      <c r="J1002" t="s">
        <v>11523</v>
      </c>
      <c r="K1002" t="s">
        <v>36</v>
      </c>
      <c r="L1002" t="s">
        <v>33</v>
      </c>
      <c r="M1002">
        <v>10433199761</v>
      </c>
      <c r="N1002" t="s">
        <v>8062</v>
      </c>
      <c r="O1002" t="s">
        <v>9423</v>
      </c>
      <c r="P1002" t="s">
        <v>38</v>
      </c>
      <c r="Q1002">
        <v>43096945625085</v>
      </c>
      <c r="R1002" t="s">
        <v>11524</v>
      </c>
      <c r="S1002">
        <v>566.4</v>
      </c>
      <c r="T1002" t="s">
        <v>40</v>
      </c>
      <c r="U1002">
        <f>+IF(Tabla1[[#This Row],[MONEDA]]="PEN",Tabla1[[#This Row],[MONTO]],Tabla1[[#This Row],[MONTO]]*3.56)</f>
        <v>566.4</v>
      </c>
      <c r="X1002" t="s">
        <v>41</v>
      </c>
      <c r="Y1002" t="s">
        <v>42</v>
      </c>
      <c r="Z1002" t="s">
        <v>82</v>
      </c>
      <c r="AA1002" t="s">
        <v>11525</v>
      </c>
      <c r="AB1002" t="s">
        <v>11526</v>
      </c>
      <c r="AC1002" t="s">
        <v>11527</v>
      </c>
      <c r="AD1002" t="s">
        <v>11528</v>
      </c>
      <c r="AE1002">
        <v>566.4</v>
      </c>
      <c r="AF1002" t="s">
        <v>87</v>
      </c>
      <c r="AG1002" t="s">
        <v>169</v>
      </c>
    </row>
    <row r="1003" spans="1:33" hidden="1" x14ac:dyDescent="0.25">
      <c r="A1003">
        <v>23195</v>
      </c>
      <c r="B1003" t="s">
        <v>32</v>
      </c>
      <c r="C1003">
        <v>1</v>
      </c>
      <c r="D1003" t="s">
        <v>11529</v>
      </c>
      <c r="E1003" t="s">
        <v>70</v>
      </c>
      <c r="F1003" t="s">
        <v>33</v>
      </c>
      <c r="G1003" t="s">
        <v>9422</v>
      </c>
      <c r="H1003" t="s">
        <v>72</v>
      </c>
      <c r="I1003" t="s">
        <v>11490</v>
      </c>
      <c r="J1003" t="s">
        <v>11530</v>
      </c>
      <c r="K1003" t="s">
        <v>36</v>
      </c>
      <c r="L1003" t="s">
        <v>33</v>
      </c>
      <c r="M1003">
        <v>10433199761</v>
      </c>
      <c r="N1003" t="s">
        <v>8062</v>
      </c>
      <c r="O1003" t="s">
        <v>9423</v>
      </c>
      <c r="P1003" t="s">
        <v>38</v>
      </c>
      <c r="Q1003">
        <v>43096945625085</v>
      </c>
      <c r="R1003" t="s">
        <v>11531</v>
      </c>
      <c r="S1003">
        <v>377.6</v>
      </c>
      <c r="T1003" t="s">
        <v>40</v>
      </c>
      <c r="U1003">
        <f>+IF(Tabla1[[#This Row],[MONEDA]]="PEN",Tabla1[[#This Row],[MONTO]],Tabla1[[#This Row],[MONTO]]*3.56)</f>
        <v>377.6</v>
      </c>
      <c r="X1003" t="s">
        <v>41</v>
      </c>
      <c r="Y1003" t="s">
        <v>42</v>
      </c>
      <c r="Z1003" t="s">
        <v>43</v>
      </c>
      <c r="AA1003" t="s">
        <v>11532</v>
      </c>
      <c r="AB1003" t="s">
        <v>11533</v>
      </c>
      <c r="AC1003" t="s">
        <v>11534</v>
      </c>
      <c r="AD1003" t="s">
        <v>11535</v>
      </c>
      <c r="AE1003">
        <v>377.6</v>
      </c>
      <c r="AF1003" t="s">
        <v>87</v>
      </c>
      <c r="AG1003" t="s">
        <v>169</v>
      </c>
    </row>
    <row r="1004" spans="1:33" hidden="1" x14ac:dyDescent="0.25">
      <c r="A1004">
        <v>22058</v>
      </c>
      <c r="B1004" t="s">
        <v>32</v>
      </c>
      <c r="C1004">
        <v>1</v>
      </c>
      <c r="D1004" t="s">
        <v>12023</v>
      </c>
      <c r="E1004" t="s">
        <v>70</v>
      </c>
      <c r="F1004" t="s">
        <v>33</v>
      </c>
      <c r="G1004" t="s">
        <v>9422</v>
      </c>
      <c r="H1004" t="s">
        <v>72</v>
      </c>
      <c r="I1004" t="s">
        <v>12024</v>
      </c>
      <c r="J1004" t="s">
        <v>12025</v>
      </c>
      <c r="K1004" t="s">
        <v>36</v>
      </c>
      <c r="L1004" t="s">
        <v>33</v>
      </c>
      <c r="M1004">
        <v>10433199761</v>
      </c>
      <c r="N1004" t="s">
        <v>8062</v>
      </c>
      <c r="O1004" t="s">
        <v>9423</v>
      </c>
      <c r="P1004" t="s">
        <v>38</v>
      </c>
      <c r="Q1004">
        <v>43096945625085</v>
      </c>
      <c r="R1004" t="s">
        <v>12026</v>
      </c>
      <c r="S1004">
        <v>660.8</v>
      </c>
      <c r="T1004" t="s">
        <v>40</v>
      </c>
      <c r="U1004">
        <f>+IF(Tabla1[[#This Row],[MONEDA]]="PEN",Tabla1[[#This Row],[MONTO]],Tabla1[[#This Row],[MONTO]]*3.56)</f>
        <v>660.8</v>
      </c>
      <c r="X1004" t="s">
        <v>828</v>
      </c>
      <c r="Y1004" t="s">
        <v>42</v>
      </c>
      <c r="Z1004" t="s">
        <v>43</v>
      </c>
      <c r="AA1004" t="s">
        <v>12027</v>
      </c>
      <c r="AB1004" t="s">
        <v>12028</v>
      </c>
      <c r="AC1004" t="s">
        <v>12029</v>
      </c>
      <c r="AD1004" t="s">
        <v>12030</v>
      </c>
      <c r="AE1004">
        <v>660.8</v>
      </c>
      <c r="AF1004" t="s">
        <v>87</v>
      </c>
      <c r="AG1004" t="s">
        <v>169</v>
      </c>
    </row>
    <row r="1005" spans="1:33" hidden="1" x14ac:dyDescent="0.25">
      <c r="A1005">
        <v>27405</v>
      </c>
      <c r="B1005" t="s">
        <v>32</v>
      </c>
      <c r="C1005">
        <v>1</v>
      </c>
      <c r="D1005" t="s">
        <v>8483</v>
      </c>
      <c r="E1005" t="s">
        <v>70</v>
      </c>
      <c r="F1005" t="s">
        <v>33</v>
      </c>
      <c r="G1005" t="s">
        <v>71</v>
      </c>
      <c r="H1005" t="s">
        <v>72</v>
      </c>
      <c r="I1005" t="s">
        <v>8476</v>
      </c>
      <c r="J1005" t="s">
        <v>8484</v>
      </c>
      <c r="K1005" t="s">
        <v>36</v>
      </c>
      <c r="L1005" t="s">
        <v>33</v>
      </c>
      <c r="M1005">
        <v>20520023462</v>
      </c>
      <c r="N1005" t="s">
        <v>8485</v>
      </c>
      <c r="O1005" t="s">
        <v>76</v>
      </c>
      <c r="P1005" t="s">
        <v>38</v>
      </c>
      <c r="Q1005" t="s">
        <v>8486</v>
      </c>
      <c r="R1005" t="s">
        <v>8487</v>
      </c>
      <c r="S1005">
        <v>141.6</v>
      </c>
      <c r="T1005" t="s">
        <v>40</v>
      </c>
      <c r="U1005">
        <f>+IF(Tabla1[[#This Row],[MONEDA]]="PEN",Tabla1[[#This Row],[MONTO]],Tabla1[[#This Row],[MONTO]]*3.56)</f>
        <v>141.6</v>
      </c>
      <c r="X1005" t="s">
        <v>828</v>
      </c>
      <c r="Y1005" t="s">
        <v>42</v>
      </c>
      <c r="Z1005" t="s">
        <v>82</v>
      </c>
      <c r="AA1005" t="s">
        <v>8488</v>
      </c>
      <c r="AB1005" t="s">
        <v>8489</v>
      </c>
      <c r="AC1005" t="s">
        <v>8490</v>
      </c>
      <c r="AD1005" t="s">
        <v>8491</v>
      </c>
      <c r="AE1005">
        <v>141.6</v>
      </c>
      <c r="AF1005" t="s">
        <v>87</v>
      </c>
      <c r="AG1005" t="s">
        <v>169</v>
      </c>
    </row>
    <row r="1006" spans="1:33" hidden="1" x14ac:dyDescent="0.25">
      <c r="A1006">
        <v>27189</v>
      </c>
      <c r="B1006" t="s">
        <v>32</v>
      </c>
      <c r="C1006">
        <v>1</v>
      </c>
      <c r="D1006" t="s">
        <v>8683</v>
      </c>
      <c r="E1006" t="s">
        <v>70</v>
      </c>
      <c r="F1006" t="s">
        <v>33</v>
      </c>
      <c r="G1006" t="s">
        <v>71</v>
      </c>
      <c r="H1006" t="s">
        <v>72</v>
      </c>
      <c r="I1006" t="s">
        <v>8664</v>
      </c>
      <c r="J1006" t="s">
        <v>8684</v>
      </c>
      <c r="K1006" t="s">
        <v>36</v>
      </c>
      <c r="L1006" t="s">
        <v>33</v>
      </c>
      <c r="M1006">
        <v>20520023462</v>
      </c>
      <c r="N1006" t="s">
        <v>8485</v>
      </c>
      <c r="O1006" t="s">
        <v>76</v>
      </c>
      <c r="P1006" t="s">
        <v>38</v>
      </c>
      <c r="Q1006" t="s">
        <v>8486</v>
      </c>
      <c r="R1006" t="s">
        <v>8685</v>
      </c>
      <c r="S1006">
        <v>283.2</v>
      </c>
      <c r="T1006" t="s">
        <v>40</v>
      </c>
      <c r="U1006">
        <f>+IF(Tabla1[[#This Row],[MONEDA]]="PEN",Tabla1[[#This Row],[MONTO]],Tabla1[[#This Row],[MONTO]]*3.56)</f>
        <v>283.2</v>
      </c>
      <c r="X1006" t="s">
        <v>81</v>
      </c>
      <c r="Y1006" t="s">
        <v>42</v>
      </c>
      <c r="Z1006" t="s">
        <v>43</v>
      </c>
      <c r="AA1006" t="s">
        <v>8686</v>
      </c>
      <c r="AB1006" t="s">
        <v>8687</v>
      </c>
      <c r="AC1006" t="s">
        <v>8688</v>
      </c>
      <c r="AD1006" t="s">
        <v>8689</v>
      </c>
      <c r="AE1006">
        <v>283.2</v>
      </c>
      <c r="AF1006" t="s">
        <v>87</v>
      </c>
      <c r="AG1006" t="s">
        <v>169</v>
      </c>
    </row>
    <row r="1007" spans="1:33" hidden="1" x14ac:dyDescent="0.25">
      <c r="A1007">
        <v>45093</v>
      </c>
      <c r="B1007" t="s">
        <v>32</v>
      </c>
      <c r="C1007">
        <v>5</v>
      </c>
      <c r="D1007" t="s">
        <v>44</v>
      </c>
      <c r="E1007" t="s">
        <v>45</v>
      </c>
      <c r="F1007" t="s">
        <v>33</v>
      </c>
      <c r="G1007" t="s">
        <v>34</v>
      </c>
      <c r="H1007" t="s">
        <v>35</v>
      </c>
      <c r="I1007" t="s">
        <v>46</v>
      </c>
      <c r="J1007" t="s">
        <v>47</v>
      </c>
      <c r="K1007" t="s">
        <v>36</v>
      </c>
      <c r="L1007" t="s">
        <v>33</v>
      </c>
      <c r="M1007">
        <v>20607796816</v>
      </c>
      <c r="N1007" t="s">
        <v>48</v>
      </c>
      <c r="P1007" t="s">
        <v>38</v>
      </c>
      <c r="Q1007" t="s">
        <v>49</v>
      </c>
      <c r="R1007" t="s">
        <v>50</v>
      </c>
      <c r="S1007">
        <v>1486.8</v>
      </c>
      <c r="T1007" t="s">
        <v>40</v>
      </c>
      <c r="U1007">
        <f>+IF(Tabla1[[#This Row],[MONEDA]]="PEN",Tabla1[[#This Row],[MONTO]],Tabla1[[#This Row],[MONTO]]*3.56)</f>
        <v>1486.8</v>
      </c>
      <c r="X1007" t="s">
        <v>41</v>
      </c>
      <c r="Y1007" t="s">
        <v>51</v>
      </c>
      <c r="Z1007" t="s">
        <v>43</v>
      </c>
      <c r="AB1007" t="s">
        <v>52</v>
      </c>
      <c r="AD1007" t="s">
        <v>53</v>
      </c>
    </row>
    <row r="1008" spans="1:33" hidden="1" x14ac:dyDescent="0.25">
      <c r="A1008">
        <v>45094</v>
      </c>
      <c r="B1008" t="s">
        <v>32</v>
      </c>
      <c r="C1008">
        <v>5</v>
      </c>
      <c r="D1008" t="s">
        <v>54</v>
      </c>
      <c r="E1008" t="s">
        <v>45</v>
      </c>
      <c r="F1008" t="s">
        <v>33</v>
      </c>
      <c r="G1008" t="s">
        <v>34</v>
      </c>
      <c r="H1008" t="s">
        <v>35</v>
      </c>
      <c r="I1008" t="s">
        <v>46</v>
      </c>
      <c r="J1008" t="s">
        <v>55</v>
      </c>
      <c r="K1008" t="s">
        <v>36</v>
      </c>
      <c r="L1008" t="s">
        <v>33</v>
      </c>
      <c r="M1008">
        <v>20607796816</v>
      </c>
      <c r="N1008" t="s">
        <v>48</v>
      </c>
      <c r="P1008" t="s">
        <v>38</v>
      </c>
      <c r="Q1008" t="s">
        <v>49</v>
      </c>
      <c r="R1008" t="s">
        <v>56</v>
      </c>
      <c r="S1008">
        <v>19116</v>
      </c>
      <c r="T1008" t="s">
        <v>40</v>
      </c>
      <c r="U1008">
        <f>+IF(Tabla1[[#This Row],[MONEDA]]="PEN",Tabla1[[#This Row],[MONTO]],Tabla1[[#This Row],[MONTO]]*3.56)</f>
        <v>19116</v>
      </c>
      <c r="X1008" t="s">
        <v>41</v>
      </c>
      <c r="Y1008" t="s">
        <v>51</v>
      </c>
      <c r="Z1008" t="s">
        <v>43</v>
      </c>
      <c r="AB1008" t="s">
        <v>57</v>
      </c>
      <c r="AD1008" t="s">
        <v>58</v>
      </c>
    </row>
    <row r="1009" spans="1:33" hidden="1" x14ac:dyDescent="0.25">
      <c r="A1009">
        <v>45261</v>
      </c>
      <c r="B1009" t="s">
        <v>32</v>
      </c>
      <c r="C1009">
        <v>1</v>
      </c>
      <c r="D1009" t="s">
        <v>316</v>
      </c>
      <c r="E1009" t="s">
        <v>45</v>
      </c>
      <c r="F1009" t="s">
        <v>33</v>
      </c>
      <c r="G1009" t="s">
        <v>34</v>
      </c>
      <c r="H1009" t="s">
        <v>35</v>
      </c>
      <c r="I1009" t="s">
        <v>275</v>
      </c>
      <c r="J1009" t="s">
        <v>317</v>
      </c>
      <c r="K1009" t="s">
        <v>36</v>
      </c>
      <c r="L1009" t="s">
        <v>33</v>
      </c>
      <c r="M1009">
        <v>20533238638</v>
      </c>
      <c r="N1009" t="s">
        <v>318</v>
      </c>
      <c r="P1009" t="s">
        <v>319</v>
      </c>
      <c r="Q1009" t="s">
        <v>320</v>
      </c>
      <c r="R1009" t="s">
        <v>321</v>
      </c>
      <c r="S1009">
        <v>6400</v>
      </c>
      <c r="T1009" t="s">
        <v>40</v>
      </c>
      <c r="U1009">
        <f>+IF(Tabla1[[#This Row],[MONEDA]]="PEN",Tabla1[[#This Row],[MONTO]],Tabla1[[#This Row],[MONTO]]*3.56)</f>
        <v>6400</v>
      </c>
      <c r="X1009" t="s">
        <v>41</v>
      </c>
      <c r="Y1009" t="s">
        <v>51</v>
      </c>
      <c r="Z1009" t="s">
        <v>43</v>
      </c>
      <c r="AB1009" t="s">
        <v>322</v>
      </c>
      <c r="AD1009" t="s">
        <v>323</v>
      </c>
    </row>
    <row r="1010" spans="1:33" hidden="1" x14ac:dyDescent="0.25">
      <c r="A1010">
        <v>41398</v>
      </c>
      <c r="B1010" t="s">
        <v>32</v>
      </c>
      <c r="C1010">
        <v>1</v>
      </c>
      <c r="D1010" t="s">
        <v>1476</v>
      </c>
      <c r="E1010" t="s">
        <v>70</v>
      </c>
      <c r="F1010" t="s">
        <v>33</v>
      </c>
      <c r="G1010" t="s">
        <v>71</v>
      </c>
      <c r="H1010" t="s">
        <v>35</v>
      </c>
      <c r="I1010" t="s">
        <v>1476</v>
      </c>
      <c r="J1010" t="s">
        <v>1477</v>
      </c>
      <c r="K1010" t="s">
        <v>36</v>
      </c>
      <c r="L1010" t="s">
        <v>33</v>
      </c>
      <c r="M1010">
        <v>20532846049</v>
      </c>
      <c r="N1010" t="s">
        <v>1478</v>
      </c>
      <c r="O1010" t="s">
        <v>76</v>
      </c>
      <c r="R1010" t="s">
        <v>1479</v>
      </c>
      <c r="S1010">
        <v>88</v>
      </c>
      <c r="T1010" t="s">
        <v>40</v>
      </c>
      <c r="U1010">
        <f>+IF(Tabla1[[#This Row],[MONEDA]]="PEN",Tabla1[[#This Row],[MONTO]],Tabla1[[#This Row],[MONTO]]*3.56)</f>
        <v>88</v>
      </c>
      <c r="V1010" t="s">
        <v>190</v>
      </c>
      <c r="W1010">
        <v>39699</v>
      </c>
      <c r="X1010" t="s">
        <v>81</v>
      </c>
      <c r="Y1010" t="s">
        <v>42</v>
      </c>
      <c r="Z1010" t="s">
        <v>43</v>
      </c>
      <c r="AA1010" t="s">
        <v>1480</v>
      </c>
      <c r="AC1010" t="s">
        <v>1481</v>
      </c>
      <c r="AD1010" t="s">
        <v>1482</v>
      </c>
    </row>
    <row r="1011" spans="1:33" hidden="1" x14ac:dyDescent="0.25">
      <c r="A1011">
        <v>37757</v>
      </c>
      <c r="B1011" t="s">
        <v>32</v>
      </c>
      <c r="C1011">
        <v>2</v>
      </c>
      <c r="D1011" t="s">
        <v>3167</v>
      </c>
      <c r="E1011" t="s">
        <v>70</v>
      </c>
      <c r="F1011" t="s">
        <v>33</v>
      </c>
      <c r="G1011" t="s">
        <v>71</v>
      </c>
      <c r="H1011" t="s">
        <v>35</v>
      </c>
      <c r="I1011" t="s">
        <v>3134</v>
      </c>
      <c r="J1011" t="s">
        <v>3168</v>
      </c>
      <c r="K1011" t="s">
        <v>36</v>
      </c>
      <c r="L1011" t="s">
        <v>33</v>
      </c>
      <c r="M1011">
        <v>20603063393</v>
      </c>
      <c r="N1011" t="s">
        <v>469</v>
      </c>
      <c r="O1011" t="s">
        <v>76</v>
      </c>
      <c r="P1011" t="s">
        <v>38</v>
      </c>
      <c r="Q1011">
        <v>4309395103062</v>
      </c>
      <c r="S1011">
        <v>4672.8</v>
      </c>
      <c r="T1011" t="s">
        <v>40</v>
      </c>
      <c r="U1011">
        <f>+IF(Tabla1[[#This Row],[MONEDA]]="PEN",Tabla1[[#This Row],[MONTO]],Tabla1[[#This Row],[MONTO]]*3.56)</f>
        <v>4672.8</v>
      </c>
      <c r="X1011" t="s">
        <v>41</v>
      </c>
      <c r="Y1011" t="s">
        <v>42</v>
      </c>
      <c r="Z1011" t="s">
        <v>82</v>
      </c>
      <c r="AA1011" t="s">
        <v>3169</v>
      </c>
      <c r="AB1011" t="s">
        <v>3170</v>
      </c>
      <c r="AC1011" t="s">
        <v>3171</v>
      </c>
      <c r="AD1011" t="s">
        <v>3172</v>
      </c>
      <c r="AE1011">
        <v>4205.5200000000004</v>
      </c>
      <c r="AF1011" t="s">
        <v>87</v>
      </c>
      <c r="AG1011" t="s">
        <v>169</v>
      </c>
    </row>
    <row r="1012" spans="1:33" hidden="1" x14ac:dyDescent="0.25">
      <c r="A1012">
        <v>35336</v>
      </c>
      <c r="B1012" t="s">
        <v>32</v>
      </c>
      <c r="C1012">
        <v>1</v>
      </c>
      <c r="D1012" t="s">
        <v>4250</v>
      </c>
      <c r="E1012" t="s">
        <v>70</v>
      </c>
      <c r="F1012" t="s">
        <v>33</v>
      </c>
      <c r="G1012" t="s">
        <v>71</v>
      </c>
      <c r="H1012" t="s">
        <v>72</v>
      </c>
      <c r="I1012" t="s">
        <v>4222</v>
      </c>
      <c r="J1012" t="s">
        <v>4251</v>
      </c>
      <c r="K1012" t="s">
        <v>36</v>
      </c>
      <c r="L1012" t="s">
        <v>33</v>
      </c>
      <c r="M1012">
        <v>20603063393</v>
      </c>
      <c r="N1012" t="s">
        <v>469</v>
      </c>
      <c r="O1012" t="s">
        <v>76</v>
      </c>
      <c r="P1012" t="s">
        <v>38</v>
      </c>
      <c r="Q1012">
        <v>4309395103062</v>
      </c>
      <c r="R1012" t="s">
        <v>4252</v>
      </c>
      <c r="S1012">
        <v>5310</v>
      </c>
      <c r="T1012" t="s">
        <v>40</v>
      </c>
      <c r="U1012">
        <f>+IF(Tabla1[[#This Row],[MONEDA]]="PEN",Tabla1[[#This Row],[MONTO]],Tabla1[[#This Row],[MONTO]]*3.56)</f>
        <v>5310</v>
      </c>
      <c r="X1012" t="s">
        <v>41</v>
      </c>
      <c r="Y1012" t="s">
        <v>42</v>
      </c>
      <c r="Z1012" t="s">
        <v>43</v>
      </c>
      <c r="AA1012" t="s">
        <v>4225</v>
      </c>
      <c r="AB1012" t="s">
        <v>4253</v>
      </c>
      <c r="AC1012" t="s">
        <v>4254</v>
      </c>
      <c r="AD1012" t="s">
        <v>4255</v>
      </c>
      <c r="AE1012">
        <v>4779</v>
      </c>
      <c r="AF1012" t="s">
        <v>87</v>
      </c>
      <c r="AG1012" t="s">
        <v>169</v>
      </c>
    </row>
    <row r="1013" spans="1:33" hidden="1" x14ac:dyDescent="0.25">
      <c r="A1013">
        <v>34684</v>
      </c>
      <c r="B1013" t="s">
        <v>32</v>
      </c>
      <c r="C1013">
        <v>1</v>
      </c>
      <c r="D1013" t="s">
        <v>4556</v>
      </c>
      <c r="E1013" t="s">
        <v>70</v>
      </c>
      <c r="F1013" t="s">
        <v>33</v>
      </c>
      <c r="G1013" t="s">
        <v>71</v>
      </c>
      <c r="H1013" t="s">
        <v>72</v>
      </c>
      <c r="I1013" t="s">
        <v>4533</v>
      </c>
      <c r="J1013" t="s">
        <v>4557</v>
      </c>
      <c r="K1013" t="s">
        <v>36</v>
      </c>
      <c r="L1013" t="s">
        <v>33</v>
      </c>
      <c r="M1013">
        <v>20603063393</v>
      </c>
      <c r="N1013" t="s">
        <v>469</v>
      </c>
      <c r="O1013" t="s">
        <v>76</v>
      </c>
      <c r="P1013" t="s">
        <v>38</v>
      </c>
      <c r="Q1013">
        <v>4309395103062</v>
      </c>
      <c r="R1013" t="s">
        <v>4558</v>
      </c>
      <c r="S1013">
        <v>2548.8000000000002</v>
      </c>
      <c r="T1013" t="s">
        <v>40</v>
      </c>
      <c r="U1013">
        <f>+IF(Tabla1[[#This Row],[MONEDA]]="PEN",Tabla1[[#This Row],[MONTO]],Tabla1[[#This Row],[MONTO]]*3.56)</f>
        <v>2548.8000000000002</v>
      </c>
      <c r="X1013" t="s">
        <v>41</v>
      </c>
      <c r="Y1013" t="s">
        <v>42</v>
      </c>
      <c r="Z1013" t="s">
        <v>43</v>
      </c>
      <c r="AA1013" t="s">
        <v>4559</v>
      </c>
      <c r="AB1013" t="s">
        <v>4560</v>
      </c>
      <c r="AC1013" t="s">
        <v>4561</v>
      </c>
      <c r="AD1013" t="s">
        <v>4562</v>
      </c>
      <c r="AE1013">
        <v>2293.92</v>
      </c>
      <c r="AF1013" t="s">
        <v>87</v>
      </c>
      <c r="AG1013" t="s">
        <v>169</v>
      </c>
    </row>
    <row r="1014" spans="1:33" x14ac:dyDescent="0.25">
      <c r="A1014">
        <v>29940</v>
      </c>
      <c r="B1014" t="s">
        <v>32</v>
      </c>
      <c r="C1014">
        <v>1</v>
      </c>
      <c r="D1014" t="s">
        <v>4683</v>
      </c>
      <c r="E1014" t="s">
        <v>70</v>
      </c>
      <c r="F1014" t="s">
        <v>90</v>
      </c>
      <c r="G1014" t="s">
        <v>91</v>
      </c>
      <c r="H1014" t="s">
        <v>72</v>
      </c>
      <c r="I1014" t="s">
        <v>4684</v>
      </c>
      <c r="J1014" t="s">
        <v>4685</v>
      </c>
      <c r="K1014" t="s">
        <v>36</v>
      </c>
      <c r="L1014" t="s">
        <v>33</v>
      </c>
      <c r="M1014">
        <v>20603063393</v>
      </c>
      <c r="N1014" t="s">
        <v>469</v>
      </c>
      <c r="P1014" t="s">
        <v>38</v>
      </c>
      <c r="Q1014">
        <v>4309395103062</v>
      </c>
      <c r="R1014" t="s">
        <v>4686</v>
      </c>
      <c r="S1014">
        <v>5890</v>
      </c>
      <c r="T1014" t="s">
        <v>40</v>
      </c>
      <c r="U1014">
        <f>+IF(Tabla1[[#This Row],[MONEDA]]="PEN",Tabla1[[#This Row],[MONTO]],Tabla1[[#This Row],[MONTO]]*3.56)</f>
        <v>5890</v>
      </c>
      <c r="X1014" t="s">
        <v>41</v>
      </c>
      <c r="Y1014" t="s">
        <v>42</v>
      </c>
      <c r="Z1014" t="s">
        <v>43</v>
      </c>
      <c r="AA1014" t="s">
        <v>4687</v>
      </c>
      <c r="AB1014" t="s">
        <v>4688</v>
      </c>
      <c r="AC1014" t="s">
        <v>4689</v>
      </c>
      <c r="AD1014" t="s">
        <v>4690</v>
      </c>
      <c r="AE1014">
        <v>6255.18</v>
      </c>
      <c r="AF1014" t="s">
        <v>87</v>
      </c>
      <c r="AG1014" t="s">
        <v>169</v>
      </c>
    </row>
    <row r="1015" spans="1:33" x14ac:dyDescent="0.25">
      <c r="A1015">
        <v>34162</v>
      </c>
      <c r="B1015" t="s">
        <v>32</v>
      </c>
      <c r="C1015">
        <v>3</v>
      </c>
      <c r="D1015" t="s">
        <v>4691</v>
      </c>
      <c r="E1015" t="s">
        <v>70</v>
      </c>
      <c r="F1015" t="s">
        <v>90</v>
      </c>
      <c r="G1015" t="s">
        <v>91</v>
      </c>
      <c r="H1015" t="s">
        <v>72</v>
      </c>
      <c r="I1015" t="s">
        <v>4684</v>
      </c>
      <c r="J1015" t="s">
        <v>4692</v>
      </c>
      <c r="K1015" t="s">
        <v>36</v>
      </c>
      <c r="L1015" t="s">
        <v>33</v>
      </c>
      <c r="M1015">
        <v>20603063393</v>
      </c>
      <c r="N1015" t="s">
        <v>469</v>
      </c>
      <c r="P1015" t="s">
        <v>38</v>
      </c>
      <c r="Q1015">
        <v>4309395103062</v>
      </c>
      <c r="R1015" t="s">
        <v>3215</v>
      </c>
      <c r="S1015">
        <v>6726</v>
      </c>
      <c r="T1015" t="s">
        <v>40</v>
      </c>
      <c r="U1015">
        <f>+IF(Tabla1[[#This Row],[MONEDA]]="PEN",Tabla1[[#This Row],[MONTO]],Tabla1[[#This Row],[MONTO]]*3.56)</f>
        <v>6726</v>
      </c>
      <c r="X1015" t="s">
        <v>41</v>
      </c>
      <c r="Y1015" t="s">
        <v>42</v>
      </c>
      <c r="Z1015" t="s">
        <v>43</v>
      </c>
      <c r="AA1015" t="s">
        <v>4693</v>
      </c>
      <c r="AB1015" t="s">
        <v>4694</v>
      </c>
      <c r="AC1015" t="s">
        <v>4695</v>
      </c>
      <c r="AD1015" t="s">
        <v>4696</v>
      </c>
      <c r="AE1015">
        <v>6053.4</v>
      </c>
      <c r="AG1015" t="s">
        <v>169</v>
      </c>
    </row>
    <row r="1016" spans="1:33" hidden="1" x14ac:dyDescent="0.25">
      <c r="A1016">
        <v>31427</v>
      </c>
      <c r="B1016" t="s">
        <v>32</v>
      </c>
      <c r="C1016">
        <v>1</v>
      </c>
      <c r="D1016" t="s">
        <v>5708</v>
      </c>
      <c r="E1016" t="s">
        <v>70</v>
      </c>
      <c r="F1016" t="s">
        <v>33</v>
      </c>
      <c r="G1016" t="s">
        <v>71</v>
      </c>
      <c r="H1016" t="s">
        <v>72</v>
      </c>
      <c r="I1016" t="s">
        <v>5709</v>
      </c>
      <c r="J1016" t="s">
        <v>5710</v>
      </c>
      <c r="K1016" t="s">
        <v>36</v>
      </c>
      <c r="L1016" t="s">
        <v>33</v>
      </c>
      <c r="M1016">
        <v>20603063393</v>
      </c>
      <c r="N1016" t="s">
        <v>469</v>
      </c>
      <c r="O1016" t="s">
        <v>76</v>
      </c>
      <c r="P1016" t="s">
        <v>38</v>
      </c>
      <c r="Q1016">
        <v>4309395103062</v>
      </c>
      <c r="R1016" t="s">
        <v>5711</v>
      </c>
      <c r="S1016">
        <v>3540</v>
      </c>
      <c r="T1016" t="s">
        <v>40</v>
      </c>
      <c r="U1016">
        <f>+IF(Tabla1[[#This Row],[MONEDA]]="PEN",Tabla1[[#This Row],[MONTO]],Tabla1[[#This Row],[MONTO]]*3.56)</f>
        <v>3540</v>
      </c>
      <c r="X1016" t="s">
        <v>828</v>
      </c>
      <c r="Y1016" t="s">
        <v>42</v>
      </c>
      <c r="Z1016" t="s">
        <v>43</v>
      </c>
      <c r="AA1016" t="s">
        <v>5712</v>
      </c>
      <c r="AB1016" t="s">
        <v>5713</v>
      </c>
      <c r="AC1016" t="s">
        <v>5714</v>
      </c>
      <c r="AD1016" t="s">
        <v>5715</v>
      </c>
      <c r="AE1016">
        <v>3186</v>
      </c>
      <c r="AF1016" t="s">
        <v>87</v>
      </c>
      <c r="AG1016" t="s">
        <v>169</v>
      </c>
    </row>
    <row r="1017" spans="1:33" hidden="1" x14ac:dyDescent="0.25">
      <c r="A1017">
        <v>31429</v>
      </c>
      <c r="B1017" t="s">
        <v>32</v>
      </c>
      <c r="C1017">
        <v>1</v>
      </c>
      <c r="D1017" t="s">
        <v>5793</v>
      </c>
      <c r="E1017" t="s">
        <v>70</v>
      </c>
      <c r="F1017" t="s">
        <v>33</v>
      </c>
      <c r="G1017" t="s">
        <v>71</v>
      </c>
      <c r="H1017" t="s">
        <v>35</v>
      </c>
      <c r="I1017" t="s">
        <v>5794</v>
      </c>
      <c r="J1017" t="s">
        <v>5795</v>
      </c>
      <c r="K1017" t="s">
        <v>36</v>
      </c>
      <c r="L1017" t="s">
        <v>33</v>
      </c>
      <c r="M1017">
        <v>20603063393</v>
      </c>
      <c r="N1017" t="s">
        <v>469</v>
      </c>
      <c r="O1017" t="s">
        <v>76</v>
      </c>
      <c r="P1017" t="s">
        <v>38</v>
      </c>
      <c r="Q1017">
        <v>4309395103062</v>
      </c>
      <c r="R1017" t="s">
        <v>5796</v>
      </c>
      <c r="S1017">
        <v>1274.4000000000001</v>
      </c>
      <c r="T1017" t="s">
        <v>40</v>
      </c>
      <c r="U1017">
        <f>+IF(Tabla1[[#This Row],[MONEDA]]="PEN",Tabla1[[#This Row],[MONTO]],Tabla1[[#This Row],[MONTO]]*3.56)</f>
        <v>1274.4000000000001</v>
      </c>
      <c r="X1017" t="s">
        <v>81</v>
      </c>
      <c r="Y1017" t="s">
        <v>42</v>
      </c>
      <c r="Z1017" t="s">
        <v>43</v>
      </c>
      <c r="AA1017" t="s">
        <v>5797</v>
      </c>
      <c r="AB1017" t="s">
        <v>5798</v>
      </c>
      <c r="AC1017" t="s">
        <v>5799</v>
      </c>
      <c r="AD1017" t="s">
        <v>5800</v>
      </c>
      <c r="AE1017">
        <v>1146.96</v>
      </c>
      <c r="AF1017" t="s">
        <v>87</v>
      </c>
      <c r="AG1017" t="s">
        <v>169</v>
      </c>
    </row>
    <row r="1018" spans="1:33" hidden="1" x14ac:dyDescent="0.25">
      <c r="A1018">
        <v>29727</v>
      </c>
      <c r="B1018" t="s">
        <v>32</v>
      </c>
      <c r="C1018">
        <v>1</v>
      </c>
      <c r="D1018" t="s">
        <v>6735</v>
      </c>
      <c r="E1018" t="s">
        <v>70</v>
      </c>
      <c r="F1018" t="s">
        <v>33</v>
      </c>
      <c r="G1018" t="s">
        <v>71</v>
      </c>
      <c r="H1018" t="s">
        <v>72</v>
      </c>
      <c r="I1018" t="s">
        <v>6714</v>
      </c>
      <c r="J1018" t="s">
        <v>6736</v>
      </c>
      <c r="K1018" t="s">
        <v>36</v>
      </c>
      <c r="L1018" t="s">
        <v>33</v>
      </c>
      <c r="M1018">
        <v>20603063393</v>
      </c>
      <c r="N1018" t="s">
        <v>469</v>
      </c>
      <c r="O1018" t="s">
        <v>76</v>
      </c>
      <c r="P1018" t="s">
        <v>38</v>
      </c>
      <c r="Q1018">
        <v>4309395103062</v>
      </c>
      <c r="R1018" t="s">
        <v>6737</v>
      </c>
      <c r="S1018">
        <v>955.8</v>
      </c>
      <c r="T1018" t="s">
        <v>40</v>
      </c>
      <c r="U1018">
        <f>+IF(Tabla1[[#This Row],[MONEDA]]="PEN",Tabla1[[#This Row],[MONTO]],Tabla1[[#This Row],[MONTO]]*3.56)</f>
        <v>955.8</v>
      </c>
      <c r="X1018" t="s">
        <v>41</v>
      </c>
      <c r="Y1018" t="s">
        <v>42</v>
      </c>
      <c r="Z1018" t="s">
        <v>43</v>
      </c>
      <c r="AA1018" t="s">
        <v>6738</v>
      </c>
      <c r="AB1018" t="s">
        <v>6739</v>
      </c>
      <c r="AC1018" t="s">
        <v>6740</v>
      </c>
      <c r="AD1018" t="s">
        <v>6741</v>
      </c>
      <c r="AE1018">
        <v>860.22</v>
      </c>
      <c r="AF1018" t="s">
        <v>87</v>
      </c>
      <c r="AG1018" t="s">
        <v>169</v>
      </c>
    </row>
    <row r="1019" spans="1:33" hidden="1" x14ac:dyDescent="0.25">
      <c r="A1019">
        <v>29747</v>
      </c>
      <c r="B1019" t="s">
        <v>32</v>
      </c>
      <c r="C1019">
        <v>1</v>
      </c>
      <c r="D1019" t="s">
        <v>6760</v>
      </c>
      <c r="E1019" t="s">
        <v>70</v>
      </c>
      <c r="F1019" t="s">
        <v>33</v>
      </c>
      <c r="G1019" t="s">
        <v>71</v>
      </c>
      <c r="H1019" t="s">
        <v>72</v>
      </c>
      <c r="I1019" t="s">
        <v>6714</v>
      </c>
      <c r="J1019" t="s">
        <v>6761</v>
      </c>
      <c r="K1019" t="s">
        <v>36</v>
      </c>
      <c r="L1019" t="s">
        <v>33</v>
      </c>
      <c r="M1019">
        <v>20603063393</v>
      </c>
      <c r="N1019" t="s">
        <v>469</v>
      </c>
      <c r="O1019" t="s">
        <v>76</v>
      </c>
      <c r="P1019" t="s">
        <v>38</v>
      </c>
      <c r="Q1019">
        <v>4309395103062</v>
      </c>
      <c r="R1019" t="s">
        <v>6762</v>
      </c>
      <c r="S1019">
        <v>1681.5</v>
      </c>
      <c r="T1019" t="s">
        <v>40</v>
      </c>
      <c r="U1019">
        <f>+IF(Tabla1[[#This Row],[MONEDA]]="PEN",Tabla1[[#This Row],[MONTO]],Tabla1[[#This Row],[MONTO]]*3.56)</f>
        <v>1681.5</v>
      </c>
      <c r="X1019" t="s">
        <v>41</v>
      </c>
      <c r="Y1019" t="s">
        <v>42</v>
      </c>
      <c r="Z1019" t="s">
        <v>43</v>
      </c>
      <c r="AA1019" t="s">
        <v>6763</v>
      </c>
      <c r="AB1019" t="s">
        <v>6764</v>
      </c>
      <c r="AC1019" t="s">
        <v>6765</v>
      </c>
      <c r="AD1019" t="s">
        <v>6766</v>
      </c>
      <c r="AE1019">
        <v>1513.35</v>
      </c>
      <c r="AF1019" t="s">
        <v>87</v>
      </c>
      <c r="AG1019" t="s">
        <v>169</v>
      </c>
    </row>
    <row r="1020" spans="1:33" x14ac:dyDescent="0.25">
      <c r="A1020">
        <v>28137</v>
      </c>
      <c r="B1020" t="s">
        <v>32</v>
      </c>
      <c r="C1020">
        <v>3</v>
      </c>
      <c r="D1020" t="s">
        <v>7576</v>
      </c>
      <c r="E1020" t="s">
        <v>70</v>
      </c>
      <c r="F1020" t="s">
        <v>90</v>
      </c>
      <c r="G1020" t="s">
        <v>91</v>
      </c>
      <c r="H1020" t="s">
        <v>72</v>
      </c>
      <c r="I1020" t="s">
        <v>7531</v>
      </c>
      <c r="J1020" t="s">
        <v>7577</v>
      </c>
      <c r="K1020" t="s">
        <v>36</v>
      </c>
      <c r="L1020" t="s">
        <v>33</v>
      </c>
      <c r="M1020">
        <v>20603063393</v>
      </c>
      <c r="N1020" t="s">
        <v>469</v>
      </c>
      <c r="P1020" t="s">
        <v>38</v>
      </c>
      <c r="Q1020">
        <v>4309395103062</v>
      </c>
      <c r="R1020" t="s">
        <v>7578</v>
      </c>
      <c r="S1020">
        <v>5380.8</v>
      </c>
      <c r="T1020" t="s">
        <v>40</v>
      </c>
      <c r="U1020">
        <f>+IF(Tabla1[[#This Row],[MONEDA]]="PEN",Tabla1[[#This Row],[MONTO]],Tabla1[[#This Row],[MONTO]]*3.56)</f>
        <v>5380.8</v>
      </c>
      <c r="X1020" t="s">
        <v>41</v>
      </c>
      <c r="Y1020" t="s">
        <v>42</v>
      </c>
      <c r="Z1020" t="s">
        <v>43</v>
      </c>
      <c r="AA1020" t="s">
        <v>7579</v>
      </c>
      <c r="AB1020" t="s">
        <v>7580</v>
      </c>
      <c r="AC1020" t="s">
        <v>7581</v>
      </c>
      <c r="AD1020" t="s">
        <v>7582</v>
      </c>
      <c r="AE1020">
        <v>4842.72</v>
      </c>
      <c r="AF1020" t="s">
        <v>87</v>
      </c>
      <c r="AG1020" t="s">
        <v>169</v>
      </c>
    </row>
    <row r="1021" spans="1:33" x14ac:dyDescent="0.25">
      <c r="A1021">
        <v>28255</v>
      </c>
      <c r="B1021" t="s">
        <v>32</v>
      </c>
      <c r="C1021">
        <v>1</v>
      </c>
      <c r="D1021" t="s">
        <v>7866</v>
      </c>
      <c r="E1021" t="s">
        <v>70</v>
      </c>
      <c r="F1021" t="s">
        <v>5328</v>
      </c>
      <c r="G1021" t="s">
        <v>5329</v>
      </c>
      <c r="H1021" t="s">
        <v>72</v>
      </c>
      <c r="I1021" t="s">
        <v>7852</v>
      </c>
      <c r="J1021" t="s">
        <v>7867</v>
      </c>
      <c r="K1021" t="s">
        <v>36</v>
      </c>
      <c r="L1021" t="s">
        <v>33</v>
      </c>
      <c r="M1021">
        <v>20603063393</v>
      </c>
      <c r="N1021" t="s">
        <v>469</v>
      </c>
      <c r="O1021" t="s">
        <v>6159</v>
      </c>
      <c r="P1021" t="s">
        <v>38</v>
      </c>
      <c r="Q1021">
        <v>4309395103062</v>
      </c>
      <c r="R1021" t="s">
        <v>7868</v>
      </c>
      <c r="S1021">
        <v>3363</v>
      </c>
      <c r="T1021" t="s">
        <v>40</v>
      </c>
      <c r="U1021">
        <f>+IF(Tabla1[[#This Row],[MONEDA]]="PEN",Tabla1[[#This Row],[MONTO]],Tabla1[[#This Row],[MONTO]]*3.56)</f>
        <v>3363</v>
      </c>
      <c r="X1021" t="s">
        <v>81</v>
      </c>
      <c r="Y1021" t="s">
        <v>42</v>
      </c>
      <c r="Z1021" t="s">
        <v>43</v>
      </c>
      <c r="AA1021" t="s">
        <v>7869</v>
      </c>
      <c r="AB1021" t="s">
        <v>7870</v>
      </c>
      <c r="AC1021" t="s">
        <v>7871</v>
      </c>
      <c r="AD1021" t="s">
        <v>7872</v>
      </c>
      <c r="AE1021">
        <v>3026.7</v>
      </c>
      <c r="AF1021" t="s">
        <v>87</v>
      </c>
      <c r="AG1021" t="s">
        <v>169</v>
      </c>
    </row>
    <row r="1022" spans="1:33" hidden="1" x14ac:dyDescent="0.25">
      <c r="A1022">
        <v>26804</v>
      </c>
      <c r="B1022" t="s">
        <v>32</v>
      </c>
      <c r="C1022">
        <v>1</v>
      </c>
      <c r="D1022" t="s">
        <v>8988</v>
      </c>
      <c r="E1022" t="s">
        <v>70</v>
      </c>
      <c r="F1022" t="s">
        <v>33</v>
      </c>
      <c r="G1022" t="s">
        <v>71</v>
      </c>
      <c r="H1022" t="s">
        <v>72</v>
      </c>
      <c r="I1022" t="s">
        <v>8972</v>
      </c>
      <c r="J1022" t="s">
        <v>8989</v>
      </c>
      <c r="K1022" t="s">
        <v>36</v>
      </c>
      <c r="L1022" t="s">
        <v>33</v>
      </c>
      <c r="M1022">
        <v>20603063393</v>
      </c>
      <c r="N1022" t="s">
        <v>469</v>
      </c>
      <c r="O1022" t="s">
        <v>76</v>
      </c>
      <c r="P1022" t="s">
        <v>38</v>
      </c>
      <c r="Q1022">
        <v>4309395103062</v>
      </c>
      <c r="R1022" t="s">
        <v>8990</v>
      </c>
      <c r="S1022">
        <v>436.6</v>
      </c>
      <c r="T1022" t="s">
        <v>40</v>
      </c>
      <c r="U1022">
        <f>+IF(Tabla1[[#This Row],[MONEDA]]="PEN",Tabla1[[#This Row],[MONTO]],Tabla1[[#This Row],[MONTO]]*3.56)</f>
        <v>436.6</v>
      </c>
      <c r="X1022" t="s">
        <v>81</v>
      </c>
      <c r="Y1022" t="s">
        <v>42</v>
      </c>
      <c r="Z1022" t="s">
        <v>43</v>
      </c>
      <c r="AA1022" t="s">
        <v>8991</v>
      </c>
      <c r="AB1022" t="s">
        <v>8992</v>
      </c>
      <c r="AC1022" t="s">
        <v>8993</v>
      </c>
      <c r="AD1022" t="s">
        <v>8994</v>
      </c>
      <c r="AE1022">
        <v>436.6</v>
      </c>
      <c r="AF1022" t="s">
        <v>87</v>
      </c>
      <c r="AG1022" t="s">
        <v>169</v>
      </c>
    </row>
    <row r="1023" spans="1:33" hidden="1" x14ac:dyDescent="0.25">
      <c r="A1023">
        <v>25913</v>
      </c>
      <c r="B1023" t="s">
        <v>32</v>
      </c>
      <c r="C1023">
        <v>2</v>
      </c>
      <c r="D1023" t="s">
        <v>9567</v>
      </c>
      <c r="E1023" t="s">
        <v>70</v>
      </c>
      <c r="F1023" t="s">
        <v>33</v>
      </c>
      <c r="G1023" t="s">
        <v>71</v>
      </c>
      <c r="H1023" t="s">
        <v>72</v>
      </c>
      <c r="I1023" t="s">
        <v>9519</v>
      </c>
      <c r="J1023" t="s">
        <v>9568</v>
      </c>
      <c r="K1023" t="s">
        <v>36</v>
      </c>
      <c r="L1023" t="s">
        <v>33</v>
      </c>
      <c r="M1023">
        <v>20603063393</v>
      </c>
      <c r="N1023" t="s">
        <v>469</v>
      </c>
      <c r="O1023" t="s">
        <v>76</v>
      </c>
      <c r="P1023" t="s">
        <v>38</v>
      </c>
      <c r="Q1023">
        <v>4309395103062</v>
      </c>
      <c r="R1023" t="s">
        <v>9569</v>
      </c>
      <c r="S1023">
        <v>2171.1999999999998</v>
      </c>
      <c r="T1023" t="s">
        <v>40</v>
      </c>
      <c r="U1023">
        <f>+IF(Tabla1[[#This Row],[MONEDA]]="PEN",Tabla1[[#This Row],[MONTO]],Tabla1[[#This Row],[MONTO]]*3.56)</f>
        <v>2171.1999999999998</v>
      </c>
      <c r="X1023" t="s">
        <v>41</v>
      </c>
      <c r="Y1023" t="s">
        <v>42</v>
      </c>
      <c r="Z1023" t="s">
        <v>82</v>
      </c>
      <c r="AA1023" t="s">
        <v>9570</v>
      </c>
      <c r="AB1023" t="s">
        <v>9571</v>
      </c>
      <c r="AC1023" t="s">
        <v>9572</v>
      </c>
      <c r="AD1023" t="s">
        <v>9573</v>
      </c>
      <c r="AE1023">
        <v>1954.08</v>
      </c>
      <c r="AF1023" t="s">
        <v>87</v>
      </c>
      <c r="AG1023" t="s">
        <v>169</v>
      </c>
    </row>
    <row r="1024" spans="1:33" hidden="1" x14ac:dyDescent="0.25">
      <c r="A1024">
        <v>25663</v>
      </c>
      <c r="B1024" t="s">
        <v>32</v>
      </c>
      <c r="C1024">
        <v>1</v>
      </c>
      <c r="D1024" t="s">
        <v>9660</v>
      </c>
      <c r="E1024" t="s">
        <v>70</v>
      </c>
      <c r="F1024" t="s">
        <v>33</v>
      </c>
      <c r="G1024" t="s">
        <v>71</v>
      </c>
      <c r="H1024" t="s">
        <v>72</v>
      </c>
      <c r="I1024" t="s">
        <v>9631</v>
      </c>
      <c r="J1024" t="s">
        <v>9661</v>
      </c>
      <c r="K1024" t="s">
        <v>36</v>
      </c>
      <c r="L1024" t="s">
        <v>33</v>
      </c>
      <c r="M1024">
        <v>20603063393</v>
      </c>
      <c r="N1024" t="s">
        <v>469</v>
      </c>
      <c r="O1024" t="s">
        <v>76</v>
      </c>
      <c r="P1024" t="s">
        <v>38</v>
      </c>
      <c r="Q1024">
        <v>4309395103062</v>
      </c>
      <c r="R1024" t="s">
        <v>9662</v>
      </c>
      <c r="S1024">
        <v>708</v>
      </c>
      <c r="T1024" t="s">
        <v>40</v>
      </c>
      <c r="U1024">
        <f>+IF(Tabla1[[#This Row],[MONEDA]]="PEN",Tabla1[[#This Row],[MONTO]],Tabla1[[#This Row],[MONTO]]*3.56)</f>
        <v>708</v>
      </c>
      <c r="X1024" t="s">
        <v>828</v>
      </c>
      <c r="Y1024" t="s">
        <v>42</v>
      </c>
      <c r="Z1024" t="s">
        <v>82</v>
      </c>
      <c r="AA1024" t="s">
        <v>9663</v>
      </c>
      <c r="AB1024" t="s">
        <v>9664</v>
      </c>
      <c r="AC1024" t="s">
        <v>9665</v>
      </c>
      <c r="AD1024" t="s">
        <v>9666</v>
      </c>
      <c r="AE1024">
        <v>637.20000000000005</v>
      </c>
      <c r="AF1024" t="s">
        <v>87</v>
      </c>
      <c r="AG1024" t="s">
        <v>169</v>
      </c>
    </row>
    <row r="1025" spans="1:33" hidden="1" x14ac:dyDescent="0.25">
      <c r="A1025">
        <v>23421</v>
      </c>
      <c r="B1025" t="s">
        <v>32</v>
      </c>
      <c r="C1025">
        <v>1</v>
      </c>
      <c r="D1025" t="s">
        <v>11228</v>
      </c>
      <c r="E1025" t="s">
        <v>70</v>
      </c>
      <c r="F1025" t="s">
        <v>33</v>
      </c>
      <c r="G1025" t="s">
        <v>9422</v>
      </c>
      <c r="H1025" t="s">
        <v>72</v>
      </c>
      <c r="I1025" t="s">
        <v>11200</v>
      </c>
      <c r="J1025" t="s">
        <v>11229</v>
      </c>
      <c r="K1025" t="s">
        <v>36</v>
      </c>
      <c r="L1025" t="s">
        <v>33</v>
      </c>
      <c r="M1025">
        <v>20603063393</v>
      </c>
      <c r="N1025" t="s">
        <v>469</v>
      </c>
      <c r="O1025" t="s">
        <v>9423</v>
      </c>
      <c r="P1025" t="s">
        <v>38</v>
      </c>
      <c r="Q1025">
        <v>4309395103062</v>
      </c>
      <c r="R1025" t="s">
        <v>11230</v>
      </c>
      <c r="S1025">
        <v>1800</v>
      </c>
      <c r="T1025" t="s">
        <v>40</v>
      </c>
      <c r="U1025">
        <f>+IF(Tabla1[[#This Row],[MONEDA]]="PEN",Tabla1[[#This Row],[MONTO]],Tabla1[[#This Row],[MONTO]]*3.56)</f>
        <v>1800</v>
      </c>
      <c r="X1025" t="s">
        <v>828</v>
      </c>
      <c r="Y1025" t="s">
        <v>42</v>
      </c>
      <c r="Z1025" t="s">
        <v>43</v>
      </c>
      <c r="AA1025" t="s">
        <v>11231</v>
      </c>
      <c r="AB1025" t="s">
        <v>11232</v>
      </c>
      <c r="AC1025" t="s">
        <v>11233</v>
      </c>
      <c r="AD1025" t="s">
        <v>11234</v>
      </c>
      <c r="AE1025">
        <v>1911.6</v>
      </c>
      <c r="AF1025" t="s">
        <v>87</v>
      </c>
      <c r="AG1025" t="s">
        <v>169</v>
      </c>
    </row>
    <row r="1026" spans="1:33" hidden="1" x14ac:dyDescent="0.25">
      <c r="A1026">
        <v>23065</v>
      </c>
      <c r="B1026" t="s">
        <v>32</v>
      </c>
      <c r="C1026">
        <v>1</v>
      </c>
      <c r="D1026" t="s">
        <v>11235</v>
      </c>
      <c r="E1026" t="s">
        <v>70</v>
      </c>
      <c r="F1026" t="s">
        <v>33</v>
      </c>
      <c r="G1026" t="s">
        <v>9422</v>
      </c>
      <c r="H1026" t="s">
        <v>72</v>
      </c>
      <c r="I1026" t="s">
        <v>11236</v>
      </c>
      <c r="J1026" t="s">
        <v>11237</v>
      </c>
      <c r="K1026" t="s">
        <v>36</v>
      </c>
      <c r="L1026" t="s">
        <v>33</v>
      </c>
      <c r="M1026">
        <v>20603063393</v>
      </c>
      <c r="N1026" t="s">
        <v>469</v>
      </c>
      <c r="O1026" t="s">
        <v>9423</v>
      </c>
      <c r="P1026" t="s">
        <v>38</v>
      </c>
      <c r="Q1026">
        <v>4309395103062</v>
      </c>
      <c r="R1026" t="s">
        <v>11238</v>
      </c>
      <c r="S1026">
        <v>1500</v>
      </c>
      <c r="T1026" t="s">
        <v>40</v>
      </c>
      <c r="U1026">
        <f>+IF(Tabla1[[#This Row],[MONEDA]]="PEN",Tabla1[[#This Row],[MONTO]],Tabla1[[#This Row],[MONTO]]*3.56)</f>
        <v>1500</v>
      </c>
      <c r="X1026" t="s">
        <v>41</v>
      </c>
      <c r="Y1026" t="s">
        <v>42</v>
      </c>
      <c r="Z1026" t="s">
        <v>82</v>
      </c>
      <c r="AA1026" t="s">
        <v>11239</v>
      </c>
      <c r="AB1026" t="s">
        <v>11240</v>
      </c>
      <c r="AC1026" t="s">
        <v>11241</v>
      </c>
      <c r="AD1026" t="s">
        <v>11242</v>
      </c>
      <c r="AE1026">
        <v>1593</v>
      </c>
      <c r="AF1026" t="s">
        <v>87</v>
      </c>
      <c r="AG1026" t="s">
        <v>169</v>
      </c>
    </row>
    <row r="1027" spans="1:33" hidden="1" x14ac:dyDescent="0.25">
      <c r="A1027">
        <v>23081</v>
      </c>
      <c r="B1027" t="s">
        <v>32</v>
      </c>
      <c r="C1027">
        <v>1</v>
      </c>
      <c r="D1027" t="s">
        <v>11607</v>
      </c>
      <c r="E1027" t="s">
        <v>70</v>
      </c>
      <c r="F1027" t="s">
        <v>33</v>
      </c>
      <c r="G1027" t="s">
        <v>9422</v>
      </c>
      <c r="H1027" t="s">
        <v>72</v>
      </c>
      <c r="I1027" t="s">
        <v>11573</v>
      </c>
      <c r="J1027" t="s">
        <v>11608</v>
      </c>
      <c r="K1027" t="s">
        <v>36</v>
      </c>
      <c r="L1027" t="s">
        <v>33</v>
      </c>
      <c r="M1027">
        <v>20603063393</v>
      </c>
      <c r="N1027" t="s">
        <v>469</v>
      </c>
      <c r="O1027" t="s">
        <v>9423</v>
      </c>
      <c r="P1027" t="s">
        <v>38</v>
      </c>
      <c r="Q1027">
        <v>4309395103062</v>
      </c>
      <c r="R1027" t="s">
        <v>11609</v>
      </c>
      <c r="S1027">
        <v>1725</v>
      </c>
      <c r="T1027" t="s">
        <v>40</v>
      </c>
      <c r="U1027">
        <f>+IF(Tabla1[[#This Row],[MONEDA]]="PEN",Tabla1[[#This Row],[MONTO]],Tabla1[[#This Row],[MONTO]]*3.56)</f>
        <v>1725</v>
      </c>
      <c r="X1027" t="s">
        <v>41</v>
      </c>
      <c r="Y1027" t="s">
        <v>42</v>
      </c>
      <c r="Z1027" t="s">
        <v>43</v>
      </c>
      <c r="AA1027" t="s">
        <v>11610</v>
      </c>
      <c r="AB1027" t="s">
        <v>11611</v>
      </c>
      <c r="AC1027" t="s">
        <v>11612</v>
      </c>
      <c r="AD1027" t="s">
        <v>11613</v>
      </c>
      <c r="AE1027">
        <v>1831.95</v>
      </c>
      <c r="AF1027" t="s">
        <v>87</v>
      </c>
      <c r="AG1027" t="s">
        <v>169</v>
      </c>
    </row>
    <row r="1028" spans="1:33" hidden="1" x14ac:dyDescent="0.25">
      <c r="A1028">
        <v>22628</v>
      </c>
      <c r="B1028" t="s">
        <v>32</v>
      </c>
      <c r="C1028">
        <v>1</v>
      </c>
      <c r="D1028" t="s">
        <v>11756</v>
      </c>
      <c r="E1028" t="s">
        <v>70</v>
      </c>
      <c r="F1028" t="s">
        <v>33</v>
      </c>
      <c r="G1028" t="s">
        <v>9422</v>
      </c>
      <c r="H1028" t="s">
        <v>72</v>
      </c>
      <c r="I1028" t="s">
        <v>11757</v>
      </c>
      <c r="J1028" t="s">
        <v>11758</v>
      </c>
      <c r="K1028" t="s">
        <v>36</v>
      </c>
      <c r="L1028" t="s">
        <v>33</v>
      </c>
      <c r="M1028">
        <v>20603063393</v>
      </c>
      <c r="N1028" t="s">
        <v>469</v>
      </c>
      <c r="O1028" t="s">
        <v>9423</v>
      </c>
      <c r="P1028" t="s">
        <v>38</v>
      </c>
      <c r="Q1028">
        <v>4309395103062</v>
      </c>
      <c r="R1028" t="s">
        <v>11759</v>
      </c>
      <c r="S1028">
        <v>900</v>
      </c>
      <c r="T1028" t="s">
        <v>40</v>
      </c>
      <c r="U1028">
        <f>+IF(Tabla1[[#This Row],[MONEDA]]="PEN",Tabla1[[#This Row],[MONTO]],Tabla1[[#This Row],[MONTO]]*3.56)</f>
        <v>900</v>
      </c>
      <c r="X1028" t="s">
        <v>828</v>
      </c>
      <c r="Y1028" t="s">
        <v>42</v>
      </c>
      <c r="Z1028" t="s">
        <v>43</v>
      </c>
      <c r="AA1028" t="s">
        <v>11760</v>
      </c>
      <c r="AB1028" t="s">
        <v>11761</v>
      </c>
      <c r="AC1028" t="s">
        <v>11762</v>
      </c>
      <c r="AD1028" t="s">
        <v>11763</v>
      </c>
      <c r="AE1028">
        <v>955.8</v>
      </c>
      <c r="AF1028" t="s">
        <v>87</v>
      </c>
      <c r="AG1028" t="s">
        <v>169</v>
      </c>
    </row>
    <row r="1029" spans="1:33" hidden="1" x14ac:dyDescent="0.25">
      <c r="A1029">
        <v>22309</v>
      </c>
      <c r="B1029" t="s">
        <v>32</v>
      </c>
      <c r="C1029">
        <v>1</v>
      </c>
      <c r="D1029" t="s">
        <v>11874</v>
      </c>
      <c r="E1029" t="s">
        <v>70</v>
      </c>
      <c r="F1029" t="s">
        <v>33</v>
      </c>
      <c r="G1029" t="s">
        <v>9422</v>
      </c>
      <c r="H1029" t="s">
        <v>72</v>
      </c>
      <c r="I1029" t="s">
        <v>11875</v>
      </c>
      <c r="J1029" t="s">
        <v>11876</v>
      </c>
      <c r="K1029" t="s">
        <v>36</v>
      </c>
      <c r="L1029" t="s">
        <v>33</v>
      </c>
      <c r="M1029">
        <v>20603063393</v>
      </c>
      <c r="N1029" t="s">
        <v>469</v>
      </c>
      <c r="O1029" t="s">
        <v>9423</v>
      </c>
      <c r="P1029" t="s">
        <v>38</v>
      </c>
      <c r="Q1029">
        <v>4309395103062</v>
      </c>
      <c r="R1029" t="s">
        <v>11877</v>
      </c>
      <c r="S1029">
        <v>600</v>
      </c>
      <c r="T1029" t="s">
        <v>40</v>
      </c>
      <c r="U1029">
        <f>+IF(Tabla1[[#This Row],[MONEDA]]="PEN",Tabla1[[#This Row],[MONTO]],Tabla1[[#This Row],[MONTO]]*3.56)</f>
        <v>600</v>
      </c>
      <c r="X1029" t="s">
        <v>81</v>
      </c>
      <c r="Y1029" t="s">
        <v>42</v>
      </c>
      <c r="Z1029" t="s">
        <v>43</v>
      </c>
      <c r="AA1029" t="s">
        <v>11878</v>
      </c>
      <c r="AB1029" t="s">
        <v>11879</v>
      </c>
      <c r="AC1029" t="s">
        <v>11880</v>
      </c>
      <c r="AD1029" t="s">
        <v>11881</v>
      </c>
      <c r="AE1029">
        <v>708</v>
      </c>
      <c r="AF1029" t="s">
        <v>87</v>
      </c>
      <c r="AG1029" t="s">
        <v>169</v>
      </c>
    </row>
    <row r="1030" spans="1:33" hidden="1" x14ac:dyDescent="0.25">
      <c r="A1030">
        <v>42438</v>
      </c>
      <c r="B1030" t="s">
        <v>32</v>
      </c>
      <c r="C1030">
        <v>3</v>
      </c>
      <c r="D1030" t="s">
        <v>1113</v>
      </c>
      <c r="E1030" t="s">
        <v>45</v>
      </c>
      <c r="F1030" t="s">
        <v>33</v>
      </c>
      <c r="G1030" t="s">
        <v>34</v>
      </c>
      <c r="H1030" t="s">
        <v>35</v>
      </c>
      <c r="I1030" t="s">
        <v>1114</v>
      </c>
      <c r="J1030" t="s">
        <v>1115</v>
      </c>
      <c r="K1030" t="s">
        <v>36</v>
      </c>
      <c r="L1030" t="s">
        <v>33</v>
      </c>
      <c r="M1030">
        <v>20603063393</v>
      </c>
      <c r="N1030" t="s">
        <v>469</v>
      </c>
      <c r="P1030" t="s">
        <v>38</v>
      </c>
      <c r="Q1030">
        <v>4309395103062</v>
      </c>
      <c r="R1030" t="s">
        <v>1116</v>
      </c>
      <c r="S1030">
        <v>6950.2</v>
      </c>
      <c r="T1030" t="s">
        <v>40</v>
      </c>
      <c r="U1030">
        <f>+IF(Tabla1[[#This Row],[MONEDA]]="PEN",Tabla1[[#This Row],[MONTO]],Tabla1[[#This Row],[MONTO]]*3.56)</f>
        <v>6950.2</v>
      </c>
      <c r="X1030" t="s">
        <v>41</v>
      </c>
      <c r="Y1030" t="s">
        <v>51</v>
      </c>
      <c r="Z1030" t="s">
        <v>43</v>
      </c>
      <c r="AB1030" t="s">
        <v>1117</v>
      </c>
      <c r="AD1030" t="s">
        <v>1118</v>
      </c>
    </row>
    <row r="1031" spans="1:33" x14ac:dyDescent="0.25">
      <c r="A1031">
        <v>39112</v>
      </c>
      <c r="B1031" t="s">
        <v>32</v>
      </c>
      <c r="C1031">
        <v>1</v>
      </c>
      <c r="D1031" t="s">
        <v>2556</v>
      </c>
      <c r="E1031" t="s">
        <v>45</v>
      </c>
      <c r="F1031" t="s">
        <v>90</v>
      </c>
      <c r="G1031" t="s">
        <v>91</v>
      </c>
      <c r="H1031" t="s">
        <v>35</v>
      </c>
      <c r="I1031" t="s">
        <v>2552</v>
      </c>
      <c r="J1031" t="s">
        <v>2557</v>
      </c>
      <c r="K1031" t="s">
        <v>36</v>
      </c>
      <c r="L1031" t="s">
        <v>33</v>
      </c>
      <c r="M1031">
        <v>20603063393</v>
      </c>
      <c r="N1031" t="s">
        <v>469</v>
      </c>
      <c r="P1031" t="s">
        <v>38</v>
      </c>
      <c r="Q1031">
        <v>4309395103062</v>
      </c>
      <c r="R1031" t="s">
        <v>2558</v>
      </c>
      <c r="S1031">
        <v>6501.8</v>
      </c>
      <c r="T1031" t="s">
        <v>40</v>
      </c>
      <c r="U1031">
        <f>+IF(Tabla1[[#This Row],[MONEDA]]="PEN",Tabla1[[#This Row],[MONTO]],Tabla1[[#This Row],[MONTO]]*3.56)</f>
        <v>6501.8</v>
      </c>
      <c r="X1031" t="s">
        <v>41</v>
      </c>
      <c r="Y1031" t="s">
        <v>51</v>
      </c>
      <c r="Z1031" t="s">
        <v>43</v>
      </c>
      <c r="AB1031" t="s">
        <v>2559</v>
      </c>
      <c r="AD1031" t="s">
        <v>2560</v>
      </c>
    </row>
    <row r="1032" spans="1:33" x14ac:dyDescent="0.25">
      <c r="A1032">
        <v>37317</v>
      </c>
      <c r="B1032" t="s">
        <v>32</v>
      </c>
      <c r="C1032">
        <v>1</v>
      </c>
      <c r="D1032" t="s">
        <v>3213</v>
      </c>
      <c r="E1032" t="s">
        <v>45</v>
      </c>
      <c r="F1032" t="s">
        <v>90</v>
      </c>
      <c r="G1032" t="s">
        <v>91</v>
      </c>
      <c r="H1032" t="s">
        <v>35</v>
      </c>
      <c r="I1032" t="s">
        <v>3204</v>
      </c>
      <c r="J1032" t="s">
        <v>3214</v>
      </c>
      <c r="K1032" t="s">
        <v>36</v>
      </c>
      <c r="L1032" t="s">
        <v>33</v>
      </c>
      <c r="M1032">
        <v>20603063393</v>
      </c>
      <c r="N1032" t="s">
        <v>469</v>
      </c>
      <c r="P1032" t="s">
        <v>38</v>
      </c>
      <c r="Q1032">
        <v>4309395103062</v>
      </c>
      <c r="R1032" t="s">
        <v>3215</v>
      </c>
      <c r="S1032">
        <v>6950.2</v>
      </c>
      <c r="T1032" t="s">
        <v>40</v>
      </c>
      <c r="U1032">
        <f>+IF(Tabla1[[#This Row],[MONEDA]]="PEN",Tabla1[[#This Row],[MONTO]],Tabla1[[#This Row],[MONTO]]*3.56)</f>
        <v>6950.2</v>
      </c>
      <c r="X1032" t="s">
        <v>41</v>
      </c>
      <c r="Y1032" t="s">
        <v>51</v>
      </c>
      <c r="Z1032" t="s">
        <v>43</v>
      </c>
      <c r="AB1032" t="s">
        <v>3216</v>
      </c>
    </row>
    <row r="1033" spans="1:33" hidden="1" x14ac:dyDescent="0.25">
      <c r="A1033">
        <v>31925</v>
      </c>
      <c r="B1033" t="s">
        <v>32</v>
      </c>
      <c r="C1033">
        <v>1</v>
      </c>
      <c r="D1033" t="s">
        <v>5440</v>
      </c>
      <c r="E1033" t="s">
        <v>70</v>
      </c>
      <c r="F1033" t="s">
        <v>33</v>
      </c>
      <c r="G1033" t="s">
        <v>71</v>
      </c>
      <c r="H1033" t="s">
        <v>35</v>
      </c>
      <c r="I1033" t="s">
        <v>5441</v>
      </c>
      <c r="J1033" t="s">
        <v>5442</v>
      </c>
      <c r="K1033" t="s">
        <v>36</v>
      </c>
      <c r="L1033" t="s">
        <v>33</v>
      </c>
      <c r="M1033">
        <v>20612261823</v>
      </c>
      <c r="N1033" t="s">
        <v>5443</v>
      </c>
      <c r="O1033" t="s">
        <v>76</v>
      </c>
      <c r="P1033" t="s">
        <v>38</v>
      </c>
      <c r="Q1033">
        <v>1944202946098</v>
      </c>
      <c r="R1033" t="s">
        <v>5444</v>
      </c>
      <c r="S1033">
        <v>1326.67</v>
      </c>
      <c r="T1033" t="s">
        <v>40</v>
      </c>
      <c r="U1033">
        <f>+IF(Tabla1[[#This Row],[MONEDA]]="PEN",Tabla1[[#This Row],[MONTO]],Tabla1[[#This Row],[MONTO]]*3.56)</f>
        <v>1326.67</v>
      </c>
      <c r="X1033" t="s">
        <v>81</v>
      </c>
      <c r="Y1033" t="s">
        <v>42</v>
      </c>
      <c r="Z1033" t="s">
        <v>43</v>
      </c>
      <c r="AA1033" t="s">
        <v>5445</v>
      </c>
      <c r="AB1033" t="s">
        <v>5446</v>
      </c>
      <c r="AC1033" t="s">
        <v>5447</v>
      </c>
      <c r="AD1033" t="s">
        <v>5448</v>
      </c>
      <c r="AE1033">
        <v>1286.8699999999999</v>
      </c>
      <c r="AF1033" t="s">
        <v>87</v>
      </c>
      <c r="AG1033" t="s">
        <v>169</v>
      </c>
    </row>
    <row r="1034" spans="1:33" hidden="1" x14ac:dyDescent="0.25">
      <c r="A1034">
        <v>44473</v>
      </c>
      <c r="B1034" t="s">
        <v>32</v>
      </c>
      <c r="C1034">
        <v>1</v>
      </c>
      <c r="D1034" t="s">
        <v>470</v>
      </c>
      <c r="E1034" t="s">
        <v>70</v>
      </c>
      <c r="F1034" t="s">
        <v>33</v>
      </c>
      <c r="G1034" t="s">
        <v>71</v>
      </c>
      <c r="H1034" t="s">
        <v>35</v>
      </c>
      <c r="I1034" t="s">
        <v>464</v>
      </c>
      <c r="J1034" t="s">
        <v>471</v>
      </c>
      <c r="K1034" t="s">
        <v>36</v>
      </c>
      <c r="L1034" t="s">
        <v>33</v>
      </c>
      <c r="M1034">
        <v>20605189173</v>
      </c>
      <c r="N1034" t="s">
        <v>472</v>
      </c>
      <c r="O1034" t="s">
        <v>76</v>
      </c>
      <c r="P1034" t="s">
        <v>38</v>
      </c>
      <c r="Q1034">
        <v>4302662798081</v>
      </c>
      <c r="R1034" t="s">
        <v>473</v>
      </c>
      <c r="S1034">
        <v>1279</v>
      </c>
      <c r="T1034" t="s">
        <v>40</v>
      </c>
      <c r="U1034">
        <f>+IF(Tabla1[[#This Row],[MONEDA]]="PEN",Tabla1[[#This Row],[MONTO]],Tabla1[[#This Row],[MONTO]]*3.56)</f>
        <v>1279</v>
      </c>
      <c r="X1034" t="s">
        <v>81</v>
      </c>
      <c r="Y1034" t="s">
        <v>51</v>
      </c>
      <c r="Z1034" t="s">
        <v>43</v>
      </c>
      <c r="AA1034" t="s">
        <v>474</v>
      </c>
      <c r="AB1034" t="s">
        <v>475</v>
      </c>
      <c r="AC1034" t="s">
        <v>476</v>
      </c>
      <c r="AE1034">
        <v>1240.6300000000001</v>
      </c>
      <c r="AF1034" t="s">
        <v>87</v>
      </c>
      <c r="AG1034" t="s">
        <v>169</v>
      </c>
    </row>
    <row r="1035" spans="1:33" hidden="1" x14ac:dyDescent="0.25">
      <c r="A1035">
        <v>42734</v>
      </c>
      <c r="B1035" t="s">
        <v>32</v>
      </c>
      <c r="C1035">
        <v>2</v>
      </c>
      <c r="D1035" t="s">
        <v>1000</v>
      </c>
      <c r="E1035" t="s">
        <v>70</v>
      </c>
      <c r="F1035" t="s">
        <v>33</v>
      </c>
      <c r="G1035" t="s">
        <v>71</v>
      </c>
      <c r="H1035" t="s">
        <v>35</v>
      </c>
      <c r="I1035" t="s">
        <v>986</v>
      </c>
      <c r="J1035" t="s">
        <v>1001</v>
      </c>
      <c r="K1035" t="s">
        <v>36</v>
      </c>
      <c r="L1035" t="s">
        <v>33</v>
      </c>
      <c r="M1035">
        <v>20605189173</v>
      </c>
      <c r="N1035" t="s">
        <v>472</v>
      </c>
      <c r="O1035" t="s">
        <v>76</v>
      </c>
      <c r="P1035" t="s">
        <v>38</v>
      </c>
      <c r="Q1035">
        <v>4302662798081</v>
      </c>
      <c r="R1035" t="s">
        <v>1002</v>
      </c>
      <c r="S1035">
        <v>1144.5999999999999</v>
      </c>
      <c r="T1035" t="s">
        <v>40</v>
      </c>
      <c r="U1035">
        <f>+IF(Tabla1[[#This Row],[MONEDA]]="PEN",Tabla1[[#This Row],[MONTO]],Tabla1[[#This Row],[MONTO]]*3.56)</f>
        <v>1144.5999999999999</v>
      </c>
      <c r="X1035" t="s">
        <v>81</v>
      </c>
      <c r="Y1035" t="s">
        <v>42</v>
      </c>
      <c r="Z1035" t="s">
        <v>82</v>
      </c>
      <c r="AA1035" t="s">
        <v>1003</v>
      </c>
      <c r="AB1035" t="s">
        <v>1004</v>
      </c>
      <c r="AC1035" t="s">
        <v>1005</v>
      </c>
      <c r="AD1035" t="s">
        <v>1006</v>
      </c>
      <c r="AE1035">
        <v>1110.26</v>
      </c>
      <c r="AF1035" t="s">
        <v>87</v>
      </c>
      <c r="AG1035" t="s">
        <v>169</v>
      </c>
    </row>
    <row r="1036" spans="1:33" hidden="1" x14ac:dyDescent="0.25">
      <c r="A1036">
        <v>42233</v>
      </c>
      <c r="B1036" t="s">
        <v>32</v>
      </c>
      <c r="C1036">
        <v>1</v>
      </c>
      <c r="D1036" t="s">
        <v>1163</v>
      </c>
      <c r="E1036" t="s">
        <v>70</v>
      </c>
      <c r="F1036" t="s">
        <v>33</v>
      </c>
      <c r="G1036" t="s">
        <v>71</v>
      </c>
      <c r="H1036" t="s">
        <v>35</v>
      </c>
      <c r="I1036" t="s">
        <v>1120</v>
      </c>
      <c r="J1036" t="s">
        <v>1164</v>
      </c>
      <c r="K1036" t="s">
        <v>36</v>
      </c>
      <c r="L1036" t="s">
        <v>33</v>
      </c>
      <c r="M1036">
        <v>20605189173</v>
      </c>
      <c r="N1036" t="s">
        <v>472</v>
      </c>
      <c r="O1036" t="s">
        <v>76</v>
      </c>
      <c r="P1036" t="s">
        <v>38</v>
      </c>
      <c r="Q1036">
        <v>4302662798081</v>
      </c>
      <c r="R1036" t="s">
        <v>1165</v>
      </c>
      <c r="S1036">
        <v>1595</v>
      </c>
      <c r="T1036" t="s">
        <v>40</v>
      </c>
      <c r="U1036">
        <f>+IF(Tabla1[[#This Row],[MONEDA]]="PEN",Tabla1[[#This Row],[MONTO]],Tabla1[[#This Row],[MONTO]]*3.56)</f>
        <v>1595</v>
      </c>
      <c r="X1036" t="s">
        <v>81</v>
      </c>
      <c r="Y1036" t="s">
        <v>42</v>
      </c>
      <c r="Z1036" t="s">
        <v>82</v>
      </c>
      <c r="AA1036" t="s">
        <v>1166</v>
      </c>
      <c r="AB1036" t="s">
        <v>1167</v>
      </c>
      <c r="AC1036" t="s">
        <v>1168</v>
      </c>
      <c r="AD1036" t="s">
        <v>1169</v>
      </c>
      <c r="AE1036">
        <v>1547.15</v>
      </c>
      <c r="AF1036" t="s">
        <v>87</v>
      </c>
      <c r="AG1036" t="s">
        <v>169</v>
      </c>
    </row>
    <row r="1037" spans="1:33" hidden="1" x14ac:dyDescent="0.25">
      <c r="A1037">
        <v>39244</v>
      </c>
      <c r="B1037" t="s">
        <v>32</v>
      </c>
      <c r="C1037">
        <v>1</v>
      </c>
      <c r="D1037" t="s">
        <v>2507</v>
      </c>
      <c r="E1037" t="s">
        <v>70</v>
      </c>
      <c r="F1037" t="s">
        <v>33</v>
      </c>
      <c r="G1037" t="s">
        <v>71</v>
      </c>
      <c r="H1037" t="s">
        <v>35</v>
      </c>
      <c r="I1037" t="s">
        <v>2500</v>
      </c>
      <c r="J1037" t="s">
        <v>2508</v>
      </c>
      <c r="K1037" t="s">
        <v>36</v>
      </c>
      <c r="L1037" t="s">
        <v>33</v>
      </c>
      <c r="M1037">
        <v>20605189173</v>
      </c>
      <c r="N1037" t="s">
        <v>472</v>
      </c>
      <c r="O1037" t="s">
        <v>76</v>
      </c>
      <c r="P1037" t="s">
        <v>38</v>
      </c>
      <c r="Q1037">
        <v>4302662798081</v>
      </c>
      <c r="R1037" t="s">
        <v>2509</v>
      </c>
      <c r="S1037">
        <v>830</v>
      </c>
      <c r="T1037" t="s">
        <v>40</v>
      </c>
      <c r="U1037">
        <f>+IF(Tabla1[[#This Row],[MONEDA]]="PEN",Tabla1[[#This Row],[MONTO]],Tabla1[[#This Row],[MONTO]]*3.56)</f>
        <v>830</v>
      </c>
      <c r="X1037" t="s">
        <v>81</v>
      </c>
      <c r="Y1037" t="s">
        <v>42</v>
      </c>
      <c r="Z1037" t="s">
        <v>82</v>
      </c>
      <c r="AA1037" t="s">
        <v>2510</v>
      </c>
      <c r="AB1037" t="s">
        <v>2511</v>
      </c>
      <c r="AC1037" t="s">
        <v>2512</v>
      </c>
      <c r="AD1037" t="s">
        <v>2513</v>
      </c>
      <c r="AE1037">
        <v>805.1</v>
      </c>
      <c r="AF1037" t="s">
        <v>87</v>
      </c>
      <c r="AG1037" t="s">
        <v>169</v>
      </c>
    </row>
    <row r="1038" spans="1:33" hidden="1" x14ac:dyDescent="0.25">
      <c r="A1038">
        <v>37816</v>
      </c>
      <c r="B1038" t="s">
        <v>32</v>
      </c>
      <c r="C1038">
        <v>1</v>
      </c>
      <c r="D1038" t="s">
        <v>3078</v>
      </c>
      <c r="E1038" t="s">
        <v>70</v>
      </c>
      <c r="F1038" t="s">
        <v>33</v>
      </c>
      <c r="G1038" t="s">
        <v>71</v>
      </c>
      <c r="H1038" t="s">
        <v>35</v>
      </c>
      <c r="I1038" t="s">
        <v>3058</v>
      </c>
      <c r="J1038" t="s">
        <v>3079</v>
      </c>
      <c r="K1038" t="s">
        <v>36</v>
      </c>
      <c r="L1038" t="s">
        <v>33</v>
      </c>
      <c r="M1038">
        <v>20605189173</v>
      </c>
      <c r="N1038" t="s">
        <v>472</v>
      </c>
      <c r="O1038" t="s">
        <v>76</v>
      </c>
      <c r="P1038" t="s">
        <v>38</v>
      </c>
      <c r="Q1038">
        <v>4302662798081</v>
      </c>
      <c r="R1038" t="s">
        <v>3080</v>
      </c>
      <c r="S1038">
        <v>271.39999999999998</v>
      </c>
      <c r="T1038" t="s">
        <v>40</v>
      </c>
      <c r="U1038">
        <f>+IF(Tabla1[[#This Row],[MONEDA]]="PEN",Tabla1[[#This Row],[MONTO]],Tabla1[[#This Row],[MONTO]]*3.56)</f>
        <v>271.39999999999998</v>
      </c>
      <c r="X1038" t="s">
        <v>81</v>
      </c>
      <c r="Y1038" t="s">
        <v>42</v>
      </c>
      <c r="Z1038" t="s">
        <v>82</v>
      </c>
      <c r="AA1038" t="s">
        <v>3081</v>
      </c>
      <c r="AB1038" t="s">
        <v>3082</v>
      </c>
      <c r="AC1038" t="s">
        <v>3083</v>
      </c>
      <c r="AD1038" t="s">
        <v>3084</v>
      </c>
      <c r="AE1038">
        <v>271.39999999999998</v>
      </c>
      <c r="AF1038" t="s">
        <v>87</v>
      </c>
      <c r="AG1038" t="s">
        <v>169</v>
      </c>
    </row>
    <row r="1039" spans="1:33" hidden="1" x14ac:dyDescent="0.25">
      <c r="A1039">
        <v>36368</v>
      </c>
      <c r="B1039" t="s">
        <v>32</v>
      </c>
      <c r="C1039">
        <v>2</v>
      </c>
      <c r="D1039" t="s">
        <v>3686</v>
      </c>
      <c r="E1039" t="s">
        <v>70</v>
      </c>
      <c r="F1039" t="s">
        <v>33</v>
      </c>
      <c r="G1039" t="s">
        <v>71</v>
      </c>
      <c r="H1039" t="s">
        <v>72</v>
      </c>
      <c r="I1039" t="s">
        <v>3660</v>
      </c>
      <c r="J1039" t="s">
        <v>3687</v>
      </c>
      <c r="K1039" t="s">
        <v>36</v>
      </c>
      <c r="L1039" t="s">
        <v>33</v>
      </c>
      <c r="M1039">
        <v>20605189173</v>
      </c>
      <c r="N1039" t="s">
        <v>472</v>
      </c>
      <c r="O1039" t="s">
        <v>76</v>
      </c>
      <c r="P1039" t="s">
        <v>38</v>
      </c>
      <c r="Q1039">
        <v>4302662798081</v>
      </c>
      <c r="R1039" t="s">
        <v>3688</v>
      </c>
      <c r="S1039">
        <v>371.7</v>
      </c>
      <c r="T1039" t="s">
        <v>40</v>
      </c>
      <c r="U1039">
        <f>+IF(Tabla1[[#This Row],[MONEDA]]="PEN",Tabla1[[#This Row],[MONTO]],Tabla1[[#This Row],[MONTO]]*3.56)</f>
        <v>371.7</v>
      </c>
      <c r="X1039" t="s">
        <v>81</v>
      </c>
      <c r="Y1039" t="s">
        <v>42</v>
      </c>
      <c r="Z1039" t="s">
        <v>82</v>
      </c>
      <c r="AA1039" t="s">
        <v>3689</v>
      </c>
      <c r="AB1039" t="s">
        <v>3690</v>
      </c>
      <c r="AC1039" t="s">
        <v>3691</v>
      </c>
      <c r="AD1039" t="s">
        <v>3692</v>
      </c>
      <c r="AE1039">
        <v>371.7</v>
      </c>
      <c r="AF1039" t="s">
        <v>87</v>
      </c>
      <c r="AG1039" t="s">
        <v>169</v>
      </c>
    </row>
    <row r="1040" spans="1:33" hidden="1" x14ac:dyDescent="0.25">
      <c r="A1040">
        <v>34650</v>
      </c>
      <c r="B1040" t="s">
        <v>32</v>
      </c>
      <c r="C1040">
        <v>1</v>
      </c>
      <c r="D1040" t="s">
        <v>4578</v>
      </c>
      <c r="E1040" t="s">
        <v>70</v>
      </c>
      <c r="F1040" t="s">
        <v>33</v>
      </c>
      <c r="G1040" t="s">
        <v>71</v>
      </c>
      <c r="H1040" t="s">
        <v>35</v>
      </c>
      <c r="I1040" t="s">
        <v>4579</v>
      </c>
      <c r="J1040" t="s">
        <v>4580</v>
      </c>
      <c r="K1040" t="s">
        <v>36</v>
      </c>
      <c r="L1040" t="s">
        <v>33</v>
      </c>
      <c r="M1040">
        <v>20605189173</v>
      </c>
      <c r="N1040" t="s">
        <v>472</v>
      </c>
      <c r="O1040" t="s">
        <v>76</v>
      </c>
      <c r="P1040" t="s">
        <v>38</v>
      </c>
      <c r="Q1040">
        <v>4302662798081</v>
      </c>
      <c r="R1040" t="s">
        <v>4581</v>
      </c>
      <c r="S1040">
        <v>700</v>
      </c>
      <c r="T1040" t="s">
        <v>40</v>
      </c>
      <c r="U1040">
        <f>+IF(Tabla1[[#This Row],[MONEDA]]="PEN",Tabla1[[#This Row],[MONTO]],Tabla1[[#This Row],[MONTO]]*3.56)</f>
        <v>700</v>
      </c>
      <c r="X1040" t="s">
        <v>81</v>
      </c>
      <c r="Y1040" t="s">
        <v>42</v>
      </c>
      <c r="Z1040" t="s">
        <v>82</v>
      </c>
      <c r="AA1040" t="s">
        <v>4582</v>
      </c>
      <c r="AB1040" t="s">
        <v>4583</v>
      </c>
      <c r="AC1040" t="s">
        <v>4584</v>
      </c>
      <c r="AD1040" t="s">
        <v>4585</v>
      </c>
      <c r="AE1040">
        <v>700</v>
      </c>
      <c r="AF1040" t="s">
        <v>87</v>
      </c>
      <c r="AG1040" t="s">
        <v>169</v>
      </c>
    </row>
    <row r="1041" spans="1:33" hidden="1" x14ac:dyDescent="0.25">
      <c r="A1041">
        <v>32966</v>
      </c>
      <c r="B1041" t="s">
        <v>32</v>
      </c>
      <c r="C1041">
        <v>1</v>
      </c>
      <c r="D1041" t="s">
        <v>5181</v>
      </c>
      <c r="E1041" t="s">
        <v>70</v>
      </c>
      <c r="F1041" t="s">
        <v>33</v>
      </c>
      <c r="G1041" t="s">
        <v>71</v>
      </c>
      <c r="H1041" t="s">
        <v>35</v>
      </c>
      <c r="I1041" t="s">
        <v>5182</v>
      </c>
      <c r="J1041" t="s">
        <v>5183</v>
      </c>
      <c r="K1041" t="s">
        <v>36</v>
      </c>
      <c r="L1041" t="s">
        <v>33</v>
      </c>
      <c r="M1041">
        <v>20605189173</v>
      </c>
      <c r="N1041" t="s">
        <v>472</v>
      </c>
      <c r="O1041" t="s">
        <v>76</v>
      </c>
      <c r="P1041" t="s">
        <v>38</v>
      </c>
      <c r="Q1041">
        <v>4302662798081</v>
      </c>
      <c r="R1041" t="s">
        <v>5184</v>
      </c>
      <c r="S1041">
        <v>513.29999999999995</v>
      </c>
      <c r="T1041" t="s">
        <v>40</v>
      </c>
      <c r="U1041">
        <f>+IF(Tabla1[[#This Row],[MONEDA]]="PEN",Tabla1[[#This Row],[MONTO]],Tabla1[[#This Row],[MONTO]]*3.56)</f>
        <v>513.29999999999995</v>
      </c>
      <c r="X1041" t="s">
        <v>81</v>
      </c>
      <c r="Y1041" t="s">
        <v>42</v>
      </c>
      <c r="Z1041" t="s">
        <v>82</v>
      </c>
      <c r="AA1041" t="s">
        <v>5185</v>
      </c>
      <c r="AB1041" t="s">
        <v>5186</v>
      </c>
      <c r="AC1041" t="s">
        <v>5187</v>
      </c>
      <c r="AD1041" t="s">
        <v>5188</v>
      </c>
      <c r="AE1041">
        <v>513.29999999999995</v>
      </c>
      <c r="AF1041" t="s">
        <v>87</v>
      </c>
      <c r="AG1041" t="s">
        <v>169</v>
      </c>
    </row>
    <row r="1042" spans="1:33" hidden="1" x14ac:dyDescent="0.25">
      <c r="A1042">
        <v>29046</v>
      </c>
      <c r="B1042" t="s">
        <v>32</v>
      </c>
      <c r="C1042">
        <v>2</v>
      </c>
      <c r="D1042" t="s">
        <v>7243</v>
      </c>
      <c r="E1042" t="s">
        <v>70</v>
      </c>
      <c r="F1042" t="s">
        <v>33</v>
      </c>
      <c r="G1042" t="s">
        <v>71</v>
      </c>
      <c r="H1042" t="s">
        <v>72</v>
      </c>
      <c r="I1042" t="s">
        <v>7244</v>
      </c>
      <c r="J1042" t="s">
        <v>7250</v>
      </c>
      <c r="K1042" t="s">
        <v>36</v>
      </c>
      <c r="L1042" t="s">
        <v>33</v>
      </c>
      <c r="M1042">
        <v>20605189173</v>
      </c>
      <c r="N1042" t="s">
        <v>472</v>
      </c>
      <c r="O1042" t="s">
        <v>76</v>
      </c>
      <c r="R1042" t="s">
        <v>7251</v>
      </c>
      <c r="S1042">
        <v>75.52</v>
      </c>
      <c r="T1042" t="s">
        <v>40</v>
      </c>
      <c r="U1042">
        <f>+IF(Tabla1[[#This Row],[MONEDA]]="PEN",Tabla1[[#This Row],[MONTO]],Tabla1[[#This Row],[MONTO]]*3.56)</f>
        <v>75.52</v>
      </c>
      <c r="V1042" t="s">
        <v>190</v>
      </c>
      <c r="W1042">
        <v>27036</v>
      </c>
      <c r="X1042" t="s">
        <v>81</v>
      </c>
      <c r="Y1042" t="s">
        <v>42</v>
      </c>
      <c r="Z1042" t="s">
        <v>43</v>
      </c>
      <c r="AA1042" t="s">
        <v>7252</v>
      </c>
      <c r="AC1042" t="s">
        <v>7253</v>
      </c>
      <c r="AD1042" t="s">
        <v>7254</v>
      </c>
    </row>
    <row r="1043" spans="1:33" x14ac:dyDescent="0.25">
      <c r="A1043">
        <v>27966</v>
      </c>
      <c r="B1043" t="s">
        <v>32</v>
      </c>
      <c r="C1043">
        <v>1</v>
      </c>
      <c r="D1043" t="s">
        <v>7992</v>
      </c>
      <c r="E1043" t="s">
        <v>70</v>
      </c>
      <c r="F1043" t="s">
        <v>5328</v>
      </c>
      <c r="G1043" t="s">
        <v>5329</v>
      </c>
      <c r="H1043" t="s">
        <v>72</v>
      </c>
      <c r="I1043" t="s">
        <v>7982</v>
      </c>
      <c r="J1043" t="s">
        <v>7993</v>
      </c>
      <c r="K1043" t="s">
        <v>36</v>
      </c>
      <c r="L1043" t="s">
        <v>33</v>
      </c>
      <c r="M1043">
        <v>20605189173</v>
      </c>
      <c r="N1043" t="s">
        <v>472</v>
      </c>
      <c r="O1043" t="s">
        <v>6159</v>
      </c>
      <c r="P1043" t="s">
        <v>38</v>
      </c>
      <c r="Q1043">
        <v>4302662798081</v>
      </c>
      <c r="R1043" t="s">
        <v>7994</v>
      </c>
      <c r="S1043">
        <v>198.24</v>
      </c>
      <c r="T1043" t="s">
        <v>40</v>
      </c>
      <c r="U1043">
        <f>+IF(Tabla1[[#This Row],[MONEDA]]="PEN",Tabla1[[#This Row],[MONTO]],Tabla1[[#This Row],[MONTO]]*3.56)</f>
        <v>198.24</v>
      </c>
      <c r="X1043" t="s">
        <v>81</v>
      </c>
      <c r="Y1043" t="s">
        <v>42</v>
      </c>
      <c r="Z1043" t="s">
        <v>43</v>
      </c>
      <c r="AA1043" t="s">
        <v>7995</v>
      </c>
      <c r="AB1043" t="s">
        <v>7996</v>
      </c>
      <c r="AC1043" t="s">
        <v>7997</v>
      </c>
      <c r="AD1043" t="s">
        <v>7998</v>
      </c>
      <c r="AE1043">
        <v>198.24</v>
      </c>
      <c r="AF1043" t="s">
        <v>87</v>
      </c>
      <c r="AG1043" t="s">
        <v>169</v>
      </c>
    </row>
    <row r="1044" spans="1:33" hidden="1" x14ac:dyDescent="0.25">
      <c r="A1044">
        <v>27329</v>
      </c>
      <c r="B1044" t="s">
        <v>32</v>
      </c>
      <c r="C1044">
        <v>1</v>
      </c>
      <c r="D1044" t="s">
        <v>8521</v>
      </c>
      <c r="E1044" t="s">
        <v>70</v>
      </c>
      <c r="F1044" t="s">
        <v>33</v>
      </c>
      <c r="G1044" t="s">
        <v>71</v>
      </c>
      <c r="H1044" t="s">
        <v>72</v>
      </c>
      <c r="I1044" t="s">
        <v>8515</v>
      </c>
      <c r="J1044" t="s">
        <v>8522</v>
      </c>
      <c r="K1044" t="s">
        <v>36</v>
      </c>
      <c r="L1044" t="s">
        <v>33</v>
      </c>
      <c r="M1044">
        <v>20605189173</v>
      </c>
      <c r="N1044" t="s">
        <v>472</v>
      </c>
      <c r="O1044" t="s">
        <v>76</v>
      </c>
      <c r="P1044" t="s">
        <v>38</v>
      </c>
      <c r="Q1044">
        <v>4302662798081</v>
      </c>
      <c r="R1044" t="s">
        <v>8523</v>
      </c>
      <c r="S1044">
        <v>743.4</v>
      </c>
      <c r="T1044" t="s">
        <v>40</v>
      </c>
      <c r="U1044">
        <f>+IF(Tabla1[[#This Row],[MONEDA]]="PEN",Tabla1[[#This Row],[MONTO]],Tabla1[[#This Row],[MONTO]]*3.56)</f>
        <v>743.4</v>
      </c>
      <c r="X1044" t="s">
        <v>81</v>
      </c>
      <c r="Y1044" t="s">
        <v>42</v>
      </c>
      <c r="Z1044" t="s">
        <v>43</v>
      </c>
      <c r="AA1044" t="s">
        <v>8524</v>
      </c>
      <c r="AB1044" t="s">
        <v>8525</v>
      </c>
      <c r="AC1044" t="s">
        <v>8526</v>
      </c>
      <c r="AD1044" t="s">
        <v>8527</v>
      </c>
      <c r="AE1044">
        <v>721.1</v>
      </c>
      <c r="AF1044" t="s">
        <v>87</v>
      </c>
      <c r="AG1044" t="s">
        <v>169</v>
      </c>
    </row>
    <row r="1045" spans="1:33" hidden="1" x14ac:dyDescent="0.25">
      <c r="A1045">
        <v>26466</v>
      </c>
      <c r="B1045" t="s">
        <v>32</v>
      </c>
      <c r="C1045">
        <v>1</v>
      </c>
      <c r="D1045" t="s">
        <v>8943</v>
      </c>
      <c r="E1045" t="s">
        <v>70</v>
      </c>
      <c r="F1045" t="s">
        <v>33</v>
      </c>
      <c r="G1045" t="s">
        <v>71</v>
      </c>
      <c r="H1045" t="s">
        <v>72</v>
      </c>
      <c r="I1045" t="s">
        <v>8944</v>
      </c>
      <c r="J1045" t="s">
        <v>8945</v>
      </c>
      <c r="K1045" t="s">
        <v>36</v>
      </c>
      <c r="L1045" t="s">
        <v>33</v>
      </c>
      <c r="M1045">
        <v>20605189173</v>
      </c>
      <c r="N1045" t="s">
        <v>472</v>
      </c>
      <c r="O1045" t="s">
        <v>76</v>
      </c>
      <c r="P1045" t="s">
        <v>38</v>
      </c>
      <c r="Q1045">
        <v>4302662798081</v>
      </c>
      <c r="R1045" t="s">
        <v>8946</v>
      </c>
      <c r="S1045">
        <v>536.9</v>
      </c>
      <c r="T1045" t="s">
        <v>40</v>
      </c>
      <c r="U1045">
        <f>+IF(Tabla1[[#This Row],[MONEDA]]="PEN",Tabla1[[#This Row],[MONTO]],Tabla1[[#This Row],[MONTO]]*3.56)</f>
        <v>536.9</v>
      </c>
      <c r="X1045" t="s">
        <v>81</v>
      </c>
      <c r="Y1045" t="s">
        <v>42</v>
      </c>
      <c r="Z1045" t="s">
        <v>43</v>
      </c>
      <c r="AA1045" t="s">
        <v>8947</v>
      </c>
      <c r="AB1045" t="s">
        <v>8948</v>
      </c>
      <c r="AC1045" t="s">
        <v>8949</v>
      </c>
      <c r="AD1045" t="s">
        <v>8950</v>
      </c>
      <c r="AE1045">
        <v>536.9</v>
      </c>
      <c r="AF1045" t="s">
        <v>87</v>
      </c>
      <c r="AG1045" t="s">
        <v>169</v>
      </c>
    </row>
    <row r="1046" spans="1:33" hidden="1" x14ac:dyDescent="0.25">
      <c r="A1046">
        <v>25229</v>
      </c>
      <c r="B1046" t="s">
        <v>32</v>
      </c>
      <c r="C1046">
        <v>1</v>
      </c>
      <c r="D1046" t="s">
        <v>9988</v>
      </c>
      <c r="E1046" t="s">
        <v>70</v>
      </c>
      <c r="F1046" t="s">
        <v>33</v>
      </c>
      <c r="G1046" t="s">
        <v>9422</v>
      </c>
      <c r="H1046" t="s">
        <v>72</v>
      </c>
      <c r="I1046" t="s">
        <v>9958</v>
      </c>
      <c r="J1046" t="s">
        <v>9989</v>
      </c>
      <c r="K1046" t="s">
        <v>36</v>
      </c>
      <c r="L1046" t="s">
        <v>33</v>
      </c>
      <c r="M1046">
        <v>20605189173</v>
      </c>
      <c r="N1046" t="s">
        <v>472</v>
      </c>
      <c r="O1046" t="s">
        <v>9423</v>
      </c>
      <c r="P1046" t="s">
        <v>38</v>
      </c>
      <c r="Q1046">
        <v>4302662798081</v>
      </c>
      <c r="R1046" t="s">
        <v>9990</v>
      </c>
      <c r="S1046">
        <v>278.48</v>
      </c>
      <c r="T1046" t="s">
        <v>40</v>
      </c>
      <c r="U1046">
        <f>+IF(Tabla1[[#This Row],[MONEDA]]="PEN",Tabla1[[#This Row],[MONTO]],Tabla1[[#This Row],[MONTO]]*3.56)</f>
        <v>278.48</v>
      </c>
      <c r="X1046" t="s">
        <v>41</v>
      </c>
      <c r="Y1046" t="s">
        <v>51</v>
      </c>
      <c r="Z1046" t="s">
        <v>43</v>
      </c>
      <c r="AA1046" t="s">
        <v>9991</v>
      </c>
      <c r="AB1046" t="s">
        <v>9992</v>
      </c>
      <c r="AC1046" t="s">
        <v>9993</v>
      </c>
      <c r="AD1046" t="s">
        <v>9994</v>
      </c>
      <c r="AE1046">
        <v>278.48</v>
      </c>
      <c r="AF1046" t="s">
        <v>87</v>
      </c>
      <c r="AG1046" t="s">
        <v>169</v>
      </c>
    </row>
    <row r="1047" spans="1:33" hidden="1" x14ac:dyDescent="0.25">
      <c r="A1047">
        <v>24070</v>
      </c>
      <c r="B1047" t="s">
        <v>32</v>
      </c>
      <c r="C1047">
        <v>1</v>
      </c>
      <c r="D1047" t="s">
        <v>10745</v>
      </c>
      <c r="E1047" t="s">
        <v>70</v>
      </c>
      <c r="F1047" t="s">
        <v>33</v>
      </c>
      <c r="G1047" t="s">
        <v>9422</v>
      </c>
      <c r="H1047" t="s">
        <v>72</v>
      </c>
      <c r="I1047" t="s">
        <v>10738</v>
      </c>
      <c r="J1047" t="s">
        <v>10746</v>
      </c>
      <c r="K1047" t="s">
        <v>36</v>
      </c>
      <c r="L1047" t="s">
        <v>33</v>
      </c>
      <c r="M1047">
        <v>20605189173</v>
      </c>
      <c r="N1047" t="s">
        <v>472</v>
      </c>
      <c r="O1047" t="s">
        <v>9423</v>
      </c>
      <c r="P1047" t="s">
        <v>38</v>
      </c>
      <c r="Q1047">
        <v>4302662798081</v>
      </c>
      <c r="R1047" t="s">
        <v>10747</v>
      </c>
      <c r="S1047">
        <v>448.4</v>
      </c>
      <c r="T1047" t="s">
        <v>40</v>
      </c>
      <c r="U1047">
        <f>+IF(Tabla1[[#This Row],[MONEDA]]="PEN",Tabla1[[#This Row],[MONTO]],Tabla1[[#This Row],[MONTO]]*3.56)</f>
        <v>448.4</v>
      </c>
      <c r="X1047" t="s">
        <v>41</v>
      </c>
      <c r="Y1047" t="s">
        <v>42</v>
      </c>
      <c r="Z1047" t="s">
        <v>43</v>
      </c>
      <c r="AA1047" t="s">
        <v>10748</v>
      </c>
      <c r="AB1047" t="s">
        <v>10749</v>
      </c>
      <c r="AC1047" t="s">
        <v>10750</v>
      </c>
      <c r="AD1047" t="s">
        <v>10751</v>
      </c>
      <c r="AE1047">
        <v>448.4</v>
      </c>
      <c r="AF1047" t="s">
        <v>87</v>
      </c>
      <c r="AG1047" t="s">
        <v>169</v>
      </c>
    </row>
    <row r="1048" spans="1:33" hidden="1" x14ac:dyDescent="0.25">
      <c r="A1048">
        <v>24085</v>
      </c>
      <c r="B1048" t="s">
        <v>32</v>
      </c>
      <c r="C1048">
        <v>1</v>
      </c>
      <c r="D1048" t="s">
        <v>10842</v>
      </c>
      <c r="E1048" t="s">
        <v>70</v>
      </c>
      <c r="F1048" t="s">
        <v>33</v>
      </c>
      <c r="G1048" t="s">
        <v>71</v>
      </c>
      <c r="H1048" t="s">
        <v>72</v>
      </c>
      <c r="I1048" t="s">
        <v>10843</v>
      </c>
      <c r="J1048" t="s">
        <v>10854</v>
      </c>
      <c r="K1048" t="s">
        <v>36</v>
      </c>
      <c r="L1048" t="s">
        <v>33</v>
      </c>
      <c r="M1048">
        <v>20605189173</v>
      </c>
      <c r="N1048" t="s">
        <v>472</v>
      </c>
      <c r="O1048" t="s">
        <v>76</v>
      </c>
      <c r="R1048" t="s">
        <v>10855</v>
      </c>
      <c r="S1048">
        <v>35</v>
      </c>
      <c r="T1048" t="s">
        <v>40</v>
      </c>
      <c r="U1048">
        <f>+IF(Tabla1[[#This Row],[MONEDA]]="PEN",Tabla1[[#This Row],[MONTO]],Tabla1[[#This Row],[MONTO]]*3.56)</f>
        <v>35</v>
      </c>
      <c r="V1048" t="s">
        <v>190</v>
      </c>
      <c r="W1048">
        <v>21787</v>
      </c>
      <c r="X1048" t="s">
        <v>81</v>
      </c>
      <c r="Y1048" t="s">
        <v>42</v>
      </c>
      <c r="Z1048" t="s">
        <v>82</v>
      </c>
      <c r="AA1048" t="s">
        <v>10856</v>
      </c>
      <c r="AC1048" t="s">
        <v>10857</v>
      </c>
      <c r="AD1048" t="s">
        <v>10858</v>
      </c>
    </row>
    <row r="1049" spans="1:33" hidden="1" x14ac:dyDescent="0.25">
      <c r="A1049">
        <v>23743</v>
      </c>
      <c r="B1049" t="s">
        <v>32</v>
      </c>
      <c r="C1049">
        <v>1</v>
      </c>
      <c r="D1049" t="s">
        <v>10964</v>
      </c>
      <c r="E1049" t="s">
        <v>70</v>
      </c>
      <c r="F1049" t="s">
        <v>33</v>
      </c>
      <c r="G1049" t="s">
        <v>9422</v>
      </c>
      <c r="H1049" t="s">
        <v>72</v>
      </c>
      <c r="I1049" t="s">
        <v>10950</v>
      </c>
      <c r="J1049" t="s">
        <v>10965</v>
      </c>
      <c r="K1049" t="s">
        <v>36</v>
      </c>
      <c r="L1049" t="s">
        <v>33</v>
      </c>
      <c r="M1049">
        <v>20605189173</v>
      </c>
      <c r="N1049" t="s">
        <v>472</v>
      </c>
      <c r="O1049" t="s">
        <v>9423</v>
      </c>
      <c r="P1049" t="s">
        <v>38</v>
      </c>
      <c r="Q1049">
        <v>4302662798081</v>
      </c>
      <c r="R1049" t="s">
        <v>10966</v>
      </c>
      <c r="S1049">
        <v>1482.08</v>
      </c>
      <c r="T1049" t="s">
        <v>40</v>
      </c>
      <c r="U1049">
        <f>+IF(Tabla1[[#This Row],[MONEDA]]="PEN",Tabla1[[#This Row],[MONTO]],Tabla1[[#This Row],[MONTO]]*3.56)</f>
        <v>1482.08</v>
      </c>
      <c r="X1049" t="s">
        <v>41</v>
      </c>
      <c r="Y1049" t="s">
        <v>42</v>
      </c>
      <c r="Z1049" t="s">
        <v>82</v>
      </c>
      <c r="AA1049" t="s">
        <v>10967</v>
      </c>
      <c r="AB1049" t="s">
        <v>10968</v>
      </c>
      <c r="AC1049" t="s">
        <v>10969</v>
      </c>
      <c r="AD1049" t="s">
        <v>10970</v>
      </c>
      <c r="AE1049">
        <v>1437.62</v>
      </c>
      <c r="AF1049" t="s">
        <v>87</v>
      </c>
      <c r="AG1049" t="s">
        <v>169</v>
      </c>
    </row>
    <row r="1050" spans="1:33" hidden="1" x14ac:dyDescent="0.25">
      <c r="A1050">
        <v>23601</v>
      </c>
      <c r="B1050" t="s">
        <v>32</v>
      </c>
      <c r="C1050">
        <v>1</v>
      </c>
      <c r="D1050" t="s">
        <v>11048</v>
      </c>
      <c r="E1050" t="s">
        <v>70</v>
      </c>
      <c r="F1050" t="s">
        <v>33</v>
      </c>
      <c r="G1050" t="s">
        <v>9422</v>
      </c>
      <c r="H1050" t="s">
        <v>72</v>
      </c>
      <c r="I1050" t="s">
        <v>11041</v>
      </c>
      <c r="J1050" t="s">
        <v>11049</v>
      </c>
      <c r="K1050" t="s">
        <v>36</v>
      </c>
      <c r="L1050" t="s">
        <v>33</v>
      </c>
      <c r="M1050">
        <v>20605189173</v>
      </c>
      <c r="N1050" t="s">
        <v>472</v>
      </c>
      <c r="O1050" t="s">
        <v>9423</v>
      </c>
      <c r="P1050" t="s">
        <v>38</v>
      </c>
      <c r="Q1050">
        <v>4302662798081</v>
      </c>
      <c r="R1050" t="s">
        <v>11050</v>
      </c>
      <c r="S1050">
        <v>1482.08</v>
      </c>
      <c r="T1050" t="s">
        <v>40</v>
      </c>
      <c r="U1050">
        <f>+IF(Tabla1[[#This Row],[MONEDA]]="PEN",Tabla1[[#This Row],[MONTO]],Tabla1[[#This Row],[MONTO]]*3.56)</f>
        <v>1482.08</v>
      </c>
      <c r="X1050" t="s">
        <v>41</v>
      </c>
      <c r="Y1050" t="s">
        <v>42</v>
      </c>
      <c r="Z1050" t="s">
        <v>43</v>
      </c>
      <c r="AA1050" t="s">
        <v>11051</v>
      </c>
      <c r="AB1050" t="s">
        <v>11052</v>
      </c>
      <c r="AC1050" t="s">
        <v>11053</v>
      </c>
      <c r="AD1050" t="s">
        <v>11054</v>
      </c>
      <c r="AE1050">
        <v>1437.62</v>
      </c>
      <c r="AF1050" t="s">
        <v>87</v>
      </c>
      <c r="AG1050" t="s">
        <v>169</v>
      </c>
    </row>
    <row r="1051" spans="1:33" hidden="1" x14ac:dyDescent="0.25">
      <c r="A1051">
        <v>23361</v>
      </c>
      <c r="B1051" t="s">
        <v>32</v>
      </c>
      <c r="C1051">
        <v>1</v>
      </c>
      <c r="D1051" t="s">
        <v>11261</v>
      </c>
      <c r="E1051" t="s">
        <v>70</v>
      </c>
      <c r="F1051" t="s">
        <v>33</v>
      </c>
      <c r="G1051" t="s">
        <v>9422</v>
      </c>
      <c r="H1051" t="s">
        <v>72</v>
      </c>
      <c r="I1051" t="s">
        <v>11254</v>
      </c>
      <c r="J1051" t="s">
        <v>11262</v>
      </c>
      <c r="K1051" t="s">
        <v>36</v>
      </c>
      <c r="L1051" t="s">
        <v>33</v>
      </c>
      <c r="M1051">
        <v>20605189173</v>
      </c>
      <c r="N1051" t="s">
        <v>472</v>
      </c>
      <c r="O1051" t="s">
        <v>9423</v>
      </c>
      <c r="P1051" t="s">
        <v>38</v>
      </c>
      <c r="Q1051">
        <v>4302662798081</v>
      </c>
      <c r="R1051" t="s">
        <v>11263</v>
      </c>
      <c r="S1051">
        <v>1493.88</v>
      </c>
      <c r="T1051" t="s">
        <v>40</v>
      </c>
      <c r="U1051">
        <f>+IF(Tabla1[[#This Row],[MONEDA]]="PEN",Tabla1[[#This Row],[MONTO]],Tabla1[[#This Row],[MONTO]]*3.56)</f>
        <v>1493.88</v>
      </c>
      <c r="X1051" t="s">
        <v>41</v>
      </c>
      <c r="Y1051" t="s">
        <v>42</v>
      </c>
      <c r="Z1051" t="s">
        <v>82</v>
      </c>
      <c r="AA1051" t="s">
        <v>11264</v>
      </c>
      <c r="AB1051" t="s">
        <v>11265</v>
      </c>
      <c r="AC1051" t="s">
        <v>11266</v>
      </c>
      <c r="AD1051" t="s">
        <v>11267</v>
      </c>
      <c r="AE1051">
        <v>1449.06</v>
      </c>
      <c r="AF1051" t="s">
        <v>87</v>
      </c>
      <c r="AG1051" t="s">
        <v>169</v>
      </c>
    </row>
    <row r="1052" spans="1:33" hidden="1" x14ac:dyDescent="0.25">
      <c r="A1052">
        <v>23235</v>
      </c>
      <c r="B1052" t="s">
        <v>32</v>
      </c>
      <c r="C1052">
        <v>1</v>
      </c>
      <c r="D1052" t="s">
        <v>11448</v>
      </c>
      <c r="E1052" t="s">
        <v>70</v>
      </c>
      <c r="F1052" t="s">
        <v>33</v>
      </c>
      <c r="G1052" t="s">
        <v>71</v>
      </c>
      <c r="H1052" t="s">
        <v>72</v>
      </c>
      <c r="I1052" t="s">
        <v>11449</v>
      </c>
      <c r="J1052" t="s">
        <v>11450</v>
      </c>
      <c r="K1052" t="s">
        <v>36</v>
      </c>
      <c r="L1052" t="s">
        <v>33</v>
      </c>
      <c r="M1052">
        <v>20605189173</v>
      </c>
      <c r="N1052" t="s">
        <v>472</v>
      </c>
      <c r="O1052" t="s">
        <v>76</v>
      </c>
      <c r="R1052" t="s">
        <v>11451</v>
      </c>
      <c r="S1052">
        <v>35</v>
      </c>
      <c r="T1052" t="s">
        <v>40</v>
      </c>
      <c r="U1052">
        <f>+IF(Tabla1[[#This Row],[MONEDA]]="PEN",Tabla1[[#This Row],[MONTO]],Tabla1[[#This Row],[MONTO]]*3.56)</f>
        <v>35</v>
      </c>
      <c r="V1052" t="s">
        <v>190</v>
      </c>
      <c r="W1052">
        <v>20973</v>
      </c>
      <c r="X1052" t="s">
        <v>41</v>
      </c>
      <c r="Y1052" t="s">
        <v>42</v>
      </c>
      <c r="Z1052" t="s">
        <v>82</v>
      </c>
      <c r="AA1052" t="s">
        <v>11452</v>
      </c>
      <c r="AC1052" t="s">
        <v>11453</v>
      </c>
      <c r="AD1052" t="s">
        <v>11454</v>
      </c>
    </row>
    <row r="1053" spans="1:33" hidden="1" x14ac:dyDescent="0.25">
      <c r="A1053">
        <v>22317</v>
      </c>
      <c r="B1053" t="s">
        <v>32</v>
      </c>
      <c r="C1053">
        <v>2</v>
      </c>
      <c r="D1053" t="s">
        <v>11913</v>
      </c>
      <c r="E1053" t="s">
        <v>70</v>
      </c>
      <c r="F1053" t="s">
        <v>33</v>
      </c>
      <c r="G1053" t="s">
        <v>71</v>
      </c>
      <c r="H1053" t="s">
        <v>72</v>
      </c>
      <c r="I1053" t="s">
        <v>11914</v>
      </c>
      <c r="J1053" t="s">
        <v>11915</v>
      </c>
      <c r="K1053" t="s">
        <v>36</v>
      </c>
      <c r="L1053" t="s">
        <v>33</v>
      </c>
      <c r="M1053">
        <v>20605189173</v>
      </c>
      <c r="N1053" t="s">
        <v>472</v>
      </c>
      <c r="O1053" t="s">
        <v>76</v>
      </c>
      <c r="P1053" t="s">
        <v>38</v>
      </c>
      <c r="Q1053">
        <v>4302662798081</v>
      </c>
      <c r="R1053" t="s">
        <v>11916</v>
      </c>
      <c r="S1053">
        <v>969.96</v>
      </c>
      <c r="T1053" t="s">
        <v>40</v>
      </c>
      <c r="U1053">
        <f>+IF(Tabla1[[#This Row],[MONEDA]]="PEN",Tabla1[[#This Row],[MONTO]],Tabla1[[#This Row],[MONTO]]*3.56)</f>
        <v>969.96</v>
      </c>
      <c r="X1053" t="s">
        <v>81</v>
      </c>
      <c r="Y1053" t="s">
        <v>42</v>
      </c>
      <c r="Z1053" t="s">
        <v>43</v>
      </c>
      <c r="AA1053" t="s">
        <v>11917</v>
      </c>
      <c r="AB1053" t="s">
        <v>11918</v>
      </c>
      <c r="AC1053" t="s">
        <v>11919</v>
      </c>
      <c r="AD1053" t="s">
        <v>11920</v>
      </c>
      <c r="AE1053">
        <v>940.86</v>
      </c>
      <c r="AF1053" t="s">
        <v>87</v>
      </c>
      <c r="AG1053" t="s">
        <v>169</v>
      </c>
    </row>
    <row r="1054" spans="1:33" hidden="1" x14ac:dyDescent="0.25">
      <c r="A1054">
        <v>21887</v>
      </c>
      <c r="B1054" t="s">
        <v>32</v>
      </c>
      <c r="C1054">
        <v>1</v>
      </c>
      <c r="D1054" t="s">
        <v>12129</v>
      </c>
      <c r="E1054" t="s">
        <v>70</v>
      </c>
      <c r="F1054" t="s">
        <v>33</v>
      </c>
      <c r="G1054" t="s">
        <v>71</v>
      </c>
      <c r="H1054" t="s">
        <v>72</v>
      </c>
      <c r="I1054" t="s">
        <v>12122</v>
      </c>
      <c r="J1054" t="s">
        <v>12130</v>
      </c>
      <c r="K1054" t="s">
        <v>36</v>
      </c>
      <c r="L1054" t="s">
        <v>33</v>
      </c>
      <c r="M1054">
        <v>20605189173</v>
      </c>
      <c r="N1054" t="s">
        <v>472</v>
      </c>
      <c r="O1054" t="s">
        <v>76</v>
      </c>
      <c r="P1054" t="s">
        <v>38</v>
      </c>
      <c r="Q1054">
        <v>4302662798081</v>
      </c>
      <c r="R1054" t="s">
        <v>12131</v>
      </c>
      <c r="S1054">
        <v>1012.44</v>
      </c>
      <c r="T1054" t="s">
        <v>40</v>
      </c>
      <c r="U1054">
        <f>+IF(Tabla1[[#This Row],[MONEDA]]="PEN",Tabla1[[#This Row],[MONTO]],Tabla1[[#This Row],[MONTO]]*3.56)</f>
        <v>1012.44</v>
      </c>
      <c r="X1054" t="s">
        <v>81</v>
      </c>
      <c r="Y1054" t="s">
        <v>42</v>
      </c>
      <c r="Z1054" t="s">
        <v>43</v>
      </c>
      <c r="AA1054" t="s">
        <v>12132</v>
      </c>
      <c r="AB1054" t="s">
        <v>12133</v>
      </c>
      <c r="AC1054" t="s">
        <v>12134</v>
      </c>
      <c r="AD1054" t="s">
        <v>12135</v>
      </c>
      <c r="AE1054">
        <v>982.07</v>
      </c>
      <c r="AF1054" t="s">
        <v>87</v>
      </c>
      <c r="AG1054" t="s">
        <v>169</v>
      </c>
    </row>
    <row r="1055" spans="1:33" hidden="1" x14ac:dyDescent="0.25">
      <c r="A1055">
        <v>21003</v>
      </c>
      <c r="B1055" t="s">
        <v>32</v>
      </c>
      <c r="C1055">
        <v>1</v>
      </c>
      <c r="D1055" t="s">
        <v>12735</v>
      </c>
      <c r="E1055" t="s">
        <v>70</v>
      </c>
      <c r="F1055" t="s">
        <v>33</v>
      </c>
      <c r="G1055" t="s">
        <v>71</v>
      </c>
      <c r="H1055" t="s">
        <v>72</v>
      </c>
      <c r="I1055" t="s">
        <v>12736</v>
      </c>
      <c r="J1055" t="s">
        <v>12737</v>
      </c>
      <c r="K1055" t="s">
        <v>36</v>
      </c>
      <c r="L1055" t="s">
        <v>33</v>
      </c>
      <c r="M1055">
        <v>20605189173</v>
      </c>
      <c r="N1055" t="s">
        <v>472</v>
      </c>
      <c r="O1055" t="s">
        <v>76</v>
      </c>
      <c r="P1055" t="s">
        <v>38</v>
      </c>
      <c r="Q1055">
        <v>4302662798081</v>
      </c>
      <c r="R1055" t="s">
        <v>12738</v>
      </c>
      <c r="S1055">
        <v>1136.3399999999999</v>
      </c>
      <c r="T1055" t="s">
        <v>40</v>
      </c>
      <c r="U1055">
        <f>+IF(Tabla1[[#This Row],[MONEDA]]="PEN",Tabla1[[#This Row],[MONTO]],Tabla1[[#This Row],[MONTO]]*3.56)</f>
        <v>1136.3399999999999</v>
      </c>
      <c r="X1055" t="s">
        <v>81</v>
      </c>
      <c r="Y1055" t="s">
        <v>42</v>
      </c>
      <c r="Z1055" t="s">
        <v>43</v>
      </c>
      <c r="AA1055" t="s">
        <v>12739</v>
      </c>
      <c r="AC1055" t="s">
        <v>12740</v>
      </c>
      <c r="AD1055" t="s">
        <v>12741</v>
      </c>
      <c r="AE1055">
        <v>1102.25</v>
      </c>
      <c r="AF1055" t="s">
        <v>87</v>
      </c>
      <c r="AG1055" t="s">
        <v>169</v>
      </c>
    </row>
    <row r="1056" spans="1:33" hidden="1" x14ac:dyDescent="0.25">
      <c r="A1056">
        <v>35844</v>
      </c>
      <c r="B1056" t="s">
        <v>32</v>
      </c>
      <c r="C1056">
        <v>2</v>
      </c>
      <c r="D1056" t="s">
        <v>4144</v>
      </c>
      <c r="E1056" t="s">
        <v>70</v>
      </c>
      <c r="F1056" t="s">
        <v>33</v>
      </c>
      <c r="G1056" t="s">
        <v>71</v>
      </c>
      <c r="H1056" t="s">
        <v>72</v>
      </c>
      <c r="I1056" t="s">
        <v>4112</v>
      </c>
      <c r="J1056" t="s">
        <v>4145</v>
      </c>
      <c r="K1056" t="s">
        <v>36</v>
      </c>
      <c r="L1056" t="s">
        <v>33</v>
      </c>
      <c r="M1056">
        <v>10743437727</v>
      </c>
      <c r="N1056" t="s">
        <v>4146</v>
      </c>
      <c r="O1056" t="s">
        <v>76</v>
      </c>
      <c r="P1056" t="s">
        <v>38</v>
      </c>
      <c r="Q1056" t="s">
        <v>4147</v>
      </c>
      <c r="R1056" t="s">
        <v>4148</v>
      </c>
      <c r="S1056">
        <v>1800</v>
      </c>
      <c r="T1056" t="s">
        <v>40</v>
      </c>
      <c r="U1056">
        <f>+IF(Tabla1[[#This Row],[MONEDA]]="PEN",Tabla1[[#This Row],[MONTO]],Tabla1[[#This Row],[MONTO]]*3.56)</f>
        <v>1800</v>
      </c>
      <c r="X1056" t="s">
        <v>81</v>
      </c>
      <c r="Y1056" t="s">
        <v>42</v>
      </c>
      <c r="Z1056" t="s">
        <v>43</v>
      </c>
      <c r="AA1056" t="s">
        <v>4149</v>
      </c>
      <c r="AB1056" t="s">
        <v>4150</v>
      </c>
      <c r="AC1056" t="s">
        <v>4151</v>
      </c>
      <c r="AD1056" t="s">
        <v>4152</v>
      </c>
      <c r="AE1056">
        <v>1746</v>
      </c>
      <c r="AF1056" t="s">
        <v>87</v>
      </c>
      <c r="AG1056" t="s">
        <v>169</v>
      </c>
    </row>
    <row r="1057" spans="1:33" hidden="1" x14ac:dyDescent="0.25">
      <c r="A1057">
        <v>41412</v>
      </c>
      <c r="B1057" t="s">
        <v>32</v>
      </c>
      <c r="C1057">
        <v>1</v>
      </c>
      <c r="D1057" t="s">
        <v>1392</v>
      </c>
      <c r="E1057" t="s">
        <v>70</v>
      </c>
      <c r="F1057" t="s">
        <v>33</v>
      </c>
      <c r="G1057" t="s">
        <v>71</v>
      </c>
      <c r="H1057" t="s">
        <v>35</v>
      </c>
      <c r="I1057" t="s">
        <v>1380</v>
      </c>
      <c r="J1057" t="s">
        <v>1393</v>
      </c>
      <c r="K1057" t="s">
        <v>36</v>
      </c>
      <c r="L1057" t="s">
        <v>33</v>
      </c>
      <c r="M1057">
        <v>20614979543</v>
      </c>
      <c r="N1057" t="s">
        <v>1394</v>
      </c>
      <c r="O1057" t="s">
        <v>76</v>
      </c>
      <c r="P1057" t="s">
        <v>38</v>
      </c>
      <c r="Q1057" t="s">
        <v>1395</v>
      </c>
      <c r="R1057" t="s">
        <v>1396</v>
      </c>
      <c r="S1057">
        <v>700</v>
      </c>
      <c r="T1057" t="s">
        <v>40</v>
      </c>
      <c r="U1057">
        <f>+IF(Tabla1[[#This Row],[MONEDA]]="PEN",Tabla1[[#This Row],[MONTO]],Tabla1[[#This Row],[MONTO]]*3.56)</f>
        <v>700</v>
      </c>
      <c r="X1057" t="s">
        <v>81</v>
      </c>
      <c r="Y1057" t="s">
        <v>42</v>
      </c>
      <c r="Z1057" t="s">
        <v>82</v>
      </c>
      <c r="AA1057" t="s">
        <v>1397</v>
      </c>
      <c r="AB1057" t="s">
        <v>1398</v>
      </c>
      <c r="AC1057" t="s">
        <v>1399</v>
      </c>
      <c r="AD1057" t="s">
        <v>1400</v>
      </c>
      <c r="AE1057">
        <v>700</v>
      </c>
      <c r="AF1057" t="s">
        <v>87</v>
      </c>
      <c r="AG1057" t="s">
        <v>169</v>
      </c>
    </row>
    <row r="1058" spans="1:33" x14ac:dyDescent="0.25">
      <c r="A1058">
        <v>40882</v>
      </c>
      <c r="B1058" t="s">
        <v>32</v>
      </c>
      <c r="C1058">
        <v>1</v>
      </c>
      <c r="D1058" t="s">
        <v>1815</v>
      </c>
      <c r="E1058" t="s">
        <v>70</v>
      </c>
      <c r="F1058" t="s">
        <v>90</v>
      </c>
      <c r="G1058" t="s">
        <v>91</v>
      </c>
      <c r="H1058" t="s">
        <v>35</v>
      </c>
      <c r="I1058" t="s">
        <v>1816</v>
      </c>
      <c r="J1058" t="s">
        <v>1817</v>
      </c>
      <c r="K1058" t="s">
        <v>36</v>
      </c>
      <c r="L1058" t="s">
        <v>33</v>
      </c>
      <c r="M1058">
        <v>20614979543</v>
      </c>
      <c r="N1058" t="s">
        <v>1394</v>
      </c>
      <c r="P1058" t="s">
        <v>38</v>
      </c>
      <c r="Q1058" t="s">
        <v>1395</v>
      </c>
      <c r="R1058" t="s">
        <v>1818</v>
      </c>
      <c r="S1058">
        <v>1428</v>
      </c>
      <c r="T1058" t="s">
        <v>40</v>
      </c>
      <c r="U1058">
        <f>+IF(Tabla1[[#This Row],[MONEDA]]="PEN",Tabla1[[#This Row],[MONTO]],Tabla1[[#This Row],[MONTO]]*3.56)</f>
        <v>1428</v>
      </c>
      <c r="X1058" t="s">
        <v>41</v>
      </c>
      <c r="Y1058" t="s">
        <v>42</v>
      </c>
      <c r="Z1058" t="s">
        <v>82</v>
      </c>
      <c r="AA1058" t="s">
        <v>1819</v>
      </c>
      <c r="AB1058" t="s">
        <v>1820</v>
      </c>
      <c r="AC1058" t="s">
        <v>1821</v>
      </c>
      <c r="AD1058" t="s">
        <v>1822</v>
      </c>
      <c r="AE1058">
        <v>1385.16</v>
      </c>
      <c r="AF1058" t="s">
        <v>87</v>
      </c>
      <c r="AG1058" t="s">
        <v>169</v>
      </c>
    </row>
    <row r="1059" spans="1:33" x14ac:dyDescent="0.25">
      <c r="A1059">
        <v>40736</v>
      </c>
      <c r="B1059" t="s">
        <v>32</v>
      </c>
      <c r="C1059">
        <v>1</v>
      </c>
      <c r="D1059" t="s">
        <v>1968</v>
      </c>
      <c r="E1059" t="s">
        <v>70</v>
      </c>
      <c r="F1059" t="s">
        <v>90</v>
      </c>
      <c r="G1059" t="s">
        <v>1702</v>
      </c>
      <c r="H1059" t="s">
        <v>35</v>
      </c>
      <c r="I1059" t="s">
        <v>1969</v>
      </c>
      <c r="J1059" t="s">
        <v>1970</v>
      </c>
      <c r="K1059" t="s">
        <v>36</v>
      </c>
      <c r="L1059" t="s">
        <v>33</v>
      </c>
      <c r="M1059">
        <v>20614979543</v>
      </c>
      <c r="N1059" t="s">
        <v>1394</v>
      </c>
      <c r="P1059" t="s">
        <v>38</v>
      </c>
      <c r="Q1059" t="s">
        <v>1395</v>
      </c>
      <c r="R1059" t="s">
        <v>1971</v>
      </c>
      <c r="S1059">
        <v>5546</v>
      </c>
      <c r="T1059" t="s">
        <v>40</v>
      </c>
      <c r="U1059">
        <f>+IF(Tabla1[[#This Row],[MONEDA]]="PEN",Tabla1[[#This Row],[MONTO]],Tabla1[[#This Row],[MONTO]]*3.56)</f>
        <v>5546</v>
      </c>
      <c r="X1059" t="s">
        <v>81</v>
      </c>
      <c r="Y1059" t="s">
        <v>51</v>
      </c>
      <c r="Z1059" t="s">
        <v>43</v>
      </c>
      <c r="AA1059" t="s">
        <v>1972</v>
      </c>
      <c r="AB1059" t="s">
        <v>1973</v>
      </c>
      <c r="AC1059" t="s">
        <v>1974</v>
      </c>
      <c r="AE1059">
        <v>5379.62</v>
      </c>
      <c r="AF1059" t="s">
        <v>87</v>
      </c>
      <c r="AG1059" t="s">
        <v>169</v>
      </c>
    </row>
    <row r="1060" spans="1:33" x14ac:dyDescent="0.25">
      <c r="A1060">
        <v>38892</v>
      </c>
      <c r="B1060" t="s">
        <v>32</v>
      </c>
      <c r="C1060">
        <v>1</v>
      </c>
      <c r="D1060" t="s">
        <v>2748</v>
      </c>
      <c r="E1060" t="s">
        <v>70</v>
      </c>
      <c r="F1060" t="s">
        <v>90</v>
      </c>
      <c r="G1060" t="s">
        <v>91</v>
      </c>
      <c r="H1060" t="s">
        <v>35</v>
      </c>
      <c r="I1060" t="s">
        <v>2741</v>
      </c>
      <c r="J1060" t="s">
        <v>2749</v>
      </c>
      <c r="K1060" t="s">
        <v>36</v>
      </c>
      <c r="L1060" t="s">
        <v>33</v>
      </c>
      <c r="M1060">
        <v>20614979543</v>
      </c>
      <c r="N1060" t="s">
        <v>1394</v>
      </c>
      <c r="P1060" t="s">
        <v>38</v>
      </c>
      <c r="Q1060" t="s">
        <v>1395</v>
      </c>
      <c r="R1060" t="s">
        <v>2750</v>
      </c>
      <c r="S1060">
        <v>1680</v>
      </c>
      <c r="T1060" t="s">
        <v>40</v>
      </c>
      <c r="U1060">
        <f>+IF(Tabla1[[#This Row],[MONEDA]]="PEN",Tabla1[[#This Row],[MONTO]],Tabla1[[#This Row],[MONTO]]*3.56)</f>
        <v>1680</v>
      </c>
      <c r="X1060" t="s">
        <v>41</v>
      </c>
      <c r="Y1060" t="s">
        <v>42</v>
      </c>
      <c r="Z1060" t="s">
        <v>82</v>
      </c>
      <c r="AA1060" t="s">
        <v>2751</v>
      </c>
      <c r="AB1060" t="s">
        <v>2752</v>
      </c>
      <c r="AC1060" t="s">
        <v>2753</v>
      </c>
      <c r="AD1060" t="s">
        <v>2754</v>
      </c>
      <c r="AE1060">
        <v>1629.6</v>
      </c>
      <c r="AF1060" t="s">
        <v>87</v>
      </c>
      <c r="AG1060" t="s">
        <v>169</v>
      </c>
    </row>
    <row r="1061" spans="1:33" hidden="1" x14ac:dyDescent="0.25">
      <c r="A1061">
        <v>24388</v>
      </c>
      <c r="B1061" t="s">
        <v>32</v>
      </c>
      <c r="C1061">
        <v>2</v>
      </c>
      <c r="D1061" t="s">
        <v>10344</v>
      </c>
      <c r="E1061" t="s">
        <v>70</v>
      </c>
      <c r="F1061" t="s">
        <v>1275</v>
      </c>
      <c r="G1061" t="s">
        <v>10333</v>
      </c>
      <c r="H1061" t="s">
        <v>3703</v>
      </c>
      <c r="I1061" t="s">
        <v>10345</v>
      </c>
      <c r="J1061" t="s">
        <v>10345</v>
      </c>
      <c r="K1061" t="s">
        <v>36</v>
      </c>
      <c r="L1061" t="s">
        <v>33</v>
      </c>
      <c r="M1061">
        <v>10477816008</v>
      </c>
      <c r="N1061" t="s">
        <v>10346</v>
      </c>
      <c r="O1061" t="s">
        <v>10333</v>
      </c>
      <c r="R1061" t="s">
        <v>10347</v>
      </c>
      <c r="S1061">
        <v>28</v>
      </c>
      <c r="T1061" t="s">
        <v>40</v>
      </c>
      <c r="U1061">
        <f>+IF(Tabla1[[#This Row],[MONEDA]]="PEN",Tabla1[[#This Row],[MONTO]],Tabla1[[#This Row],[MONTO]]*3.56)</f>
        <v>28</v>
      </c>
      <c r="V1061" t="s">
        <v>190</v>
      </c>
      <c r="W1061">
        <v>22824</v>
      </c>
      <c r="X1061" t="s">
        <v>81</v>
      </c>
      <c r="Y1061" t="s">
        <v>42</v>
      </c>
      <c r="Z1061" t="s">
        <v>82</v>
      </c>
      <c r="AA1061" t="s">
        <v>10348</v>
      </c>
      <c r="AC1061" t="s">
        <v>10349</v>
      </c>
      <c r="AD1061" t="s">
        <v>10350</v>
      </c>
    </row>
    <row r="1062" spans="1:33" hidden="1" x14ac:dyDescent="0.25">
      <c r="A1062">
        <v>44079</v>
      </c>
      <c r="B1062" t="s">
        <v>32</v>
      </c>
      <c r="C1062">
        <v>1</v>
      </c>
      <c r="D1062" t="s">
        <v>596</v>
      </c>
      <c r="E1062" t="s">
        <v>70</v>
      </c>
      <c r="F1062" t="s">
        <v>33</v>
      </c>
      <c r="G1062" t="s">
        <v>71</v>
      </c>
      <c r="H1062" t="s">
        <v>35</v>
      </c>
      <c r="I1062" t="s">
        <v>575</v>
      </c>
      <c r="J1062" t="s">
        <v>597</v>
      </c>
      <c r="K1062" t="s">
        <v>36</v>
      </c>
      <c r="L1062" t="s">
        <v>33</v>
      </c>
      <c r="M1062">
        <v>20532639680</v>
      </c>
      <c r="N1062" t="s">
        <v>113</v>
      </c>
      <c r="O1062" t="s">
        <v>76</v>
      </c>
      <c r="P1062" t="s">
        <v>38</v>
      </c>
      <c r="Q1062" t="s">
        <v>114</v>
      </c>
      <c r="R1062" t="s">
        <v>598</v>
      </c>
      <c r="S1062">
        <v>713.3</v>
      </c>
      <c r="T1062" t="s">
        <v>40</v>
      </c>
      <c r="U1062">
        <f>+IF(Tabla1[[#This Row],[MONEDA]]="PEN",Tabla1[[#This Row],[MONTO]],Tabla1[[#This Row],[MONTO]]*3.56)</f>
        <v>713.3</v>
      </c>
      <c r="X1062" t="s">
        <v>81</v>
      </c>
      <c r="Y1062" t="s">
        <v>42</v>
      </c>
      <c r="Z1062" t="s">
        <v>82</v>
      </c>
      <c r="AA1062" t="s">
        <v>599</v>
      </c>
      <c r="AB1062" t="s">
        <v>600</v>
      </c>
      <c r="AC1062" t="s">
        <v>601</v>
      </c>
      <c r="AD1062" t="s">
        <v>602</v>
      </c>
      <c r="AE1062">
        <v>691.9</v>
      </c>
      <c r="AF1062" t="s">
        <v>87</v>
      </c>
      <c r="AG1062" t="s">
        <v>169</v>
      </c>
    </row>
    <row r="1063" spans="1:33" hidden="1" x14ac:dyDescent="0.25">
      <c r="A1063">
        <v>42282</v>
      </c>
      <c r="B1063" t="s">
        <v>32</v>
      </c>
      <c r="C1063">
        <v>1</v>
      </c>
      <c r="D1063" t="s">
        <v>1189</v>
      </c>
      <c r="E1063" t="s">
        <v>70</v>
      </c>
      <c r="F1063" t="s">
        <v>33</v>
      </c>
      <c r="G1063" t="s">
        <v>71</v>
      </c>
      <c r="H1063" t="s">
        <v>35</v>
      </c>
      <c r="I1063" t="s">
        <v>1120</v>
      </c>
      <c r="J1063" t="s">
        <v>1190</v>
      </c>
      <c r="K1063" t="s">
        <v>36</v>
      </c>
      <c r="L1063" t="s">
        <v>33</v>
      </c>
      <c r="M1063">
        <v>20532639680</v>
      </c>
      <c r="N1063" t="s">
        <v>113</v>
      </c>
      <c r="O1063" t="s">
        <v>76</v>
      </c>
      <c r="P1063" t="s">
        <v>38</v>
      </c>
      <c r="Q1063" t="s">
        <v>114</v>
      </c>
      <c r="R1063" t="s">
        <v>1191</v>
      </c>
      <c r="S1063">
        <v>339.4</v>
      </c>
      <c r="T1063" t="s">
        <v>40</v>
      </c>
      <c r="U1063">
        <f>+IF(Tabla1[[#This Row],[MONEDA]]="PEN",Tabla1[[#This Row],[MONTO]],Tabla1[[#This Row],[MONTO]]*3.56)</f>
        <v>339.4</v>
      </c>
      <c r="X1063" t="s">
        <v>81</v>
      </c>
      <c r="Y1063" t="s">
        <v>42</v>
      </c>
      <c r="Z1063" t="s">
        <v>82</v>
      </c>
      <c r="AA1063" t="s">
        <v>1192</v>
      </c>
      <c r="AB1063" t="s">
        <v>1193</v>
      </c>
      <c r="AC1063" t="s">
        <v>1194</v>
      </c>
      <c r="AD1063" t="s">
        <v>1195</v>
      </c>
      <c r="AE1063">
        <v>339.4</v>
      </c>
      <c r="AF1063" t="s">
        <v>87</v>
      </c>
      <c r="AG1063" t="s">
        <v>169</v>
      </c>
    </row>
    <row r="1064" spans="1:33" hidden="1" x14ac:dyDescent="0.25">
      <c r="A1064">
        <v>41529</v>
      </c>
      <c r="B1064" t="s">
        <v>32</v>
      </c>
      <c r="C1064">
        <v>1</v>
      </c>
      <c r="D1064" t="s">
        <v>1357</v>
      </c>
      <c r="E1064" t="s">
        <v>70</v>
      </c>
      <c r="F1064" t="s">
        <v>33</v>
      </c>
      <c r="G1064" t="s">
        <v>71</v>
      </c>
      <c r="H1064" t="s">
        <v>35</v>
      </c>
      <c r="I1064" t="s">
        <v>1350</v>
      </c>
      <c r="J1064" t="s">
        <v>1358</v>
      </c>
      <c r="K1064" t="s">
        <v>36</v>
      </c>
      <c r="L1064" t="s">
        <v>33</v>
      </c>
      <c r="M1064">
        <v>20532639680</v>
      </c>
      <c r="N1064" t="s">
        <v>113</v>
      </c>
      <c r="O1064" t="s">
        <v>76</v>
      </c>
      <c r="P1064" t="s">
        <v>38</v>
      </c>
      <c r="Q1064" t="s">
        <v>114</v>
      </c>
      <c r="R1064" t="s">
        <v>1359</v>
      </c>
      <c r="S1064">
        <v>607.29999999999995</v>
      </c>
      <c r="T1064" t="s">
        <v>40</v>
      </c>
      <c r="U1064">
        <f>+IF(Tabla1[[#This Row],[MONEDA]]="PEN",Tabla1[[#This Row],[MONTO]],Tabla1[[#This Row],[MONTO]]*3.56)</f>
        <v>607.29999999999995</v>
      </c>
      <c r="X1064" t="s">
        <v>81</v>
      </c>
      <c r="Y1064" t="s">
        <v>42</v>
      </c>
      <c r="Z1064" t="s">
        <v>82</v>
      </c>
      <c r="AA1064" t="s">
        <v>1360</v>
      </c>
      <c r="AB1064" t="s">
        <v>1361</v>
      </c>
      <c r="AC1064" t="s">
        <v>1362</v>
      </c>
      <c r="AD1064" t="s">
        <v>1363</v>
      </c>
      <c r="AE1064">
        <v>607.29999999999995</v>
      </c>
      <c r="AF1064" t="s">
        <v>87</v>
      </c>
      <c r="AG1064" t="s">
        <v>169</v>
      </c>
    </row>
    <row r="1065" spans="1:33" hidden="1" x14ac:dyDescent="0.25">
      <c r="A1065">
        <v>38865</v>
      </c>
      <c r="B1065" t="s">
        <v>32</v>
      </c>
      <c r="C1065">
        <v>1</v>
      </c>
      <c r="D1065" t="s">
        <v>2740</v>
      </c>
      <c r="E1065" t="s">
        <v>70</v>
      </c>
      <c r="F1065" t="s">
        <v>33</v>
      </c>
      <c r="G1065" t="s">
        <v>71</v>
      </c>
      <c r="H1065" t="s">
        <v>35</v>
      </c>
      <c r="I1065" t="s">
        <v>2741</v>
      </c>
      <c r="J1065" t="s">
        <v>2742</v>
      </c>
      <c r="K1065" t="s">
        <v>36</v>
      </c>
      <c r="L1065" t="s">
        <v>33</v>
      </c>
      <c r="M1065">
        <v>20532639680</v>
      </c>
      <c r="N1065" t="s">
        <v>113</v>
      </c>
      <c r="O1065" t="s">
        <v>76</v>
      </c>
      <c r="P1065" t="s">
        <v>38</v>
      </c>
      <c r="Q1065" t="s">
        <v>114</v>
      </c>
      <c r="R1065" t="s">
        <v>2743</v>
      </c>
      <c r="S1065">
        <v>1313.6</v>
      </c>
      <c r="T1065" t="s">
        <v>40</v>
      </c>
      <c r="U1065">
        <f>+IF(Tabla1[[#This Row],[MONEDA]]="PEN",Tabla1[[#This Row],[MONTO]],Tabla1[[#This Row],[MONTO]]*3.56)</f>
        <v>1313.6</v>
      </c>
      <c r="X1065" t="s">
        <v>81</v>
      </c>
      <c r="Y1065" t="s">
        <v>42</v>
      </c>
      <c r="Z1065" t="s">
        <v>82</v>
      </c>
      <c r="AA1065" t="s">
        <v>2744</v>
      </c>
      <c r="AB1065" t="s">
        <v>2745</v>
      </c>
      <c r="AC1065" t="s">
        <v>2746</v>
      </c>
      <c r="AD1065" t="s">
        <v>2747</v>
      </c>
      <c r="AE1065">
        <v>1274.19</v>
      </c>
      <c r="AF1065" t="s">
        <v>87</v>
      </c>
      <c r="AG1065" t="s">
        <v>169</v>
      </c>
    </row>
    <row r="1066" spans="1:33" hidden="1" x14ac:dyDescent="0.25">
      <c r="A1066">
        <v>38535</v>
      </c>
      <c r="B1066" t="s">
        <v>32</v>
      </c>
      <c r="C1066">
        <v>1</v>
      </c>
      <c r="D1066" t="s">
        <v>2814</v>
      </c>
      <c r="E1066" t="s">
        <v>70</v>
      </c>
      <c r="F1066" t="s">
        <v>33</v>
      </c>
      <c r="G1066" t="s">
        <v>71</v>
      </c>
      <c r="H1066" t="s">
        <v>35</v>
      </c>
      <c r="I1066" t="s">
        <v>2814</v>
      </c>
      <c r="J1066" t="s">
        <v>2820</v>
      </c>
      <c r="K1066" t="s">
        <v>36</v>
      </c>
      <c r="L1066" t="s">
        <v>33</v>
      </c>
      <c r="M1066">
        <v>20532639680</v>
      </c>
      <c r="N1066" t="s">
        <v>113</v>
      </c>
      <c r="O1066" t="s">
        <v>76</v>
      </c>
      <c r="R1066" t="s">
        <v>2821</v>
      </c>
      <c r="S1066">
        <v>74</v>
      </c>
      <c r="T1066" t="s">
        <v>40</v>
      </c>
      <c r="U1066">
        <f>+IF(Tabla1[[#This Row],[MONEDA]]="PEN",Tabla1[[#This Row],[MONTO]],Tabla1[[#This Row],[MONTO]]*3.56)</f>
        <v>74</v>
      </c>
      <c r="V1066" t="s">
        <v>190</v>
      </c>
      <c r="W1066">
        <v>34656</v>
      </c>
      <c r="X1066" t="s">
        <v>81</v>
      </c>
      <c r="Y1066" t="s">
        <v>42</v>
      </c>
      <c r="Z1066" t="s">
        <v>43</v>
      </c>
      <c r="AA1066" t="s">
        <v>2822</v>
      </c>
      <c r="AC1066" t="s">
        <v>2823</v>
      </c>
      <c r="AD1066" t="s">
        <v>2824</v>
      </c>
    </row>
    <row r="1067" spans="1:33" hidden="1" x14ac:dyDescent="0.25">
      <c r="A1067">
        <v>37815</v>
      </c>
      <c r="B1067" t="s">
        <v>32</v>
      </c>
      <c r="C1067">
        <v>1</v>
      </c>
      <c r="D1067" t="s">
        <v>3071</v>
      </c>
      <c r="E1067" t="s">
        <v>70</v>
      </c>
      <c r="F1067" t="s">
        <v>33</v>
      </c>
      <c r="G1067" t="s">
        <v>71</v>
      </c>
      <c r="H1067" t="s">
        <v>35</v>
      </c>
      <c r="I1067" t="s">
        <v>3058</v>
      </c>
      <c r="J1067" t="s">
        <v>3072</v>
      </c>
      <c r="K1067" t="s">
        <v>36</v>
      </c>
      <c r="L1067" t="s">
        <v>33</v>
      </c>
      <c r="M1067">
        <v>20532639680</v>
      </c>
      <c r="N1067" t="s">
        <v>113</v>
      </c>
      <c r="O1067" t="s">
        <v>76</v>
      </c>
      <c r="P1067" t="s">
        <v>38</v>
      </c>
      <c r="Q1067" t="s">
        <v>114</v>
      </c>
      <c r="R1067" t="s">
        <v>3073</v>
      </c>
      <c r="S1067">
        <v>337.8</v>
      </c>
      <c r="T1067" t="s">
        <v>40</v>
      </c>
      <c r="U1067">
        <f>+IF(Tabla1[[#This Row],[MONEDA]]="PEN",Tabla1[[#This Row],[MONTO]],Tabla1[[#This Row],[MONTO]]*3.56)</f>
        <v>337.8</v>
      </c>
      <c r="X1067" t="s">
        <v>81</v>
      </c>
      <c r="Y1067" t="s">
        <v>42</v>
      </c>
      <c r="Z1067" t="s">
        <v>82</v>
      </c>
      <c r="AA1067" t="s">
        <v>3074</v>
      </c>
      <c r="AB1067" t="s">
        <v>3075</v>
      </c>
      <c r="AC1067" t="s">
        <v>3076</v>
      </c>
      <c r="AD1067" t="s">
        <v>3077</v>
      </c>
      <c r="AE1067">
        <v>337.8</v>
      </c>
      <c r="AF1067" t="s">
        <v>87</v>
      </c>
      <c r="AG1067" t="s">
        <v>169</v>
      </c>
    </row>
    <row r="1068" spans="1:33" hidden="1" x14ac:dyDescent="0.25">
      <c r="A1068">
        <v>36980</v>
      </c>
      <c r="B1068" t="s">
        <v>32</v>
      </c>
      <c r="C1068">
        <v>1</v>
      </c>
      <c r="D1068" t="s">
        <v>3568</v>
      </c>
      <c r="E1068" t="s">
        <v>70</v>
      </c>
      <c r="F1068" t="s">
        <v>33</v>
      </c>
      <c r="G1068" t="s">
        <v>71</v>
      </c>
      <c r="H1068" t="s">
        <v>35</v>
      </c>
      <c r="I1068" t="s">
        <v>3561</v>
      </c>
      <c r="J1068" t="s">
        <v>3569</v>
      </c>
      <c r="K1068" t="s">
        <v>36</v>
      </c>
      <c r="L1068" t="s">
        <v>33</v>
      </c>
      <c r="M1068">
        <v>20532639680</v>
      </c>
      <c r="N1068" t="s">
        <v>113</v>
      </c>
      <c r="O1068" t="s">
        <v>76</v>
      </c>
      <c r="P1068" t="s">
        <v>38</v>
      </c>
      <c r="Q1068" t="s">
        <v>114</v>
      </c>
      <c r="R1068" t="s">
        <v>3570</v>
      </c>
      <c r="S1068">
        <v>593.1</v>
      </c>
      <c r="T1068" t="s">
        <v>40</v>
      </c>
      <c r="U1068">
        <f>+IF(Tabla1[[#This Row],[MONEDA]]="PEN",Tabla1[[#This Row],[MONTO]],Tabla1[[#This Row],[MONTO]]*3.56)</f>
        <v>593.1</v>
      </c>
      <c r="X1068" t="s">
        <v>81</v>
      </c>
      <c r="Y1068" t="s">
        <v>42</v>
      </c>
      <c r="Z1068" t="s">
        <v>43</v>
      </c>
      <c r="AA1068" t="s">
        <v>3571</v>
      </c>
      <c r="AB1068" t="s">
        <v>3572</v>
      </c>
      <c r="AC1068" t="s">
        <v>3573</v>
      </c>
      <c r="AD1068" t="s">
        <v>3574</v>
      </c>
      <c r="AE1068">
        <v>593.1</v>
      </c>
      <c r="AG1068" t="s">
        <v>169</v>
      </c>
    </row>
    <row r="1069" spans="1:33" hidden="1" x14ac:dyDescent="0.25">
      <c r="A1069">
        <v>34688</v>
      </c>
      <c r="B1069" t="s">
        <v>32</v>
      </c>
      <c r="C1069">
        <v>1</v>
      </c>
      <c r="D1069" t="s">
        <v>4503</v>
      </c>
      <c r="E1069" t="s">
        <v>70</v>
      </c>
      <c r="F1069" t="s">
        <v>33</v>
      </c>
      <c r="G1069" t="s">
        <v>71</v>
      </c>
      <c r="H1069" t="s">
        <v>35</v>
      </c>
      <c r="I1069" t="s">
        <v>4504</v>
      </c>
      <c r="J1069" t="s">
        <v>4505</v>
      </c>
      <c r="K1069" t="s">
        <v>36</v>
      </c>
      <c r="L1069" t="s">
        <v>33</v>
      </c>
      <c r="M1069">
        <v>20532639680</v>
      </c>
      <c r="N1069" t="s">
        <v>113</v>
      </c>
      <c r="O1069" t="s">
        <v>76</v>
      </c>
      <c r="P1069" t="s">
        <v>38</v>
      </c>
      <c r="Q1069" t="s">
        <v>114</v>
      </c>
      <c r="R1069" t="s">
        <v>4506</v>
      </c>
      <c r="S1069">
        <v>491.7</v>
      </c>
      <c r="T1069" t="s">
        <v>40</v>
      </c>
      <c r="U1069">
        <f>+IF(Tabla1[[#This Row],[MONEDA]]="PEN",Tabla1[[#This Row],[MONTO]],Tabla1[[#This Row],[MONTO]]*3.56)</f>
        <v>491.7</v>
      </c>
      <c r="X1069" t="s">
        <v>81</v>
      </c>
      <c r="Y1069" t="s">
        <v>42</v>
      </c>
      <c r="Z1069" t="s">
        <v>43</v>
      </c>
      <c r="AA1069" t="s">
        <v>4507</v>
      </c>
      <c r="AB1069" t="s">
        <v>4508</v>
      </c>
      <c r="AC1069" t="s">
        <v>4509</v>
      </c>
      <c r="AD1069" t="s">
        <v>4510</v>
      </c>
      <c r="AE1069">
        <v>491.7</v>
      </c>
      <c r="AF1069" t="s">
        <v>87</v>
      </c>
      <c r="AG1069" t="s">
        <v>169</v>
      </c>
    </row>
    <row r="1070" spans="1:33" hidden="1" x14ac:dyDescent="0.25">
      <c r="A1070">
        <v>32953</v>
      </c>
      <c r="B1070" t="s">
        <v>32</v>
      </c>
      <c r="C1070">
        <v>2</v>
      </c>
      <c r="D1070" t="s">
        <v>5108</v>
      </c>
      <c r="E1070" t="s">
        <v>70</v>
      </c>
      <c r="F1070" t="s">
        <v>33</v>
      </c>
      <c r="G1070" t="s">
        <v>71</v>
      </c>
      <c r="H1070" t="s">
        <v>72</v>
      </c>
      <c r="I1070" t="s">
        <v>5087</v>
      </c>
      <c r="J1070" t="s">
        <v>5109</v>
      </c>
      <c r="K1070" t="s">
        <v>36</v>
      </c>
      <c r="L1070" t="s">
        <v>33</v>
      </c>
      <c r="M1070">
        <v>20532639680</v>
      </c>
      <c r="N1070" t="s">
        <v>113</v>
      </c>
      <c r="O1070" t="s">
        <v>76</v>
      </c>
      <c r="P1070" t="s">
        <v>38</v>
      </c>
      <c r="Q1070" t="s">
        <v>114</v>
      </c>
      <c r="R1070" t="s">
        <v>5110</v>
      </c>
      <c r="S1070">
        <v>395.4</v>
      </c>
      <c r="T1070" t="s">
        <v>40</v>
      </c>
      <c r="U1070">
        <f>+IF(Tabla1[[#This Row],[MONEDA]]="PEN",Tabla1[[#This Row],[MONTO]],Tabla1[[#This Row],[MONTO]]*3.56)</f>
        <v>395.4</v>
      </c>
      <c r="X1070" t="s">
        <v>81</v>
      </c>
      <c r="Y1070" t="s">
        <v>42</v>
      </c>
      <c r="Z1070" t="s">
        <v>43</v>
      </c>
      <c r="AA1070" t="s">
        <v>5111</v>
      </c>
      <c r="AB1070" t="s">
        <v>5112</v>
      </c>
      <c r="AC1070" t="s">
        <v>5113</v>
      </c>
      <c r="AD1070" t="s">
        <v>5114</v>
      </c>
      <c r="AE1070">
        <v>395.4</v>
      </c>
      <c r="AG1070" t="s">
        <v>169</v>
      </c>
    </row>
    <row r="1071" spans="1:33" hidden="1" x14ac:dyDescent="0.25">
      <c r="A1071">
        <v>31937</v>
      </c>
      <c r="B1071" t="s">
        <v>32</v>
      </c>
      <c r="C1071">
        <v>1</v>
      </c>
      <c r="D1071" t="s">
        <v>5449</v>
      </c>
      <c r="E1071" t="s">
        <v>70</v>
      </c>
      <c r="F1071" t="s">
        <v>33</v>
      </c>
      <c r="G1071" t="s">
        <v>71</v>
      </c>
      <c r="H1071" t="s">
        <v>35</v>
      </c>
      <c r="I1071" t="s">
        <v>5441</v>
      </c>
      <c r="J1071" t="s">
        <v>5450</v>
      </c>
      <c r="K1071" t="s">
        <v>36</v>
      </c>
      <c r="L1071" t="s">
        <v>33</v>
      </c>
      <c r="M1071">
        <v>20532639680</v>
      </c>
      <c r="N1071" t="s">
        <v>113</v>
      </c>
      <c r="O1071" t="s">
        <v>76</v>
      </c>
      <c r="P1071" t="s">
        <v>38</v>
      </c>
      <c r="Q1071" t="s">
        <v>114</v>
      </c>
      <c r="R1071" t="s">
        <v>5451</v>
      </c>
      <c r="S1071">
        <v>321</v>
      </c>
      <c r="T1071" t="s">
        <v>40</v>
      </c>
      <c r="U1071">
        <f>+IF(Tabla1[[#This Row],[MONEDA]]="PEN",Tabla1[[#This Row],[MONTO]],Tabla1[[#This Row],[MONTO]]*3.56)</f>
        <v>321</v>
      </c>
      <c r="X1071" t="s">
        <v>81</v>
      </c>
      <c r="Y1071" t="s">
        <v>42</v>
      </c>
      <c r="Z1071" t="s">
        <v>43</v>
      </c>
      <c r="AA1071" t="s">
        <v>5452</v>
      </c>
      <c r="AB1071" t="s">
        <v>5453</v>
      </c>
      <c r="AC1071" t="s">
        <v>5454</v>
      </c>
      <c r="AD1071" t="s">
        <v>5455</v>
      </c>
      <c r="AE1071">
        <v>321</v>
      </c>
      <c r="AF1071" t="s">
        <v>87</v>
      </c>
      <c r="AG1071" t="s">
        <v>169</v>
      </c>
    </row>
    <row r="1072" spans="1:33" hidden="1" x14ac:dyDescent="0.25">
      <c r="A1072">
        <v>31705</v>
      </c>
      <c r="B1072" t="s">
        <v>32</v>
      </c>
      <c r="C1072">
        <v>1</v>
      </c>
      <c r="D1072" t="s">
        <v>5676</v>
      </c>
      <c r="E1072" t="s">
        <v>70</v>
      </c>
      <c r="F1072" t="s">
        <v>33</v>
      </c>
      <c r="G1072" t="s">
        <v>71</v>
      </c>
      <c r="H1072" t="s">
        <v>35</v>
      </c>
      <c r="I1072" t="s">
        <v>5670</v>
      </c>
      <c r="J1072" t="s">
        <v>5677</v>
      </c>
      <c r="K1072" t="s">
        <v>36</v>
      </c>
      <c r="L1072" t="s">
        <v>33</v>
      </c>
      <c r="M1072">
        <v>20532639680</v>
      </c>
      <c r="N1072" t="s">
        <v>113</v>
      </c>
      <c r="O1072" t="s">
        <v>76</v>
      </c>
      <c r="P1072" t="s">
        <v>38</v>
      </c>
      <c r="Q1072" t="s">
        <v>114</v>
      </c>
      <c r="R1072" t="s">
        <v>5678</v>
      </c>
      <c r="S1072">
        <v>333.6</v>
      </c>
      <c r="T1072" t="s">
        <v>40</v>
      </c>
      <c r="U1072">
        <f>+IF(Tabla1[[#This Row],[MONEDA]]="PEN",Tabla1[[#This Row],[MONTO]],Tabla1[[#This Row],[MONTO]]*3.56)</f>
        <v>333.6</v>
      </c>
      <c r="X1072" t="s">
        <v>81</v>
      </c>
      <c r="Y1072" t="s">
        <v>42</v>
      </c>
      <c r="Z1072" t="s">
        <v>43</v>
      </c>
      <c r="AA1072" t="s">
        <v>5679</v>
      </c>
      <c r="AB1072" t="s">
        <v>5680</v>
      </c>
      <c r="AC1072" t="s">
        <v>5681</v>
      </c>
      <c r="AD1072" t="s">
        <v>5682</v>
      </c>
      <c r="AE1072">
        <v>333.6</v>
      </c>
      <c r="AF1072" t="s">
        <v>87</v>
      </c>
      <c r="AG1072" t="s">
        <v>169</v>
      </c>
    </row>
    <row r="1073" spans="1:33" hidden="1" x14ac:dyDescent="0.25">
      <c r="A1073">
        <v>45929</v>
      </c>
      <c r="B1073" t="s">
        <v>32</v>
      </c>
      <c r="C1073">
        <v>1</v>
      </c>
      <c r="D1073" t="s">
        <v>111</v>
      </c>
      <c r="E1073" t="s">
        <v>45</v>
      </c>
      <c r="F1073" t="s">
        <v>33</v>
      </c>
      <c r="G1073" t="s">
        <v>71</v>
      </c>
      <c r="H1073" t="s">
        <v>35</v>
      </c>
      <c r="I1073" t="s">
        <v>98</v>
      </c>
      <c r="J1073" t="s">
        <v>112</v>
      </c>
      <c r="K1073" t="s">
        <v>36</v>
      </c>
      <c r="L1073" t="s">
        <v>33</v>
      </c>
      <c r="M1073">
        <v>20532639680</v>
      </c>
      <c r="N1073" t="s">
        <v>113</v>
      </c>
      <c r="P1073" t="s">
        <v>38</v>
      </c>
      <c r="Q1073" t="s">
        <v>114</v>
      </c>
      <c r="R1073" t="s">
        <v>115</v>
      </c>
      <c r="S1073">
        <v>546</v>
      </c>
      <c r="T1073" t="s">
        <v>40</v>
      </c>
      <c r="U1073">
        <f>+IF(Tabla1[[#This Row],[MONEDA]]="PEN",Tabla1[[#This Row],[MONTO]],Tabla1[[#This Row],[MONTO]]*3.56)</f>
        <v>546</v>
      </c>
      <c r="X1073" t="s">
        <v>81</v>
      </c>
      <c r="Y1073" t="s">
        <v>51</v>
      </c>
      <c r="Z1073" t="s">
        <v>43</v>
      </c>
      <c r="AB1073" t="s">
        <v>116</v>
      </c>
    </row>
    <row r="1074" spans="1:33" hidden="1" x14ac:dyDescent="0.25">
      <c r="A1074">
        <v>44079</v>
      </c>
      <c r="B1074" t="s">
        <v>32</v>
      </c>
      <c r="C1074">
        <v>1</v>
      </c>
      <c r="D1074" t="s">
        <v>596</v>
      </c>
      <c r="E1074" t="s">
        <v>70</v>
      </c>
      <c r="F1074" t="s">
        <v>33</v>
      </c>
      <c r="G1074" t="s">
        <v>71</v>
      </c>
      <c r="H1074" t="s">
        <v>35</v>
      </c>
      <c r="I1074" t="s">
        <v>575</v>
      </c>
      <c r="J1074" t="s">
        <v>597</v>
      </c>
      <c r="K1074" t="s">
        <v>36</v>
      </c>
      <c r="L1074" t="s">
        <v>33</v>
      </c>
      <c r="M1074">
        <v>20532639680</v>
      </c>
      <c r="N1074" t="s">
        <v>117</v>
      </c>
      <c r="O1074" t="s">
        <v>76</v>
      </c>
      <c r="P1074" t="s">
        <v>38</v>
      </c>
      <c r="Q1074" t="s">
        <v>114</v>
      </c>
      <c r="R1074" t="s">
        <v>598</v>
      </c>
      <c r="S1074">
        <v>713.3</v>
      </c>
      <c r="T1074" t="s">
        <v>40</v>
      </c>
      <c r="U1074">
        <f>+IF(Tabla1[[#This Row],[MONEDA]]="PEN",Tabla1[[#This Row],[MONTO]],Tabla1[[#This Row],[MONTO]]*3.56)</f>
        <v>713.3</v>
      </c>
      <c r="X1074" t="s">
        <v>81</v>
      </c>
      <c r="Y1074" t="s">
        <v>42</v>
      </c>
      <c r="Z1074" t="s">
        <v>82</v>
      </c>
      <c r="AA1074" t="s">
        <v>599</v>
      </c>
      <c r="AB1074" t="s">
        <v>600</v>
      </c>
      <c r="AC1074" t="s">
        <v>601</v>
      </c>
      <c r="AD1074" t="s">
        <v>602</v>
      </c>
      <c r="AE1074">
        <v>691.9</v>
      </c>
      <c r="AF1074" t="s">
        <v>87</v>
      </c>
      <c r="AG1074" t="s">
        <v>169</v>
      </c>
    </row>
    <row r="1075" spans="1:33" hidden="1" x14ac:dyDescent="0.25">
      <c r="A1075">
        <v>42282</v>
      </c>
      <c r="B1075" t="s">
        <v>32</v>
      </c>
      <c r="C1075">
        <v>1</v>
      </c>
      <c r="D1075" t="s">
        <v>1189</v>
      </c>
      <c r="E1075" t="s">
        <v>70</v>
      </c>
      <c r="F1075" t="s">
        <v>33</v>
      </c>
      <c r="G1075" t="s">
        <v>71</v>
      </c>
      <c r="H1075" t="s">
        <v>35</v>
      </c>
      <c r="I1075" t="s">
        <v>1120</v>
      </c>
      <c r="J1075" t="s">
        <v>1190</v>
      </c>
      <c r="K1075" t="s">
        <v>36</v>
      </c>
      <c r="L1075" t="s">
        <v>33</v>
      </c>
      <c r="M1075">
        <v>20532639680</v>
      </c>
      <c r="N1075" t="s">
        <v>117</v>
      </c>
      <c r="O1075" t="s">
        <v>76</v>
      </c>
      <c r="P1075" t="s">
        <v>38</v>
      </c>
      <c r="Q1075" t="s">
        <v>114</v>
      </c>
      <c r="R1075" t="s">
        <v>1191</v>
      </c>
      <c r="S1075">
        <v>339.4</v>
      </c>
      <c r="T1075" t="s">
        <v>40</v>
      </c>
      <c r="U1075">
        <f>+IF(Tabla1[[#This Row],[MONEDA]]="PEN",Tabla1[[#This Row],[MONTO]],Tabla1[[#This Row],[MONTO]]*3.56)</f>
        <v>339.4</v>
      </c>
      <c r="X1075" t="s">
        <v>81</v>
      </c>
      <c r="Y1075" t="s">
        <v>42</v>
      </c>
      <c r="Z1075" t="s">
        <v>82</v>
      </c>
      <c r="AA1075" t="s">
        <v>1192</v>
      </c>
      <c r="AB1075" t="s">
        <v>1193</v>
      </c>
      <c r="AC1075" t="s">
        <v>1194</v>
      </c>
      <c r="AD1075" t="s">
        <v>1195</v>
      </c>
      <c r="AE1075">
        <v>339.4</v>
      </c>
      <c r="AF1075" t="s">
        <v>87</v>
      </c>
      <c r="AG1075" t="s">
        <v>169</v>
      </c>
    </row>
    <row r="1076" spans="1:33" hidden="1" x14ac:dyDescent="0.25">
      <c r="A1076">
        <v>41529</v>
      </c>
      <c r="B1076" t="s">
        <v>32</v>
      </c>
      <c r="C1076">
        <v>1</v>
      </c>
      <c r="D1076" t="s">
        <v>1357</v>
      </c>
      <c r="E1076" t="s">
        <v>70</v>
      </c>
      <c r="F1076" t="s">
        <v>33</v>
      </c>
      <c r="G1076" t="s">
        <v>71</v>
      </c>
      <c r="H1076" t="s">
        <v>35</v>
      </c>
      <c r="I1076" t="s">
        <v>1350</v>
      </c>
      <c r="J1076" t="s">
        <v>1358</v>
      </c>
      <c r="K1076" t="s">
        <v>36</v>
      </c>
      <c r="L1076" t="s">
        <v>33</v>
      </c>
      <c r="M1076">
        <v>20532639680</v>
      </c>
      <c r="N1076" t="s">
        <v>117</v>
      </c>
      <c r="O1076" t="s">
        <v>76</v>
      </c>
      <c r="P1076" t="s">
        <v>38</v>
      </c>
      <c r="Q1076" t="s">
        <v>114</v>
      </c>
      <c r="R1076" t="s">
        <v>1359</v>
      </c>
      <c r="S1076">
        <v>607.29999999999995</v>
      </c>
      <c r="T1076" t="s">
        <v>40</v>
      </c>
      <c r="U1076">
        <f>+IF(Tabla1[[#This Row],[MONEDA]]="PEN",Tabla1[[#This Row],[MONTO]],Tabla1[[#This Row],[MONTO]]*3.56)</f>
        <v>607.29999999999995</v>
      </c>
      <c r="X1076" t="s">
        <v>81</v>
      </c>
      <c r="Y1076" t="s">
        <v>42</v>
      </c>
      <c r="Z1076" t="s">
        <v>82</v>
      </c>
      <c r="AA1076" t="s">
        <v>1360</v>
      </c>
      <c r="AB1076" t="s">
        <v>1361</v>
      </c>
      <c r="AC1076" t="s">
        <v>1362</v>
      </c>
      <c r="AD1076" t="s">
        <v>1363</v>
      </c>
      <c r="AE1076">
        <v>607.29999999999995</v>
      </c>
      <c r="AF1076" t="s">
        <v>87</v>
      </c>
      <c r="AG1076" t="s">
        <v>169</v>
      </c>
    </row>
    <row r="1077" spans="1:33" hidden="1" x14ac:dyDescent="0.25">
      <c r="A1077">
        <v>38865</v>
      </c>
      <c r="B1077" t="s">
        <v>32</v>
      </c>
      <c r="C1077">
        <v>1</v>
      </c>
      <c r="D1077" t="s">
        <v>2740</v>
      </c>
      <c r="E1077" t="s">
        <v>70</v>
      </c>
      <c r="F1077" t="s">
        <v>33</v>
      </c>
      <c r="G1077" t="s">
        <v>71</v>
      </c>
      <c r="H1077" t="s">
        <v>35</v>
      </c>
      <c r="I1077" t="s">
        <v>2741</v>
      </c>
      <c r="J1077" t="s">
        <v>2742</v>
      </c>
      <c r="K1077" t="s">
        <v>36</v>
      </c>
      <c r="L1077" t="s">
        <v>33</v>
      </c>
      <c r="M1077">
        <v>20532639680</v>
      </c>
      <c r="N1077" t="s">
        <v>117</v>
      </c>
      <c r="O1077" t="s">
        <v>76</v>
      </c>
      <c r="P1077" t="s">
        <v>38</v>
      </c>
      <c r="Q1077" t="s">
        <v>114</v>
      </c>
      <c r="R1077" t="s">
        <v>2743</v>
      </c>
      <c r="S1077">
        <v>1313.6</v>
      </c>
      <c r="T1077" t="s">
        <v>40</v>
      </c>
      <c r="U1077">
        <f>+IF(Tabla1[[#This Row],[MONEDA]]="PEN",Tabla1[[#This Row],[MONTO]],Tabla1[[#This Row],[MONTO]]*3.56)</f>
        <v>1313.6</v>
      </c>
      <c r="X1077" t="s">
        <v>81</v>
      </c>
      <c r="Y1077" t="s">
        <v>42</v>
      </c>
      <c r="Z1077" t="s">
        <v>82</v>
      </c>
      <c r="AA1077" t="s">
        <v>2744</v>
      </c>
      <c r="AB1077" t="s">
        <v>2745</v>
      </c>
      <c r="AC1077" t="s">
        <v>2746</v>
      </c>
      <c r="AD1077" t="s">
        <v>2747</v>
      </c>
      <c r="AE1077">
        <v>1274.19</v>
      </c>
      <c r="AF1077" t="s">
        <v>87</v>
      </c>
      <c r="AG1077" t="s">
        <v>169</v>
      </c>
    </row>
    <row r="1078" spans="1:33" hidden="1" x14ac:dyDescent="0.25">
      <c r="A1078">
        <v>38535</v>
      </c>
      <c r="B1078" t="s">
        <v>32</v>
      </c>
      <c r="C1078">
        <v>1</v>
      </c>
      <c r="D1078" t="s">
        <v>2814</v>
      </c>
      <c r="E1078" t="s">
        <v>70</v>
      </c>
      <c r="F1078" t="s">
        <v>33</v>
      </c>
      <c r="G1078" t="s">
        <v>71</v>
      </c>
      <c r="H1078" t="s">
        <v>35</v>
      </c>
      <c r="I1078" t="s">
        <v>2814</v>
      </c>
      <c r="J1078" t="s">
        <v>2820</v>
      </c>
      <c r="K1078" t="s">
        <v>36</v>
      </c>
      <c r="L1078" t="s">
        <v>33</v>
      </c>
      <c r="M1078">
        <v>20532639680</v>
      </c>
      <c r="N1078" t="s">
        <v>117</v>
      </c>
      <c r="O1078" t="s">
        <v>76</v>
      </c>
      <c r="R1078" t="s">
        <v>2821</v>
      </c>
      <c r="S1078">
        <v>74</v>
      </c>
      <c r="T1078" t="s">
        <v>40</v>
      </c>
      <c r="U1078">
        <f>+IF(Tabla1[[#This Row],[MONEDA]]="PEN",Tabla1[[#This Row],[MONTO]],Tabla1[[#This Row],[MONTO]]*3.56)</f>
        <v>74</v>
      </c>
      <c r="V1078" t="s">
        <v>190</v>
      </c>
      <c r="W1078">
        <v>34656</v>
      </c>
      <c r="X1078" t="s">
        <v>81</v>
      </c>
      <c r="Y1078" t="s">
        <v>42</v>
      </c>
      <c r="Z1078" t="s">
        <v>43</v>
      </c>
      <c r="AA1078" t="s">
        <v>2822</v>
      </c>
      <c r="AC1078" t="s">
        <v>2823</v>
      </c>
      <c r="AD1078" t="s">
        <v>2824</v>
      </c>
    </row>
    <row r="1079" spans="1:33" hidden="1" x14ac:dyDescent="0.25">
      <c r="A1079">
        <v>37815</v>
      </c>
      <c r="B1079" t="s">
        <v>32</v>
      </c>
      <c r="C1079">
        <v>1</v>
      </c>
      <c r="D1079" t="s">
        <v>3071</v>
      </c>
      <c r="E1079" t="s">
        <v>70</v>
      </c>
      <c r="F1079" t="s">
        <v>33</v>
      </c>
      <c r="G1079" t="s">
        <v>71</v>
      </c>
      <c r="H1079" t="s">
        <v>35</v>
      </c>
      <c r="I1079" t="s">
        <v>3058</v>
      </c>
      <c r="J1079" t="s">
        <v>3072</v>
      </c>
      <c r="K1079" t="s">
        <v>36</v>
      </c>
      <c r="L1079" t="s">
        <v>33</v>
      </c>
      <c r="M1079">
        <v>20532639680</v>
      </c>
      <c r="N1079" t="s">
        <v>117</v>
      </c>
      <c r="O1079" t="s">
        <v>76</v>
      </c>
      <c r="P1079" t="s">
        <v>38</v>
      </c>
      <c r="Q1079" t="s">
        <v>114</v>
      </c>
      <c r="R1079" t="s">
        <v>3073</v>
      </c>
      <c r="S1079">
        <v>337.8</v>
      </c>
      <c r="T1079" t="s">
        <v>40</v>
      </c>
      <c r="U1079">
        <f>+IF(Tabla1[[#This Row],[MONEDA]]="PEN",Tabla1[[#This Row],[MONTO]],Tabla1[[#This Row],[MONTO]]*3.56)</f>
        <v>337.8</v>
      </c>
      <c r="X1079" t="s">
        <v>81</v>
      </c>
      <c r="Y1079" t="s">
        <v>42</v>
      </c>
      <c r="Z1079" t="s">
        <v>82</v>
      </c>
      <c r="AA1079" t="s">
        <v>3074</v>
      </c>
      <c r="AB1079" t="s">
        <v>3075</v>
      </c>
      <c r="AC1079" t="s">
        <v>3076</v>
      </c>
      <c r="AD1079" t="s">
        <v>3077</v>
      </c>
      <c r="AE1079">
        <v>337.8</v>
      </c>
      <c r="AF1079" t="s">
        <v>87</v>
      </c>
      <c r="AG1079" t="s">
        <v>169</v>
      </c>
    </row>
    <row r="1080" spans="1:33" hidden="1" x14ac:dyDescent="0.25">
      <c r="A1080">
        <v>36980</v>
      </c>
      <c r="B1080" t="s">
        <v>32</v>
      </c>
      <c r="C1080">
        <v>1</v>
      </c>
      <c r="D1080" t="s">
        <v>3568</v>
      </c>
      <c r="E1080" t="s">
        <v>70</v>
      </c>
      <c r="F1080" t="s">
        <v>33</v>
      </c>
      <c r="G1080" t="s">
        <v>71</v>
      </c>
      <c r="H1080" t="s">
        <v>35</v>
      </c>
      <c r="I1080" t="s">
        <v>3561</v>
      </c>
      <c r="J1080" t="s">
        <v>3569</v>
      </c>
      <c r="K1080" t="s">
        <v>36</v>
      </c>
      <c r="L1080" t="s">
        <v>33</v>
      </c>
      <c r="M1080">
        <v>20532639680</v>
      </c>
      <c r="N1080" t="s">
        <v>117</v>
      </c>
      <c r="O1080" t="s">
        <v>76</v>
      </c>
      <c r="P1080" t="s">
        <v>38</v>
      </c>
      <c r="Q1080" t="s">
        <v>114</v>
      </c>
      <c r="R1080" t="s">
        <v>3570</v>
      </c>
      <c r="S1080">
        <v>593.1</v>
      </c>
      <c r="T1080" t="s">
        <v>40</v>
      </c>
      <c r="U1080">
        <f>+IF(Tabla1[[#This Row],[MONEDA]]="PEN",Tabla1[[#This Row],[MONTO]],Tabla1[[#This Row],[MONTO]]*3.56)</f>
        <v>593.1</v>
      </c>
      <c r="X1080" t="s">
        <v>81</v>
      </c>
      <c r="Y1080" t="s">
        <v>42</v>
      </c>
      <c r="Z1080" t="s">
        <v>43</v>
      </c>
      <c r="AA1080" t="s">
        <v>3571</v>
      </c>
      <c r="AB1080" t="s">
        <v>3572</v>
      </c>
      <c r="AC1080" t="s">
        <v>3573</v>
      </c>
      <c r="AD1080" t="s">
        <v>3574</v>
      </c>
      <c r="AE1080">
        <v>593.1</v>
      </c>
      <c r="AG1080" t="s">
        <v>169</v>
      </c>
    </row>
    <row r="1081" spans="1:33" hidden="1" x14ac:dyDescent="0.25">
      <c r="A1081">
        <v>34688</v>
      </c>
      <c r="B1081" t="s">
        <v>32</v>
      </c>
      <c r="C1081">
        <v>1</v>
      </c>
      <c r="D1081" t="s">
        <v>4503</v>
      </c>
      <c r="E1081" t="s">
        <v>70</v>
      </c>
      <c r="F1081" t="s">
        <v>33</v>
      </c>
      <c r="G1081" t="s">
        <v>71</v>
      </c>
      <c r="H1081" t="s">
        <v>35</v>
      </c>
      <c r="I1081" t="s">
        <v>4504</v>
      </c>
      <c r="J1081" t="s">
        <v>4505</v>
      </c>
      <c r="K1081" t="s">
        <v>36</v>
      </c>
      <c r="L1081" t="s">
        <v>33</v>
      </c>
      <c r="M1081">
        <v>20532639680</v>
      </c>
      <c r="N1081" t="s">
        <v>117</v>
      </c>
      <c r="O1081" t="s">
        <v>76</v>
      </c>
      <c r="P1081" t="s">
        <v>38</v>
      </c>
      <c r="Q1081" t="s">
        <v>114</v>
      </c>
      <c r="R1081" t="s">
        <v>4506</v>
      </c>
      <c r="S1081">
        <v>491.7</v>
      </c>
      <c r="T1081" t="s">
        <v>40</v>
      </c>
      <c r="U1081">
        <f>+IF(Tabla1[[#This Row],[MONEDA]]="PEN",Tabla1[[#This Row],[MONTO]],Tabla1[[#This Row],[MONTO]]*3.56)</f>
        <v>491.7</v>
      </c>
      <c r="X1081" t="s">
        <v>81</v>
      </c>
      <c r="Y1081" t="s">
        <v>42</v>
      </c>
      <c r="Z1081" t="s">
        <v>43</v>
      </c>
      <c r="AA1081" t="s">
        <v>4507</v>
      </c>
      <c r="AB1081" t="s">
        <v>4508</v>
      </c>
      <c r="AC1081" t="s">
        <v>4509</v>
      </c>
      <c r="AD1081" t="s">
        <v>4510</v>
      </c>
      <c r="AE1081">
        <v>491.7</v>
      </c>
      <c r="AF1081" t="s">
        <v>87</v>
      </c>
      <c r="AG1081" t="s">
        <v>169</v>
      </c>
    </row>
    <row r="1082" spans="1:33" hidden="1" x14ac:dyDescent="0.25">
      <c r="A1082">
        <v>32953</v>
      </c>
      <c r="B1082" t="s">
        <v>32</v>
      </c>
      <c r="C1082">
        <v>2</v>
      </c>
      <c r="D1082" t="s">
        <v>5108</v>
      </c>
      <c r="E1082" t="s">
        <v>70</v>
      </c>
      <c r="F1082" t="s">
        <v>33</v>
      </c>
      <c r="G1082" t="s">
        <v>71</v>
      </c>
      <c r="H1082" t="s">
        <v>72</v>
      </c>
      <c r="I1082" t="s">
        <v>5087</v>
      </c>
      <c r="J1082" t="s">
        <v>5109</v>
      </c>
      <c r="K1082" t="s">
        <v>36</v>
      </c>
      <c r="L1082" t="s">
        <v>33</v>
      </c>
      <c r="M1082">
        <v>20532639680</v>
      </c>
      <c r="N1082" t="s">
        <v>117</v>
      </c>
      <c r="O1082" t="s">
        <v>76</v>
      </c>
      <c r="P1082" t="s">
        <v>38</v>
      </c>
      <c r="Q1082" t="s">
        <v>114</v>
      </c>
      <c r="R1082" t="s">
        <v>5110</v>
      </c>
      <c r="S1082">
        <v>395.4</v>
      </c>
      <c r="T1082" t="s">
        <v>40</v>
      </c>
      <c r="U1082">
        <f>+IF(Tabla1[[#This Row],[MONEDA]]="PEN",Tabla1[[#This Row],[MONTO]],Tabla1[[#This Row],[MONTO]]*3.56)</f>
        <v>395.4</v>
      </c>
      <c r="X1082" t="s">
        <v>81</v>
      </c>
      <c r="Y1082" t="s">
        <v>42</v>
      </c>
      <c r="Z1082" t="s">
        <v>43</v>
      </c>
      <c r="AA1082" t="s">
        <v>5111</v>
      </c>
      <c r="AB1082" t="s">
        <v>5112</v>
      </c>
      <c r="AC1082" t="s">
        <v>5113</v>
      </c>
      <c r="AD1082" t="s">
        <v>5114</v>
      </c>
      <c r="AE1082">
        <v>395.4</v>
      </c>
      <c r="AG1082" t="s">
        <v>169</v>
      </c>
    </row>
    <row r="1083" spans="1:33" hidden="1" x14ac:dyDescent="0.25">
      <c r="A1083">
        <v>31937</v>
      </c>
      <c r="B1083" t="s">
        <v>32</v>
      </c>
      <c r="C1083">
        <v>1</v>
      </c>
      <c r="D1083" t="s">
        <v>5449</v>
      </c>
      <c r="E1083" t="s">
        <v>70</v>
      </c>
      <c r="F1083" t="s">
        <v>33</v>
      </c>
      <c r="G1083" t="s">
        <v>71</v>
      </c>
      <c r="H1083" t="s">
        <v>35</v>
      </c>
      <c r="I1083" t="s">
        <v>5441</v>
      </c>
      <c r="J1083" t="s">
        <v>5450</v>
      </c>
      <c r="K1083" t="s">
        <v>36</v>
      </c>
      <c r="L1083" t="s">
        <v>33</v>
      </c>
      <c r="M1083">
        <v>20532639680</v>
      </c>
      <c r="N1083" t="s">
        <v>117</v>
      </c>
      <c r="O1083" t="s">
        <v>76</v>
      </c>
      <c r="P1083" t="s">
        <v>38</v>
      </c>
      <c r="Q1083" t="s">
        <v>114</v>
      </c>
      <c r="R1083" t="s">
        <v>5451</v>
      </c>
      <c r="S1083">
        <v>321</v>
      </c>
      <c r="T1083" t="s">
        <v>40</v>
      </c>
      <c r="U1083">
        <f>+IF(Tabla1[[#This Row],[MONEDA]]="PEN",Tabla1[[#This Row],[MONTO]],Tabla1[[#This Row],[MONTO]]*3.56)</f>
        <v>321</v>
      </c>
      <c r="X1083" t="s">
        <v>81</v>
      </c>
      <c r="Y1083" t="s">
        <v>42</v>
      </c>
      <c r="Z1083" t="s">
        <v>43</v>
      </c>
      <c r="AA1083" t="s">
        <v>5452</v>
      </c>
      <c r="AB1083" t="s">
        <v>5453</v>
      </c>
      <c r="AC1083" t="s">
        <v>5454</v>
      </c>
      <c r="AD1083" t="s">
        <v>5455</v>
      </c>
      <c r="AE1083">
        <v>321</v>
      </c>
      <c r="AF1083" t="s">
        <v>87</v>
      </c>
      <c r="AG1083" t="s">
        <v>169</v>
      </c>
    </row>
    <row r="1084" spans="1:33" hidden="1" x14ac:dyDescent="0.25">
      <c r="A1084">
        <v>31705</v>
      </c>
      <c r="B1084" t="s">
        <v>32</v>
      </c>
      <c r="C1084">
        <v>1</v>
      </c>
      <c r="D1084" t="s">
        <v>5676</v>
      </c>
      <c r="E1084" t="s">
        <v>70</v>
      </c>
      <c r="F1084" t="s">
        <v>33</v>
      </c>
      <c r="G1084" t="s">
        <v>71</v>
      </c>
      <c r="H1084" t="s">
        <v>35</v>
      </c>
      <c r="I1084" t="s">
        <v>5670</v>
      </c>
      <c r="J1084" t="s">
        <v>5677</v>
      </c>
      <c r="K1084" t="s">
        <v>36</v>
      </c>
      <c r="L1084" t="s">
        <v>33</v>
      </c>
      <c r="M1084">
        <v>20532639680</v>
      </c>
      <c r="N1084" t="s">
        <v>117</v>
      </c>
      <c r="O1084" t="s">
        <v>76</v>
      </c>
      <c r="P1084" t="s">
        <v>38</v>
      </c>
      <c r="Q1084" t="s">
        <v>114</v>
      </c>
      <c r="R1084" t="s">
        <v>5678</v>
      </c>
      <c r="S1084">
        <v>333.6</v>
      </c>
      <c r="T1084" t="s">
        <v>40</v>
      </c>
      <c r="U1084">
        <f>+IF(Tabla1[[#This Row],[MONEDA]]="PEN",Tabla1[[#This Row],[MONTO]],Tabla1[[#This Row],[MONTO]]*3.56)</f>
        <v>333.6</v>
      </c>
      <c r="X1084" t="s">
        <v>81</v>
      </c>
      <c r="Y1084" t="s">
        <v>42</v>
      </c>
      <c r="Z1084" t="s">
        <v>43</v>
      </c>
      <c r="AA1084" t="s">
        <v>5679</v>
      </c>
      <c r="AB1084" t="s">
        <v>5680</v>
      </c>
      <c r="AC1084" t="s">
        <v>5681</v>
      </c>
      <c r="AD1084" t="s">
        <v>5682</v>
      </c>
      <c r="AE1084">
        <v>333.6</v>
      </c>
      <c r="AF1084" t="s">
        <v>87</v>
      </c>
      <c r="AG1084" t="s">
        <v>169</v>
      </c>
    </row>
    <row r="1085" spans="1:33" hidden="1" x14ac:dyDescent="0.25">
      <c r="A1085">
        <v>45929</v>
      </c>
      <c r="B1085" t="s">
        <v>32</v>
      </c>
      <c r="C1085">
        <v>1</v>
      </c>
      <c r="D1085" t="s">
        <v>111</v>
      </c>
      <c r="E1085" t="s">
        <v>45</v>
      </c>
      <c r="F1085" t="s">
        <v>33</v>
      </c>
      <c r="G1085" t="s">
        <v>71</v>
      </c>
      <c r="H1085" t="s">
        <v>35</v>
      </c>
      <c r="I1085" t="s">
        <v>98</v>
      </c>
      <c r="J1085" t="s">
        <v>112</v>
      </c>
      <c r="K1085" t="s">
        <v>36</v>
      </c>
      <c r="L1085" t="s">
        <v>33</v>
      </c>
      <c r="M1085">
        <v>20532639680</v>
      </c>
      <c r="N1085" t="s">
        <v>117</v>
      </c>
      <c r="P1085" t="s">
        <v>38</v>
      </c>
      <c r="Q1085" t="s">
        <v>114</v>
      </c>
      <c r="R1085" t="s">
        <v>115</v>
      </c>
      <c r="S1085">
        <v>546</v>
      </c>
      <c r="T1085" t="s">
        <v>40</v>
      </c>
      <c r="U1085">
        <f>+IF(Tabla1[[#This Row],[MONEDA]]="PEN",Tabla1[[#This Row],[MONTO]],Tabla1[[#This Row],[MONTO]]*3.56)</f>
        <v>546</v>
      </c>
      <c r="X1085" t="s">
        <v>81</v>
      </c>
      <c r="Y1085" t="s">
        <v>51</v>
      </c>
      <c r="Z1085" t="s">
        <v>43</v>
      </c>
      <c r="AB1085" t="s">
        <v>116</v>
      </c>
    </row>
    <row r="1086" spans="1:33" x14ac:dyDescent="0.25">
      <c r="A1086">
        <v>25656</v>
      </c>
      <c r="B1086" t="s">
        <v>32</v>
      </c>
      <c r="C1086">
        <v>1</v>
      </c>
      <c r="D1086" t="s">
        <v>9616</v>
      </c>
      <c r="E1086" t="s">
        <v>70</v>
      </c>
      <c r="F1086" t="s">
        <v>90</v>
      </c>
      <c r="G1086" t="s">
        <v>91</v>
      </c>
      <c r="H1086" t="s">
        <v>9503</v>
      </c>
      <c r="I1086" t="s">
        <v>9617</v>
      </c>
      <c r="J1086" t="s">
        <v>9618</v>
      </c>
      <c r="K1086" t="s">
        <v>36</v>
      </c>
      <c r="L1086" t="s">
        <v>33</v>
      </c>
      <c r="M1086">
        <v>10702008854</v>
      </c>
      <c r="N1086" t="s">
        <v>9619</v>
      </c>
      <c r="O1086" t="s">
        <v>1747</v>
      </c>
      <c r="P1086" t="s">
        <v>38</v>
      </c>
      <c r="Q1086">
        <v>38598196957011</v>
      </c>
      <c r="R1086" t="s">
        <v>9620</v>
      </c>
      <c r="S1086">
        <v>460</v>
      </c>
      <c r="T1086" t="s">
        <v>40</v>
      </c>
      <c r="U1086">
        <f>+IF(Tabla1[[#This Row],[MONEDA]]="PEN",Tabla1[[#This Row],[MONTO]],Tabla1[[#This Row],[MONTO]]*3.56)</f>
        <v>460</v>
      </c>
      <c r="X1086" t="s">
        <v>41</v>
      </c>
      <c r="Y1086" t="s">
        <v>42</v>
      </c>
      <c r="Z1086" t="s">
        <v>43</v>
      </c>
      <c r="AA1086" t="s">
        <v>9621</v>
      </c>
      <c r="AC1086" t="s">
        <v>9622</v>
      </c>
      <c r="AD1086" t="s">
        <v>9623</v>
      </c>
      <c r="AE1086">
        <v>460</v>
      </c>
      <c r="AF1086" t="s">
        <v>87</v>
      </c>
      <c r="AG1086" t="s">
        <v>169</v>
      </c>
    </row>
    <row r="1087" spans="1:33" x14ac:dyDescent="0.25">
      <c r="A1087">
        <v>25657</v>
      </c>
      <c r="B1087" t="s">
        <v>32</v>
      </c>
      <c r="C1087">
        <v>1</v>
      </c>
      <c r="D1087" t="s">
        <v>9624</v>
      </c>
      <c r="E1087" t="s">
        <v>70</v>
      </c>
      <c r="F1087" t="s">
        <v>90</v>
      </c>
      <c r="G1087" t="s">
        <v>91</v>
      </c>
      <c r="H1087" t="s">
        <v>9503</v>
      </c>
      <c r="I1087" t="s">
        <v>9617</v>
      </c>
      <c r="J1087" t="s">
        <v>9625</v>
      </c>
      <c r="K1087" t="s">
        <v>36</v>
      </c>
      <c r="L1087" t="s">
        <v>33</v>
      </c>
      <c r="M1087">
        <v>10702008854</v>
      </c>
      <c r="N1087" t="s">
        <v>9619</v>
      </c>
      <c r="O1087" t="s">
        <v>1747</v>
      </c>
      <c r="P1087" t="s">
        <v>38</v>
      </c>
      <c r="Q1087">
        <v>38598196957011</v>
      </c>
      <c r="R1087" t="s">
        <v>9626</v>
      </c>
      <c r="S1087">
        <v>1840</v>
      </c>
      <c r="T1087" t="s">
        <v>40</v>
      </c>
      <c r="U1087">
        <f>+IF(Tabla1[[#This Row],[MONEDA]]="PEN",Tabla1[[#This Row],[MONTO]],Tabla1[[#This Row],[MONTO]]*3.56)</f>
        <v>1840</v>
      </c>
      <c r="X1087" t="s">
        <v>41</v>
      </c>
      <c r="Y1087" t="s">
        <v>42</v>
      </c>
      <c r="Z1087" t="s">
        <v>43</v>
      </c>
      <c r="AA1087" t="s">
        <v>9627</v>
      </c>
      <c r="AB1087" t="s">
        <v>9628</v>
      </c>
      <c r="AC1087" t="s">
        <v>9629</v>
      </c>
      <c r="AD1087" t="s">
        <v>9630</v>
      </c>
      <c r="AE1087">
        <v>1840</v>
      </c>
      <c r="AF1087" t="s">
        <v>87</v>
      </c>
      <c r="AG1087" t="s">
        <v>169</v>
      </c>
    </row>
    <row r="1088" spans="1:33" hidden="1" x14ac:dyDescent="0.25">
      <c r="A1088">
        <v>41053</v>
      </c>
      <c r="B1088" t="s">
        <v>32</v>
      </c>
      <c r="C1088">
        <v>1</v>
      </c>
      <c r="D1088" t="s">
        <v>1677</v>
      </c>
      <c r="E1088" t="s">
        <v>70</v>
      </c>
      <c r="F1088" t="s">
        <v>33</v>
      </c>
      <c r="G1088" t="s">
        <v>71</v>
      </c>
      <c r="H1088" t="s">
        <v>35</v>
      </c>
      <c r="I1088" t="s">
        <v>1663</v>
      </c>
      <c r="J1088" t="s">
        <v>1678</v>
      </c>
      <c r="K1088" t="s">
        <v>36</v>
      </c>
      <c r="L1088" t="s">
        <v>33</v>
      </c>
      <c r="M1088">
        <v>20609987317</v>
      </c>
      <c r="N1088" t="s">
        <v>1679</v>
      </c>
      <c r="O1088" t="s">
        <v>76</v>
      </c>
      <c r="P1088" t="s">
        <v>38</v>
      </c>
      <c r="Q1088" t="s">
        <v>1680</v>
      </c>
      <c r="R1088" t="s">
        <v>1681</v>
      </c>
      <c r="S1088">
        <v>413</v>
      </c>
      <c r="T1088" t="s">
        <v>40</v>
      </c>
      <c r="U1088">
        <f>+IF(Tabla1[[#This Row],[MONEDA]]="PEN",Tabla1[[#This Row],[MONTO]],Tabla1[[#This Row],[MONTO]]*3.56)</f>
        <v>413</v>
      </c>
      <c r="X1088" t="s">
        <v>81</v>
      </c>
      <c r="Y1088" t="s">
        <v>42</v>
      </c>
      <c r="Z1088" t="s">
        <v>82</v>
      </c>
      <c r="AA1088" t="s">
        <v>1682</v>
      </c>
      <c r="AB1088" t="s">
        <v>1683</v>
      </c>
      <c r="AC1088" t="s">
        <v>1684</v>
      </c>
      <c r="AD1088" t="s">
        <v>1685</v>
      </c>
      <c r="AE1088">
        <v>413</v>
      </c>
      <c r="AF1088" t="s">
        <v>87</v>
      </c>
      <c r="AG1088" t="s">
        <v>169</v>
      </c>
    </row>
    <row r="1089" spans="1:33" hidden="1" x14ac:dyDescent="0.25">
      <c r="A1089">
        <v>37925</v>
      </c>
      <c r="B1089" t="s">
        <v>32</v>
      </c>
      <c r="C1089">
        <v>1</v>
      </c>
      <c r="D1089" t="s">
        <v>2991</v>
      </c>
      <c r="E1089" t="s">
        <v>70</v>
      </c>
      <c r="F1089" t="s">
        <v>33</v>
      </c>
      <c r="G1089" t="s">
        <v>71</v>
      </c>
      <c r="H1089" t="s">
        <v>35</v>
      </c>
      <c r="I1089" t="s">
        <v>2992</v>
      </c>
      <c r="J1089" t="s">
        <v>2993</v>
      </c>
      <c r="K1089" t="s">
        <v>36</v>
      </c>
      <c r="L1089" t="s">
        <v>33</v>
      </c>
      <c r="M1089">
        <v>20509021881</v>
      </c>
      <c r="N1089" t="s">
        <v>2994</v>
      </c>
      <c r="O1089" t="s">
        <v>76</v>
      </c>
      <c r="P1089" t="s">
        <v>38</v>
      </c>
      <c r="Q1089" t="s">
        <v>2995</v>
      </c>
      <c r="R1089" t="s">
        <v>2996</v>
      </c>
      <c r="S1089">
        <v>469</v>
      </c>
      <c r="T1089" t="s">
        <v>40</v>
      </c>
      <c r="U1089">
        <f>+IF(Tabla1[[#This Row],[MONEDA]]="PEN",Tabla1[[#This Row],[MONTO]],Tabla1[[#This Row],[MONTO]]*3.56)</f>
        <v>469</v>
      </c>
      <c r="X1089" t="s">
        <v>81</v>
      </c>
      <c r="Y1089" t="s">
        <v>42</v>
      </c>
      <c r="Z1089" t="s">
        <v>82</v>
      </c>
      <c r="AA1089" t="s">
        <v>2997</v>
      </c>
      <c r="AB1089" t="s">
        <v>2998</v>
      </c>
      <c r="AC1089" t="s">
        <v>2999</v>
      </c>
      <c r="AD1089" t="s">
        <v>3000</v>
      </c>
      <c r="AE1089">
        <v>469</v>
      </c>
      <c r="AF1089" t="s">
        <v>87</v>
      </c>
      <c r="AG1089" t="s">
        <v>169</v>
      </c>
    </row>
    <row r="1090" spans="1:33" hidden="1" x14ac:dyDescent="0.25">
      <c r="A1090">
        <v>36670</v>
      </c>
      <c r="B1090" t="s">
        <v>32</v>
      </c>
      <c r="C1090">
        <v>1</v>
      </c>
      <c r="D1090" t="s">
        <v>3736</v>
      </c>
      <c r="E1090" t="s">
        <v>70</v>
      </c>
      <c r="F1090" t="s">
        <v>33</v>
      </c>
      <c r="G1090" t="s">
        <v>71</v>
      </c>
      <c r="H1090" t="s">
        <v>35</v>
      </c>
      <c r="I1090" t="s">
        <v>3736</v>
      </c>
      <c r="J1090" t="s">
        <v>3747</v>
      </c>
      <c r="K1090" t="s">
        <v>36</v>
      </c>
      <c r="L1090" t="s">
        <v>33</v>
      </c>
      <c r="M1090">
        <v>20532867399</v>
      </c>
      <c r="N1090" t="s">
        <v>3748</v>
      </c>
      <c r="O1090" t="s">
        <v>76</v>
      </c>
      <c r="R1090" t="s">
        <v>3749</v>
      </c>
      <c r="S1090">
        <v>50</v>
      </c>
      <c r="T1090" t="s">
        <v>40</v>
      </c>
      <c r="U1090">
        <f>+IF(Tabla1[[#This Row],[MONEDA]]="PEN",Tabla1[[#This Row],[MONTO]],Tabla1[[#This Row],[MONTO]]*3.56)</f>
        <v>50</v>
      </c>
      <c r="V1090" t="s">
        <v>190</v>
      </c>
      <c r="W1090">
        <v>33331</v>
      </c>
      <c r="X1090" t="s">
        <v>41</v>
      </c>
      <c r="Y1090" t="s">
        <v>42</v>
      </c>
      <c r="Z1090" t="s">
        <v>43</v>
      </c>
      <c r="AA1090" t="s">
        <v>3750</v>
      </c>
      <c r="AC1090" t="s">
        <v>3751</v>
      </c>
      <c r="AD1090" t="s">
        <v>3752</v>
      </c>
    </row>
    <row r="1091" spans="1:33" hidden="1" x14ac:dyDescent="0.25">
      <c r="A1091">
        <v>36649</v>
      </c>
      <c r="B1091" t="s">
        <v>32</v>
      </c>
      <c r="C1091">
        <v>1</v>
      </c>
      <c r="D1091" t="s">
        <v>3855</v>
      </c>
      <c r="E1091" t="s">
        <v>70</v>
      </c>
      <c r="F1091" t="s">
        <v>33</v>
      </c>
      <c r="G1091" t="s">
        <v>71</v>
      </c>
      <c r="H1091" t="s">
        <v>35</v>
      </c>
      <c r="I1091" t="s">
        <v>3855</v>
      </c>
      <c r="J1091" t="s">
        <v>3856</v>
      </c>
      <c r="K1091" t="s">
        <v>36</v>
      </c>
      <c r="L1091" t="s">
        <v>33</v>
      </c>
      <c r="M1091">
        <v>20532867399</v>
      </c>
      <c r="N1091" t="s">
        <v>3748</v>
      </c>
      <c r="O1091" t="s">
        <v>76</v>
      </c>
      <c r="R1091" t="s">
        <v>3749</v>
      </c>
      <c r="S1091">
        <v>43</v>
      </c>
      <c r="T1091" t="s">
        <v>40</v>
      </c>
      <c r="U1091">
        <f>+IF(Tabla1[[#This Row],[MONEDA]]="PEN",Tabla1[[#This Row],[MONTO]],Tabla1[[#This Row],[MONTO]]*3.56)</f>
        <v>43</v>
      </c>
      <c r="V1091" t="s">
        <v>190</v>
      </c>
      <c r="W1091">
        <v>33331</v>
      </c>
      <c r="X1091" t="s">
        <v>41</v>
      </c>
      <c r="Y1091" t="s">
        <v>42</v>
      </c>
      <c r="Z1091" t="s">
        <v>43</v>
      </c>
      <c r="AA1091" t="s">
        <v>3857</v>
      </c>
      <c r="AC1091" t="s">
        <v>3858</v>
      </c>
      <c r="AD1091" t="s">
        <v>3859</v>
      </c>
    </row>
    <row r="1092" spans="1:33" hidden="1" x14ac:dyDescent="0.25">
      <c r="A1092">
        <v>33317</v>
      </c>
      <c r="B1092" t="s">
        <v>32</v>
      </c>
      <c r="C1092">
        <v>1</v>
      </c>
      <c r="D1092" t="s">
        <v>4981</v>
      </c>
      <c r="E1092" t="s">
        <v>70</v>
      </c>
      <c r="F1092" t="s">
        <v>33</v>
      </c>
      <c r="G1092" t="s">
        <v>71</v>
      </c>
      <c r="H1092" t="s">
        <v>35</v>
      </c>
      <c r="I1092" t="s">
        <v>4981</v>
      </c>
      <c r="J1092" t="s">
        <v>4982</v>
      </c>
      <c r="K1092" t="s">
        <v>36</v>
      </c>
      <c r="L1092" t="s">
        <v>33</v>
      </c>
      <c r="M1092">
        <v>20532867399</v>
      </c>
      <c r="N1092" t="s">
        <v>3748</v>
      </c>
      <c r="O1092" t="s">
        <v>76</v>
      </c>
      <c r="R1092" t="s">
        <v>4983</v>
      </c>
      <c r="S1092">
        <v>25</v>
      </c>
      <c r="T1092" t="s">
        <v>40</v>
      </c>
      <c r="U1092">
        <f>+IF(Tabla1[[#This Row],[MONEDA]]="PEN",Tabla1[[#This Row],[MONTO]],Tabla1[[#This Row],[MONTO]]*3.56)</f>
        <v>25</v>
      </c>
      <c r="V1092" t="s">
        <v>190</v>
      </c>
      <c r="W1092">
        <v>32138</v>
      </c>
      <c r="X1092" t="s">
        <v>81</v>
      </c>
      <c r="Y1092" t="s">
        <v>42</v>
      </c>
      <c r="Z1092" t="s">
        <v>43</v>
      </c>
      <c r="AA1092" t="s">
        <v>4984</v>
      </c>
      <c r="AC1092" t="s">
        <v>4985</v>
      </c>
      <c r="AD1092" t="s">
        <v>4986</v>
      </c>
    </row>
    <row r="1093" spans="1:33" hidden="1" x14ac:dyDescent="0.25">
      <c r="A1093">
        <v>33314</v>
      </c>
      <c r="B1093" t="s">
        <v>32</v>
      </c>
      <c r="C1093">
        <v>1</v>
      </c>
      <c r="D1093" t="s">
        <v>4994</v>
      </c>
      <c r="E1093" t="s">
        <v>70</v>
      </c>
      <c r="F1093" t="s">
        <v>33</v>
      </c>
      <c r="G1093" t="s">
        <v>71</v>
      </c>
      <c r="H1093" t="s">
        <v>35</v>
      </c>
      <c r="I1093" t="s">
        <v>4994</v>
      </c>
      <c r="J1093" t="s">
        <v>5000</v>
      </c>
      <c r="K1093" t="s">
        <v>36</v>
      </c>
      <c r="L1093" t="s">
        <v>33</v>
      </c>
      <c r="M1093">
        <v>20532867399</v>
      </c>
      <c r="N1093" t="s">
        <v>3748</v>
      </c>
      <c r="O1093" t="s">
        <v>76</v>
      </c>
      <c r="R1093" t="s">
        <v>5010</v>
      </c>
      <c r="S1093">
        <v>22</v>
      </c>
      <c r="T1093" t="s">
        <v>40</v>
      </c>
      <c r="U1093">
        <f>+IF(Tabla1[[#This Row],[MONEDA]]="PEN",Tabla1[[#This Row],[MONTO]],Tabla1[[#This Row],[MONTO]]*3.56)</f>
        <v>22</v>
      </c>
      <c r="V1093" t="s">
        <v>190</v>
      </c>
      <c r="W1093">
        <v>32138</v>
      </c>
      <c r="X1093" t="s">
        <v>81</v>
      </c>
      <c r="Y1093" t="s">
        <v>42</v>
      </c>
      <c r="Z1093" t="s">
        <v>43</v>
      </c>
      <c r="AA1093" t="s">
        <v>5011</v>
      </c>
      <c r="AC1093" t="s">
        <v>5012</v>
      </c>
      <c r="AD1093" t="s">
        <v>5013</v>
      </c>
    </row>
    <row r="1094" spans="1:33" hidden="1" x14ac:dyDescent="0.25">
      <c r="A1094">
        <v>32060</v>
      </c>
      <c r="B1094" t="s">
        <v>32</v>
      </c>
      <c r="C1094">
        <v>1</v>
      </c>
      <c r="D1094" t="s">
        <v>5475</v>
      </c>
      <c r="E1094" t="s">
        <v>70</v>
      </c>
      <c r="F1094" t="s">
        <v>33</v>
      </c>
      <c r="G1094" t="s">
        <v>71</v>
      </c>
      <c r="H1094" t="s">
        <v>72</v>
      </c>
      <c r="I1094" t="s">
        <v>5475</v>
      </c>
      <c r="J1094" t="s">
        <v>5476</v>
      </c>
      <c r="K1094" t="s">
        <v>36</v>
      </c>
      <c r="L1094" t="s">
        <v>33</v>
      </c>
      <c r="M1094">
        <v>20532867399</v>
      </c>
      <c r="N1094" t="s">
        <v>3748</v>
      </c>
      <c r="O1094" t="s">
        <v>76</v>
      </c>
      <c r="R1094" t="s">
        <v>5481</v>
      </c>
      <c r="S1094">
        <v>20</v>
      </c>
      <c r="T1094" t="s">
        <v>40</v>
      </c>
      <c r="U1094">
        <f>+IF(Tabla1[[#This Row],[MONEDA]]="PEN",Tabla1[[#This Row],[MONTO]],Tabla1[[#This Row],[MONTO]]*3.56)</f>
        <v>20</v>
      </c>
      <c r="V1094" t="s">
        <v>190</v>
      </c>
      <c r="W1094">
        <v>29730</v>
      </c>
      <c r="X1094" t="s">
        <v>81</v>
      </c>
      <c r="Y1094" t="s">
        <v>42</v>
      </c>
      <c r="Z1094" t="s">
        <v>43</v>
      </c>
      <c r="AA1094" t="s">
        <v>5482</v>
      </c>
      <c r="AC1094" t="s">
        <v>5483</v>
      </c>
      <c r="AD1094" t="s">
        <v>5484</v>
      </c>
    </row>
    <row r="1095" spans="1:33" hidden="1" x14ac:dyDescent="0.25">
      <c r="A1095">
        <v>32054</v>
      </c>
      <c r="B1095" t="s">
        <v>32</v>
      </c>
      <c r="C1095">
        <v>1</v>
      </c>
      <c r="D1095" t="s">
        <v>5502</v>
      </c>
      <c r="E1095" t="s">
        <v>70</v>
      </c>
      <c r="F1095" t="s">
        <v>33</v>
      </c>
      <c r="G1095" t="s">
        <v>71</v>
      </c>
      <c r="H1095" t="s">
        <v>72</v>
      </c>
      <c r="I1095" t="s">
        <v>5502</v>
      </c>
      <c r="J1095" t="s">
        <v>5515</v>
      </c>
      <c r="K1095" t="s">
        <v>36</v>
      </c>
      <c r="L1095" t="s">
        <v>33</v>
      </c>
      <c r="M1095">
        <v>20532867399</v>
      </c>
      <c r="N1095" t="s">
        <v>3748</v>
      </c>
      <c r="O1095" t="s">
        <v>76</v>
      </c>
      <c r="R1095" t="s">
        <v>5516</v>
      </c>
      <c r="S1095">
        <v>10</v>
      </c>
      <c r="T1095" t="s">
        <v>40</v>
      </c>
      <c r="U1095">
        <f>+IF(Tabla1[[#This Row],[MONEDA]]="PEN",Tabla1[[#This Row],[MONTO]],Tabla1[[#This Row],[MONTO]]*3.56)</f>
        <v>10</v>
      </c>
      <c r="V1095" t="s">
        <v>190</v>
      </c>
      <c r="W1095">
        <v>29730</v>
      </c>
      <c r="X1095" t="s">
        <v>41</v>
      </c>
      <c r="Y1095" t="s">
        <v>42</v>
      </c>
      <c r="Z1095" t="s">
        <v>43</v>
      </c>
      <c r="AA1095" t="s">
        <v>5517</v>
      </c>
      <c r="AC1095" t="s">
        <v>5518</v>
      </c>
      <c r="AD1095" t="s">
        <v>5519</v>
      </c>
    </row>
    <row r="1096" spans="1:33" hidden="1" x14ac:dyDescent="0.25">
      <c r="A1096">
        <v>32056</v>
      </c>
      <c r="B1096" t="s">
        <v>32</v>
      </c>
      <c r="C1096">
        <v>1</v>
      </c>
      <c r="D1096" t="s">
        <v>5502</v>
      </c>
      <c r="E1096" t="s">
        <v>70</v>
      </c>
      <c r="F1096" t="s">
        <v>33</v>
      </c>
      <c r="G1096" t="s">
        <v>71</v>
      </c>
      <c r="H1096" t="s">
        <v>72</v>
      </c>
      <c r="I1096" t="s">
        <v>5502</v>
      </c>
      <c r="J1096" t="s">
        <v>5525</v>
      </c>
      <c r="K1096" t="s">
        <v>36</v>
      </c>
      <c r="L1096" t="s">
        <v>33</v>
      </c>
      <c r="M1096">
        <v>20532867399</v>
      </c>
      <c r="N1096" t="s">
        <v>3748</v>
      </c>
      <c r="O1096" t="s">
        <v>76</v>
      </c>
      <c r="R1096" t="s">
        <v>5526</v>
      </c>
      <c r="S1096">
        <v>85</v>
      </c>
      <c r="T1096" t="s">
        <v>40</v>
      </c>
      <c r="U1096">
        <f>+IF(Tabla1[[#This Row],[MONEDA]]="PEN",Tabla1[[#This Row],[MONTO]],Tabla1[[#This Row],[MONTO]]*3.56)</f>
        <v>85</v>
      </c>
      <c r="V1096" t="s">
        <v>190</v>
      </c>
      <c r="W1096">
        <v>29730</v>
      </c>
      <c r="X1096" t="s">
        <v>81</v>
      </c>
      <c r="Y1096" t="s">
        <v>42</v>
      </c>
      <c r="Z1096" t="s">
        <v>43</v>
      </c>
      <c r="AA1096" t="s">
        <v>5527</v>
      </c>
      <c r="AC1096" t="s">
        <v>5528</v>
      </c>
      <c r="AD1096" t="s">
        <v>5529</v>
      </c>
    </row>
    <row r="1097" spans="1:33" hidden="1" x14ac:dyDescent="0.25">
      <c r="A1097">
        <v>32049</v>
      </c>
      <c r="B1097" t="s">
        <v>32</v>
      </c>
      <c r="C1097">
        <v>1</v>
      </c>
      <c r="D1097" t="s">
        <v>5536</v>
      </c>
      <c r="E1097" t="s">
        <v>70</v>
      </c>
      <c r="F1097" t="s">
        <v>33</v>
      </c>
      <c r="G1097" t="s">
        <v>71</v>
      </c>
      <c r="H1097" t="s">
        <v>72</v>
      </c>
      <c r="I1097" t="s">
        <v>5536</v>
      </c>
      <c r="J1097" t="s">
        <v>5542</v>
      </c>
      <c r="K1097" t="s">
        <v>36</v>
      </c>
      <c r="L1097" t="s">
        <v>33</v>
      </c>
      <c r="M1097">
        <v>20532867399</v>
      </c>
      <c r="N1097" t="s">
        <v>3748</v>
      </c>
      <c r="O1097" t="s">
        <v>76</v>
      </c>
      <c r="R1097" t="s">
        <v>5543</v>
      </c>
      <c r="S1097">
        <v>25</v>
      </c>
      <c r="T1097" t="s">
        <v>40</v>
      </c>
      <c r="U1097">
        <f>+IF(Tabla1[[#This Row],[MONEDA]]="PEN",Tabla1[[#This Row],[MONTO]],Tabla1[[#This Row],[MONTO]]*3.56)</f>
        <v>25</v>
      </c>
      <c r="V1097" t="s">
        <v>190</v>
      </c>
      <c r="W1097">
        <v>29730</v>
      </c>
      <c r="X1097" t="s">
        <v>81</v>
      </c>
      <c r="Y1097" t="s">
        <v>42</v>
      </c>
      <c r="Z1097" t="s">
        <v>43</v>
      </c>
      <c r="AA1097" t="s">
        <v>5544</v>
      </c>
      <c r="AC1097" t="s">
        <v>5545</v>
      </c>
      <c r="AD1097" t="s">
        <v>5546</v>
      </c>
    </row>
    <row r="1098" spans="1:33" hidden="1" x14ac:dyDescent="0.25">
      <c r="A1098">
        <v>32045</v>
      </c>
      <c r="B1098" t="s">
        <v>32</v>
      </c>
      <c r="C1098">
        <v>1</v>
      </c>
      <c r="D1098" t="s">
        <v>5559</v>
      </c>
      <c r="E1098" t="s">
        <v>70</v>
      </c>
      <c r="F1098" t="s">
        <v>33</v>
      </c>
      <c r="G1098" t="s">
        <v>71</v>
      </c>
      <c r="H1098" t="s">
        <v>72</v>
      </c>
      <c r="I1098" t="s">
        <v>5559</v>
      </c>
      <c r="J1098" t="s">
        <v>5560</v>
      </c>
      <c r="K1098" t="s">
        <v>36</v>
      </c>
      <c r="L1098" t="s">
        <v>33</v>
      </c>
      <c r="M1098">
        <v>20532867399</v>
      </c>
      <c r="N1098" t="s">
        <v>3748</v>
      </c>
      <c r="O1098" t="s">
        <v>76</v>
      </c>
      <c r="R1098" t="s">
        <v>5561</v>
      </c>
      <c r="S1098">
        <v>10</v>
      </c>
      <c r="T1098" t="s">
        <v>40</v>
      </c>
      <c r="U1098">
        <f>+IF(Tabla1[[#This Row],[MONEDA]]="PEN",Tabla1[[#This Row],[MONTO]],Tabla1[[#This Row],[MONTO]]*3.56)</f>
        <v>10</v>
      </c>
      <c r="V1098" t="s">
        <v>190</v>
      </c>
      <c r="W1098">
        <v>29730</v>
      </c>
      <c r="X1098" t="s">
        <v>81</v>
      </c>
      <c r="Y1098" t="s">
        <v>42</v>
      </c>
      <c r="Z1098" t="s">
        <v>43</v>
      </c>
      <c r="AA1098" t="s">
        <v>5562</v>
      </c>
      <c r="AC1098" t="s">
        <v>5563</v>
      </c>
      <c r="AD1098" t="s">
        <v>5564</v>
      </c>
    </row>
    <row r="1099" spans="1:33" hidden="1" x14ac:dyDescent="0.25">
      <c r="A1099">
        <v>32044</v>
      </c>
      <c r="B1099" t="s">
        <v>32</v>
      </c>
      <c r="C1099">
        <v>1</v>
      </c>
      <c r="D1099" t="s">
        <v>5577</v>
      </c>
      <c r="E1099" t="s">
        <v>70</v>
      </c>
      <c r="F1099" t="s">
        <v>33</v>
      </c>
      <c r="G1099" t="s">
        <v>71</v>
      </c>
      <c r="H1099" t="s">
        <v>72</v>
      </c>
      <c r="I1099" t="s">
        <v>5577</v>
      </c>
      <c r="J1099" t="s">
        <v>5578</v>
      </c>
      <c r="K1099" t="s">
        <v>36</v>
      </c>
      <c r="L1099" t="s">
        <v>33</v>
      </c>
      <c r="M1099">
        <v>20532867399</v>
      </c>
      <c r="N1099" t="s">
        <v>3748</v>
      </c>
      <c r="O1099" t="s">
        <v>76</v>
      </c>
      <c r="R1099" t="s">
        <v>5579</v>
      </c>
      <c r="S1099">
        <v>15</v>
      </c>
      <c r="T1099" t="s">
        <v>40</v>
      </c>
      <c r="U1099">
        <f>+IF(Tabla1[[#This Row],[MONEDA]]="PEN",Tabla1[[#This Row],[MONTO]],Tabla1[[#This Row],[MONTO]]*3.56)</f>
        <v>15</v>
      </c>
      <c r="V1099" t="s">
        <v>190</v>
      </c>
      <c r="W1099">
        <v>29730</v>
      </c>
      <c r="X1099" t="s">
        <v>81</v>
      </c>
      <c r="Y1099" t="s">
        <v>42</v>
      </c>
      <c r="Z1099" t="s">
        <v>43</v>
      </c>
      <c r="AA1099" t="s">
        <v>5580</v>
      </c>
      <c r="AC1099" t="s">
        <v>5581</v>
      </c>
      <c r="AD1099" t="s">
        <v>5582</v>
      </c>
    </row>
    <row r="1100" spans="1:33" hidden="1" x14ac:dyDescent="0.25">
      <c r="A1100">
        <v>31190</v>
      </c>
      <c r="B1100" t="s">
        <v>32</v>
      </c>
      <c r="C1100">
        <v>1</v>
      </c>
      <c r="D1100" t="s">
        <v>6051</v>
      </c>
      <c r="E1100" t="s">
        <v>70</v>
      </c>
      <c r="F1100" t="s">
        <v>33</v>
      </c>
      <c r="G1100" t="s">
        <v>71</v>
      </c>
      <c r="H1100" t="s">
        <v>72</v>
      </c>
      <c r="I1100" t="s">
        <v>6052</v>
      </c>
      <c r="J1100" t="s">
        <v>6058</v>
      </c>
      <c r="K1100" t="s">
        <v>36</v>
      </c>
      <c r="L1100" t="s">
        <v>33</v>
      </c>
      <c r="M1100">
        <v>20532867399</v>
      </c>
      <c r="N1100" t="s">
        <v>3748</v>
      </c>
      <c r="O1100" t="s">
        <v>76</v>
      </c>
      <c r="R1100" t="s">
        <v>6059</v>
      </c>
      <c r="S1100">
        <v>20</v>
      </c>
      <c r="T1100" t="s">
        <v>40</v>
      </c>
      <c r="U1100">
        <f>+IF(Tabla1[[#This Row],[MONEDA]]="PEN",Tabla1[[#This Row],[MONTO]],Tabla1[[#This Row],[MONTO]]*3.56)</f>
        <v>20</v>
      </c>
      <c r="V1100" t="s">
        <v>190</v>
      </c>
      <c r="W1100">
        <v>29024</v>
      </c>
      <c r="X1100" t="s">
        <v>81</v>
      </c>
      <c r="Y1100" t="s">
        <v>42</v>
      </c>
      <c r="Z1100" t="s">
        <v>43</v>
      </c>
      <c r="AA1100" t="s">
        <v>6060</v>
      </c>
      <c r="AC1100" t="s">
        <v>6061</v>
      </c>
      <c r="AD1100" t="s">
        <v>6062</v>
      </c>
    </row>
    <row r="1101" spans="1:33" hidden="1" x14ac:dyDescent="0.25">
      <c r="A1101">
        <v>29912</v>
      </c>
      <c r="B1101" t="s">
        <v>32</v>
      </c>
      <c r="C1101">
        <v>1</v>
      </c>
      <c r="D1101" t="s">
        <v>6557</v>
      </c>
      <c r="E1101" t="s">
        <v>70</v>
      </c>
      <c r="F1101" t="s">
        <v>33</v>
      </c>
      <c r="G1101" t="s">
        <v>71</v>
      </c>
      <c r="H1101" t="s">
        <v>72</v>
      </c>
      <c r="I1101" t="s">
        <v>6558</v>
      </c>
      <c r="J1101" t="s">
        <v>6559</v>
      </c>
      <c r="K1101" t="s">
        <v>36</v>
      </c>
      <c r="L1101" t="s">
        <v>33</v>
      </c>
      <c r="M1101">
        <v>20532867399</v>
      </c>
      <c r="N1101" t="s">
        <v>3748</v>
      </c>
      <c r="O1101" t="s">
        <v>76</v>
      </c>
      <c r="R1101" t="s">
        <v>6560</v>
      </c>
      <c r="S1101">
        <v>26</v>
      </c>
      <c r="T1101" t="s">
        <v>40</v>
      </c>
      <c r="U1101">
        <f>+IF(Tabla1[[#This Row],[MONEDA]]="PEN",Tabla1[[#This Row],[MONTO]],Tabla1[[#This Row],[MONTO]]*3.56)</f>
        <v>26</v>
      </c>
      <c r="V1101" t="s">
        <v>190</v>
      </c>
      <c r="W1101">
        <v>28316</v>
      </c>
      <c r="X1101" t="s">
        <v>81</v>
      </c>
      <c r="Y1101" t="s">
        <v>42</v>
      </c>
      <c r="Z1101" t="s">
        <v>43</v>
      </c>
      <c r="AA1101" t="s">
        <v>6546</v>
      </c>
      <c r="AC1101" t="s">
        <v>6561</v>
      </c>
      <c r="AD1101" t="s">
        <v>6562</v>
      </c>
    </row>
    <row r="1102" spans="1:33" hidden="1" x14ac:dyDescent="0.25">
      <c r="A1102">
        <v>29911</v>
      </c>
      <c r="B1102" t="s">
        <v>32</v>
      </c>
      <c r="C1102">
        <v>1</v>
      </c>
      <c r="D1102" t="s">
        <v>6563</v>
      </c>
      <c r="E1102" t="s">
        <v>70</v>
      </c>
      <c r="F1102" t="s">
        <v>33</v>
      </c>
      <c r="G1102" t="s">
        <v>71</v>
      </c>
      <c r="H1102" t="s">
        <v>72</v>
      </c>
      <c r="I1102" t="s">
        <v>6564</v>
      </c>
      <c r="J1102" t="s">
        <v>6565</v>
      </c>
      <c r="K1102" t="s">
        <v>36</v>
      </c>
      <c r="L1102" t="s">
        <v>33</v>
      </c>
      <c r="M1102">
        <v>20532867399</v>
      </c>
      <c r="N1102" t="s">
        <v>3748</v>
      </c>
      <c r="O1102" t="s">
        <v>76</v>
      </c>
      <c r="R1102" t="s">
        <v>6566</v>
      </c>
      <c r="S1102">
        <v>13</v>
      </c>
      <c r="T1102" t="s">
        <v>40</v>
      </c>
      <c r="U1102">
        <f>+IF(Tabla1[[#This Row],[MONEDA]]="PEN",Tabla1[[#This Row],[MONTO]],Tabla1[[#This Row],[MONTO]]*3.56)</f>
        <v>13</v>
      </c>
      <c r="V1102" t="s">
        <v>190</v>
      </c>
      <c r="W1102">
        <v>28316</v>
      </c>
      <c r="X1102" t="s">
        <v>81</v>
      </c>
      <c r="Y1102" t="s">
        <v>42</v>
      </c>
      <c r="Z1102" t="s">
        <v>43</v>
      </c>
      <c r="AA1102" t="s">
        <v>6567</v>
      </c>
      <c r="AC1102" t="s">
        <v>6568</v>
      </c>
      <c r="AD1102" t="s">
        <v>6569</v>
      </c>
    </row>
    <row r="1103" spans="1:33" hidden="1" x14ac:dyDescent="0.25">
      <c r="A1103">
        <v>29845</v>
      </c>
      <c r="B1103" t="s">
        <v>32</v>
      </c>
      <c r="C1103">
        <v>1</v>
      </c>
      <c r="D1103" t="s">
        <v>6584</v>
      </c>
      <c r="E1103" t="s">
        <v>70</v>
      </c>
      <c r="F1103" t="s">
        <v>33</v>
      </c>
      <c r="G1103" t="s">
        <v>71</v>
      </c>
      <c r="H1103" t="s">
        <v>72</v>
      </c>
      <c r="I1103" t="s">
        <v>6585</v>
      </c>
      <c r="J1103" t="s">
        <v>6586</v>
      </c>
      <c r="K1103" t="s">
        <v>36</v>
      </c>
      <c r="L1103" t="s">
        <v>33</v>
      </c>
      <c r="M1103">
        <v>20532867399</v>
      </c>
      <c r="N1103" t="s">
        <v>3748</v>
      </c>
      <c r="O1103" t="s">
        <v>76</v>
      </c>
      <c r="R1103" t="s">
        <v>6587</v>
      </c>
      <c r="S1103">
        <v>95</v>
      </c>
      <c r="T1103" t="s">
        <v>40</v>
      </c>
      <c r="U1103">
        <f>+IF(Tabla1[[#This Row],[MONEDA]]="PEN",Tabla1[[#This Row],[MONTO]],Tabla1[[#This Row],[MONTO]]*3.56)</f>
        <v>95</v>
      </c>
      <c r="V1103" t="s">
        <v>190</v>
      </c>
      <c r="W1103">
        <v>28316</v>
      </c>
      <c r="X1103" t="s">
        <v>81</v>
      </c>
      <c r="Y1103" t="s">
        <v>42</v>
      </c>
      <c r="Z1103" t="s">
        <v>43</v>
      </c>
      <c r="AA1103" t="s">
        <v>6588</v>
      </c>
      <c r="AC1103" t="s">
        <v>6589</v>
      </c>
      <c r="AD1103" t="s">
        <v>6590</v>
      </c>
    </row>
    <row r="1104" spans="1:33" hidden="1" x14ac:dyDescent="0.25">
      <c r="A1104">
        <v>29843</v>
      </c>
      <c r="B1104" t="s">
        <v>32</v>
      </c>
      <c r="C1104">
        <v>1</v>
      </c>
      <c r="D1104" t="s">
        <v>6597</v>
      </c>
      <c r="E1104" t="s">
        <v>70</v>
      </c>
      <c r="F1104" t="s">
        <v>33</v>
      </c>
      <c r="G1104" t="s">
        <v>71</v>
      </c>
      <c r="H1104" t="s">
        <v>72</v>
      </c>
      <c r="I1104" t="s">
        <v>6598</v>
      </c>
      <c r="J1104" t="s">
        <v>6599</v>
      </c>
      <c r="K1104" t="s">
        <v>36</v>
      </c>
      <c r="L1104" t="s">
        <v>33</v>
      </c>
      <c r="M1104">
        <v>20532867399</v>
      </c>
      <c r="N1104" t="s">
        <v>3748</v>
      </c>
      <c r="O1104" t="s">
        <v>76</v>
      </c>
      <c r="R1104" t="s">
        <v>6587</v>
      </c>
      <c r="S1104">
        <v>30</v>
      </c>
      <c r="T1104" t="s">
        <v>40</v>
      </c>
      <c r="U1104">
        <f>+IF(Tabla1[[#This Row],[MONEDA]]="PEN",Tabla1[[#This Row],[MONTO]],Tabla1[[#This Row],[MONTO]]*3.56)</f>
        <v>30</v>
      </c>
      <c r="V1104" t="s">
        <v>190</v>
      </c>
      <c r="W1104">
        <v>28316</v>
      </c>
      <c r="X1104" t="s">
        <v>81</v>
      </c>
      <c r="Y1104" t="s">
        <v>42</v>
      </c>
      <c r="Z1104" t="s">
        <v>43</v>
      </c>
      <c r="AA1104" t="s">
        <v>6600</v>
      </c>
      <c r="AC1104" t="s">
        <v>6601</v>
      </c>
      <c r="AD1104" t="s">
        <v>6602</v>
      </c>
    </row>
    <row r="1105" spans="1:30" hidden="1" x14ac:dyDescent="0.25">
      <c r="A1105">
        <v>29842</v>
      </c>
      <c r="B1105" t="s">
        <v>32</v>
      </c>
      <c r="C1105">
        <v>1</v>
      </c>
      <c r="D1105" t="s">
        <v>6603</v>
      </c>
      <c r="E1105" t="s">
        <v>70</v>
      </c>
      <c r="F1105" t="s">
        <v>33</v>
      </c>
      <c r="G1105" t="s">
        <v>71</v>
      </c>
      <c r="H1105" t="s">
        <v>72</v>
      </c>
      <c r="I1105" t="s">
        <v>6604</v>
      </c>
      <c r="J1105" t="s">
        <v>6605</v>
      </c>
      <c r="K1105" t="s">
        <v>36</v>
      </c>
      <c r="L1105" t="s">
        <v>33</v>
      </c>
      <c r="M1105">
        <v>20532867399</v>
      </c>
      <c r="N1105" t="s">
        <v>3748</v>
      </c>
      <c r="O1105" t="s">
        <v>76</v>
      </c>
      <c r="R1105" t="s">
        <v>6606</v>
      </c>
      <c r="S1105">
        <v>17</v>
      </c>
      <c r="T1105" t="s">
        <v>40</v>
      </c>
      <c r="U1105">
        <f>+IF(Tabla1[[#This Row],[MONEDA]]="PEN",Tabla1[[#This Row],[MONTO]],Tabla1[[#This Row],[MONTO]]*3.56)</f>
        <v>17</v>
      </c>
      <c r="V1105" t="s">
        <v>190</v>
      </c>
      <c r="W1105">
        <v>28316</v>
      </c>
      <c r="X1105" t="s">
        <v>81</v>
      </c>
      <c r="Y1105" t="s">
        <v>42</v>
      </c>
      <c r="Z1105" t="s">
        <v>43</v>
      </c>
      <c r="AA1105" t="s">
        <v>6607</v>
      </c>
      <c r="AC1105" t="s">
        <v>6608</v>
      </c>
      <c r="AD1105" t="s">
        <v>6609</v>
      </c>
    </row>
    <row r="1106" spans="1:30" hidden="1" x14ac:dyDescent="0.25">
      <c r="A1106">
        <v>29841</v>
      </c>
      <c r="B1106" t="s">
        <v>32</v>
      </c>
      <c r="C1106">
        <v>1</v>
      </c>
      <c r="D1106" t="s">
        <v>6610</v>
      </c>
      <c r="E1106" t="s">
        <v>70</v>
      </c>
      <c r="F1106" t="s">
        <v>33</v>
      </c>
      <c r="G1106" t="s">
        <v>71</v>
      </c>
      <c r="H1106" t="s">
        <v>72</v>
      </c>
      <c r="I1106" t="s">
        <v>6611</v>
      </c>
      <c r="J1106" t="s">
        <v>6612</v>
      </c>
      <c r="K1106" t="s">
        <v>36</v>
      </c>
      <c r="L1106" t="s">
        <v>33</v>
      </c>
      <c r="M1106">
        <v>20532867399</v>
      </c>
      <c r="N1106" t="s">
        <v>3748</v>
      </c>
      <c r="O1106" t="s">
        <v>76</v>
      </c>
      <c r="R1106" t="s">
        <v>6613</v>
      </c>
      <c r="S1106">
        <v>13</v>
      </c>
      <c r="T1106" t="s">
        <v>40</v>
      </c>
      <c r="U1106">
        <f>+IF(Tabla1[[#This Row],[MONEDA]]="PEN",Tabla1[[#This Row],[MONTO]],Tabla1[[#This Row],[MONTO]]*3.56)</f>
        <v>13</v>
      </c>
      <c r="V1106" t="s">
        <v>190</v>
      </c>
      <c r="W1106">
        <v>28316</v>
      </c>
      <c r="X1106" t="s">
        <v>81</v>
      </c>
      <c r="Y1106" t="s">
        <v>42</v>
      </c>
      <c r="Z1106" t="s">
        <v>43</v>
      </c>
      <c r="AA1106" t="s">
        <v>6607</v>
      </c>
      <c r="AC1106" t="s">
        <v>6614</v>
      </c>
      <c r="AD1106" t="s">
        <v>6615</v>
      </c>
    </row>
    <row r="1107" spans="1:30" hidden="1" x14ac:dyDescent="0.25">
      <c r="A1107">
        <v>29839</v>
      </c>
      <c r="B1107" t="s">
        <v>32</v>
      </c>
      <c r="C1107">
        <v>1</v>
      </c>
      <c r="D1107" t="s">
        <v>6622</v>
      </c>
      <c r="E1107" t="s">
        <v>70</v>
      </c>
      <c r="F1107" t="s">
        <v>33</v>
      </c>
      <c r="G1107" t="s">
        <v>71</v>
      </c>
      <c r="H1107" t="s">
        <v>72</v>
      </c>
      <c r="I1107" t="s">
        <v>6623</v>
      </c>
      <c r="J1107" t="s">
        <v>6624</v>
      </c>
      <c r="K1107" t="s">
        <v>36</v>
      </c>
      <c r="L1107" t="s">
        <v>33</v>
      </c>
      <c r="M1107">
        <v>20532867399</v>
      </c>
      <c r="N1107" t="s">
        <v>3748</v>
      </c>
      <c r="O1107" t="s">
        <v>76</v>
      </c>
      <c r="R1107" t="s">
        <v>6560</v>
      </c>
      <c r="S1107">
        <v>14</v>
      </c>
      <c r="T1107" t="s">
        <v>40</v>
      </c>
      <c r="U1107">
        <f>+IF(Tabla1[[#This Row],[MONEDA]]="PEN",Tabla1[[#This Row],[MONTO]],Tabla1[[#This Row],[MONTO]]*3.56)</f>
        <v>14</v>
      </c>
      <c r="V1107" t="s">
        <v>190</v>
      </c>
      <c r="W1107">
        <v>28316</v>
      </c>
      <c r="X1107" t="s">
        <v>81</v>
      </c>
      <c r="Y1107" t="s">
        <v>42</v>
      </c>
      <c r="Z1107" t="s">
        <v>43</v>
      </c>
      <c r="AA1107" t="s">
        <v>6625</v>
      </c>
      <c r="AC1107" t="s">
        <v>6626</v>
      </c>
      <c r="AD1107" t="s">
        <v>6627</v>
      </c>
    </row>
    <row r="1108" spans="1:30" hidden="1" x14ac:dyDescent="0.25">
      <c r="A1108">
        <v>29838</v>
      </c>
      <c r="B1108" t="s">
        <v>32</v>
      </c>
      <c r="C1108">
        <v>1</v>
      </c>
      <c r="D1108" t="s">
        <v>6628</v>
      </c>
      <c r="E1108" t="s">
        <v>70</v>
      </c>
      <c r="F1108" t="s">
        <v>33</v>
      </c>
      <c r="G1108" t="s">
        <v>71</v>
      </c>
      <c r="H1108" t="s">
        <v>72</v>
      </c>
      <c r="I1108" t="s">
        <v>6629</v>
      </c>
      <c r="J1108" t="s">
        <v>6630</v>
      </c>
      <c r="K1108" t="s">
        <v>36</v>
      </c>
      <c r="L1108" t="s">
        <v>33</v>
      </c>
      <c r="M1108">
        <v>20532867399</v>
      </c>
      <c r="N1108" t="s">
        <v>3748</v>
      </c>
      <c r="O1108" t="s">
        <v>76</v>
      </c>
      <c r="R1108" t="s">
        <v>6631</v>
      </c>
      <c r="S1108">
        <v>25</v>
      </c>
      <c r="T1108" t="s">
        <v>40</v>
      </c>
      <c r="U1108">
        <f>+IF(Tabla1[[#This Row],[MONEDA]]="PEN",Tabla1[[#This Row],[MONTO]],Tabla1[[#This Row],[MONTO]]*3.56)</f>
        <v>25</v>
      </c>
      <c r="V1108" t="s">
        <v>190</v>
      </c>
      <c r="W1108">
        <v>28316</v>
      </c>
      <c r="X1108" t="s">
        <v>81</v>
      </c>
      <c r="Y1108" t="s">
        <v>42</v>
      </c>
      <c r="Z1108" t="s">
        <v>43</v>
      </c>
      <c r="AA1108" t="s">
        <v>6632</v>
      </c>
      <c r="AC1108" t="s">
        <v>6633</v>
      </c>
      <c r="AD1108" t="s">
        <v>6634</v>
      </c>
    </row>
    <row r="1109" spans="1:30" hidden="1" x14ac:dyDescent="0.25">
      <c r="A1109">
        <v>29833</v>
      </c>
      <c r="B1109" t="s">
        <v>32</v>
      </c>
      <c r="C1109">
        <v>1</v>
      </c>
      <c r="D1109" t="s">
        <v>6659</v>
      </c>
      <c r="E1109" t="s">
        <v>70</v>
      </c>
      <c r="F1109" t="s">
        <v>33</v>
      </c>
      <c r="G1109" t="s">
        <v>71</v>
      </c>
      <c r="H1109" t="s">
        <v>72</v>
      </c>
      <c r="I1109" t="s">
        <v>6660</v>
      </c>
      <c r="J1109" t="s">
        <v>6661</v>
      </c>
      <c r="K1109" t="s">
        <v>36</v>
      </c>
      <c r="L1109" t="s">
        <v>33</v>
      </c>
      <c r="M1109">
        <v>20532867399</v>
      </c>
      <c r="N1109" t="s">
        <v>3748</v>
      </c>
      <c r="O1109" t="s">
        <v>76</v>
      </c>
      <c r="R1109" t="s">
        <v>6662</v>
      </c>
      <c r="S1109">
        <v>70</v>
      </c>
      <c r="T1109" t="s">
        <v>40</v>
      </c>
      <c r="U1109">
        <f>+IF(Tabla1[[#This Row],[MONEDA]]="PEN",Tabla1[[#This Row],[MONTO]],Tabla1[[#This Row],[MONTO]]*3.56)</f>
        <v>70</v>
      </c>
      <c r="V1109" t="s">
        <v>190</v>
      </c>
      <c r="W1109">
        <v>28316</v>
      </c>
      <c r="X1109" t="s">
        <v>81</v>
      </c>
      <c r="Y1109" t="s">
        <v>42</v>
      </c>
      <c r="Z1109" t="s">
        <v>43</v>
      </c>
      <c r="AA1109" t="s">
        <v>6663</v>
      </c>
      <c r="AC1109" t="s">
        <v>6664</v>
      </c>
      <c r="AD1109" t="s">
        <v>6665</v>
      </c>
    </row>
    <row r="1110" spans="1:30" hidden="1" x14ac:dyDescent="0.25">
      <c r="A1110">
        <v>29831</v>
      </c>
      <c r="B1110" t="s">
        <v>32</v>
      </c>
      <c r="C1110">
        <v>1</v>
      </c>
      <c r="D1110" t="s">
        <v>6666</v>
      </c>
      <c r="E1110" t="s">
        <v>70</v>
      </c>
      <c r="F1110" t="s">
        <v>33</v>
      </c>
      <c r="G1110" t="s">
        <v>71</v>
      </c>
      <c r="H1110" t="s">
        <v>72</v>
      </c>
      <c r="I1110" t="s">
        <v>6667</v>
      </c>
      <c r="J1110" t="s">
        <v>6668</v>
      </c>
      <c r="K1110" t="s">
        <v>36</v>
      </c>
      <c r="L1110" t="s">
        <v>33</v>
      </c>
      <c r="M1110">
        <v>20532867399</v>
      </c>
      <c r="N1110" t="s">
        <v>3748</v>
      </c>
      <c r="O1110" t="s">
        <v>76</v>
      </c>
      <c r="R1110" t="s">
        <v>6669</v>
      </c>
      <c r="S1110">
        <v>20</v>
      </c>
      <c r="T1110" t="s">
        <v>40</v>
      </c>
      <c r="U1110">
        <f>+IF(Tabla1[[#This Row],[MONEDA]]="PEN",Tabla1[[#This Row],[MONTO]],Tabla1[[#This Row],[MONTO]]*3.56)</f>
        <v>20</v>
      </c>
      <c r="V1110" t="s">
        <v>190</v>
      </c>
      <c r="W1110">
        <v>28316</v>
      </c>
      <c r="X1110" t="s">
        <v>81</v>
      </c>
      <c r="Y1110" t="s">
        <v>42</v>
      </c>
      <c r="Z1110" t="s">
        <v>43</v>
      </c>
      <c r="AA1110" t="s">
        <v>6670</v>
      </c>
      <c r="AC1110" t="s">
        <v>6671</v>
      </c>
      <c r="AD1110" t="s">
        <v>6672</v>
      </c>
    </row>
    <row r="1111" spans="1:30" hidden="1" x14ac:dyDescent="0.25">
      <c r="A1111">
        <v>29832</v>
      </c>
      <c r="B1111" t="s">
        <v>32</v>
      </c>
      <c r="C1111">
        <v>1</v>
      </c>
      <c r="D1111" t="s">
        <v>6666</v>
      </c>
      <c r="E1111" t="s">
        <v>70</v>
      </c>
      <c r="F1111" t="s">
        <v>33</v>
      </c>
      <c r="G1111" t="s">
        <v>71</v>
      </c>
      <c r="H1111" t="s">
        <v>72</v>
      </c>
      <c r="I1111" t="s">
        <v>6667</v>
      </c>
      <c r="J1111" t="s">
        <v>6673</v>
      </c>
      <c r="K1111" t="s">
        <v>36</v>
      </c>
      <c r="L1111" t="s">
        <v>33</v>
      </c>
      <c r="M1111">
        <v>20532867399</v>
      </c>
      <c r="N1111" t="s">
        <v>3748</v>
      </c>
      <c r="O1111" t="s">
        <v>76</v>
      </c>
      <c r="R1111" t="s">
        <v>6662</v>
      </c>
      <c r="S1111">
        <v>100</v>
      </c>
      <c r="T1111" t="s">
        <v>40</v>
      </c>
      <c r="U1111">
        <f>+IF(Tabla1[[#This Row],[MONEDA]]="PEN",Tabla1[[#This Row],[MONTO]],Tabla1[[#This Row],[MONTO]]*3.56)</f>
        <v>100</v>
      </c>
      <c r="V1111" t="s">
        <v>190</v>
      </c>
      <c r="W1111">
        <v>28316</v>
      </c>
      <c r="X1111" t="s">
        <v>81</v>
      </c>
      <c r="Y1111" t="s">
        <v>42</v>
      </c>
      <c r="Z1111" t="s">
        <v>43</v>
      </c>
      <c r="AA1111" t="s">
        <v>6674</v>
      </c>
      <c r="AC1111" t="s">
        <v>6675</v>
      </c>
      <c r="AD1111" t="s">
        <v>6676</v>
      </c>
    </row>
    <row r="1112" spans="1:30" hidden="1" x14ac:dyDescent="0.25">
      <c r="A1112">
        <v>29111</v>
      </c>
      <c r="B1112" t="s">
        <v>32</v>
      </c>
      <c r="C1112">
        <v>2</v>
      </c>
      <c r="D1112" t="s">
        <v>7166</v>
      </c>
      <c r="E1112" t="s">
        <v>70</v>
      </c>
      <c r="F1112" t="s">
        <v>33</v>
      </c>
      <c r="G1112" t="s">
        <v>71</v>
      </c>
      <c r="H1112" t="s">
        <v>72</v>
      </c>
      <c r="I1112" t="s">
        <v>7167</v>
      </c>
      <c r="J1112" t="s">
        <v>7168</v>
      </c>
      <c r="K1112" t="s">
        <v>36</v>
      </c>
      <c r="L1112" t="s">
        <v>33</v>
      </c>
      <c r="M1112">
        <v>20532867399</v>
      </c>
      <c r="N1112" t="s">
        <v>3748</v>
      </c>
      <c r="O1112" t="s">
        <v>76</v>
      </c>
      <c r="R1112" t="s">
        <v>7169</v>
      </c>
      <c r="S1112">
        <v>12</v>
      </c>
      <c r="T1112" t="s">
        <v>40</v>
      </c>
      <c r="U1112">
        <f>+IF(Tabla1[[#This Row],[MONEDA]]="PEN",Tabla1[[#This Row],[MONTO]],Tabla1[[#This Row],[MONTO]]*3.56)</f>
        <v>12</v>
      </c>
      <c r="V1112" t="s">
        <v>190</v>
      </c>
      <c r="W1112">
        <v>27036</v>
      </c>
      <c r="X1112" t="s">
        <v>81</v>
      </c>
      <c r="Y1112" t="s">
        <v>42</v>
      </c>
      <c r="Z1112" t="s">
        <v>43</v>
      </c>
      <c r="AA1112" t="s">
        <v>7170</v>
      </c>
      <c r="AC1112" t="s">
        <v>7171</v>
      </c>
      <c r="AD1112" t="s">
        <v>7172</v>
      </c>
    </row>
    <row r="1113" spans="1:30" hidden="1" x14ac:dyDescent="0.25">
      <c r="A1113">
        <v>29039</v>
      </c>
      <c r="B1113" t="s">
        <v>32</v>
      </c>
      <c r="C1113">
        <v>2</v>
      </c>
      <c r="D1113" t="s">
        <v>7299</v>
      </c>
      <c r="E1113" t="s">
        <v>70</v>
      </c>
      <c r="F1113" t="s">
        <v>33</v>
      </c>
      <c r="G1113" t="s">
        <v>71</v>
      </c>
      <c r="H1113" t="s">
        <v>72</v>
      </c>
      <c r="I1113" t="s">
        <v>7300</v>
      </c>
      <c r="J1113" t="s">
        <v>7301</v>
      </c>
      <c r="K1113" t="s">
        <v>36</v>
      </c>
      <c r="L1113" t="s">
        <v>33</v>
      </c>
      <c r="M1113">
        <v>20532867399</v>
      </c>
      <c r="N1113" t="s">
        <v>3748</v>
      </c>
      <c r="O1113" t="s">
        <v>76</v>
      </c>
      <c r="R1113" t="s">
        <v>7302</v>
      </c>
      <c r="S1113">
        <v>20</v>
      </c>
      <c r="T1113" t="s">
        <v>40</v>
      </c>
      <c r="U1113">
        <f>+IF(Tabla1[[#This Row],[MONEDA]]="PEN",Tabla1[[#This Row],[MONTO]],Tabla1[[#This Row],[MONTO]]*3.56)</f>
        <v>20</v>
      </c>
      <c r="V1113" t="s">
        <v>190</v>
      </c>
      <c r="W1113">
        <v>27036</v>
      </c>
      <c r="X1113" t="s">
        <v>81</v>
      </c>
      <c r="Y1113" t="s">
        <v>42</v>
      </c>
      <c r="Z1113" t="s">
        <v>43</v>
      </c>
      <c r="AA1113" t="s">
        <v>7303</v>
      </c>
      <c r="AC1113" t="s">
        <v>7304</v>
      </c>
      <c r="AD1113" t="s">
        <v>7305</v>
      </c>
    </row>
    <row r="1114" spans="1:30" hidden="1" x14ac:dyDescent="0.25">
      <c r="A1114">
        <v>28337</v>
      </c>
      <c r="B1114" t="s">
        <v>32</v>
      </c>
      <c r="C1114">
        <v>1</v>
      </c>
      <c r="D1114" t="s">
        <v>7770</v>
      </c>
      <c r="E1114" t="s">
        <v>70</v>
      </c>
      <c r="F1114" t="s">
        <v>33</v>
      </c>
      <c r="G1114" t="s">
        <v>71</v>
      </c>
      <c r="H1114" t="s">
        <v>72</v>
      </c>
      <c r="I1114" t="s">
        <v>7771</v>
      </c>
      <c r="J1114" t="s">
        <v>7772</v>
      </c>
      <c r="K1114" t="s">
        <v>36</v>
      </c>
      <c r="L1114" t="s">
        <v>33</v>
      </c>
      <c r="M1114">
        <v>20532867399</v>
      </c>
      <c r="N1114" t="s">
        <v>3748</v>
      </c>
      <c r="O1114" t="s">
        <v>76</v>
      </c>
      <c r="R1114" t="s">
        <v>7773</v>
      </c>
      <c r="S1114">
        <v>28</v>
      </c>
      <c r="T1114" t="s">
        <v>40</v>
      </c>
      <c r="U1114">
        <f>+IF(Tabla1[[#This Row],[MONEDA]]="PEN",Tabla1[[#This Row],[MONTO]],Tabla1[[#This Row],[MONTO]]*3.56)</f>
        <v>28</v>
      </c>
      <c r="V1114" t="s">
        <v>190</v>
      </c>
      <c r="W1114">
        <v>25908</v>
      </c>
      <c r="X1114" t="s">
        <v>81</v>
      </c>
      <c r="Y1114" t="s">
        <v>42</v>
      </c>
      <c r="Z1114" t="s">
        <v>82</v>
      </c>
      <c r="AA1114" t="s">
        <v>7774</v>
      </c>
      <c r="AC1114" t="s">
        <v>7775</v>
      </c>
      <c r="AD1114" t="s">
        <v>7776</v>
      </c>
    </row>
    <row r="1115" spans="1:30" hidden="1" x14ac:dyDescent="0.25">
      <c r="A1115">
        <v>28336</v>
      </c>
      <c r="B1115" t="s">
        <v>32</v>
      </c>
      <c r="C1115">
        <v>1</v>
      </c>
      <c r="D1115" t="s">
        <v>7777</v>
      </c>
      <c r="E1115" t="s">
        <v>70</v>
      </c>
      <c r="F1115" t="s">
        <v>33</v>
      </c>
      <c r="G1115" t="s">
        <v>71</v>
      </c>
      <c r="H1115" t="s">
        <v>72</v>
      </c>
      <c r="I1115" t="s">
        <v>7778</v>
      </c>
      <c r="J1115" t="s">
        <v>7779</v>
      </c>
      <c r="K1115" t="s">
        <v>36</v>
      </c>
      <c r="L1115" t="s">
        <v>33</v>
      </c>
      <c r="M1115">
        <v>20532867399</v>
      </c>
      <c r="N1115" t="s">
        <v>3748</v>
      </c>
      <c r="O1115" t="s">
        <v>76</v>
      </c>
      <c r="R1115" t="s">
        <v>7773</v>
      </c>
      <c r="S1115">
        <v>13</v>
      </c>
      <c r="T1115" t="s">
        <v>40</v>
      </c>
      <c r="U1115">
        <f>+IF(Tabla1[[#This Row],[MONEDA]]="PEN",Tabla1[[#This Row],[MONTO]],Tabla1[[#This Row],[MONTO]]*3.56)</f>
        <v>13</v>
      </c>
      <c r="V1115" t="s">
        <v>190</v>
      </c>
      <c r="W1115">
        <v>25908</v>
      </c>
      <c r="X1115" t="s">
        <v>81</v>
      </c>
      <c r="Y1115" t="s">
        <v>42</v>
      </c>
      <c r="Z1115" t="s">
        <v>43</v>
      </c>
      <c r="AA1115" t="s">
        <v>7780</v>
      </c>
      <c r="AC1115" t="s">
        <v>7781</v>
      </c>
      <c r="AD1115" t="s">
        <v>7782</v>
      </c>
    </row>
    <row r="1116" spans="1:30" hidden="1" x14ac:dyDescent="0.25">
      <c r="A1116">
        <v>26853</v>
      </c>
      <c r="B1116" t="s">
        <v>32</v>
      </c>
      <c r="C1116">
        <v>2</v>
      </c>
      <c r="D1116" t="s">
        <v>8866</v>
      </c>
      <c r="E1116" t="s">
        <v>70</v>
      </c>
      <c r="F1116" t="s">
        <v>33</v>
      </c>
      <c r="G1116" t="s">
        <v>71</v>
      </c>
      <c r="H1116" t="s">
        <v>72</v>
      </c>
      <c r="I1116" t="s">
        <v>8867</v>
      </c>
      <c r="J1116" t="s">
        <v>8868</v>
      </c>
      <c r="K1116" t="s">
        <v>36</v>
      </c>
      <c r="L1116" t="s">
        <v>33</v>
      </c>
      <c r="M1116">
        <v>20532867399</v>
      </c>
      <c r="N1116" t="s">
        <v>3748</v>
      </c>
      <c r="O1116" t="s">
        <v>76</v>
      </c>
      <c r="R1116" t="s">
        <v>8856</v>
      </c>
      <c r="S1116">
        <v>10</v>
      </c>
      <c r="T1116" t="s">
        <v>40</v>
      </c>
      <c r="U1116">
        <f>+IF(Tabla1[[#This Row],[MONEDA]]="PEN",Tabla1[[#This Row],[MONTO]],Tabla1[[#This Row],[MONTO]]*3.56)</f>
        <v>10</v>
      </c>
      <c r="V1116" t="s">
        <v>190</v>
      </c>
      <c r="W1116">
        <v>26301</v>
      </c>
      <c r="X1116" t="s">
        <v>81</v>
      </c>
      <c r="Y1116" t="s">
        <v>42</v>
      </c>
      <c r="Z1116" t="s">
        <v>43</v>
      </c>
      <c r="AA1116" t="s">
        <v>8869</v>
      </c>
      <c r="AC1116" t="s">
        <v>8870</v>
      </c>
      <c r="AD1116" t="s">
        <v>8871</v>
      </c>
    </row>
    <row r="1117" spans="1:30" hidden="1" x14ac:dyDescent="0.25">
      <c r="A1117">
        <v>26716</v>
      </c>
      <c r="B1117" t="s">
        <v>32</v>
      </c>
      <c r="C1117">
        <v>1</v>
      </c>
      <c r="D1117" t="s">
        <v>9203</v>
      </c>
      <c r="E1117" t="s">
        <v>70</v>
      </c>
      <c r="F1117" t="s">
        <v>33</v>
      </c>
      <c r="G1117" t="s">
        <v>71</v>
      </c>
      <c r="H1117" t="s">
        <v>72</v>
      </c>
      <c r="I1117" t="s">
        <v>9204</v>
      </c>
      <c r="J1117" t="s">
        <v>9205</v>
      </c>
      <c r="K1117" t="s">
        <v>36</v>
      </c>
      <c r="L1117" t="s">
        <v>33</v>
      </c>
      <c r="M1117">
        <v>20532867399</v>
      </c>
      <c r="N1117" t="s">
        <v>3748</v>
      </c>
      <c r="O1117" t="s">
        <v>76</v>
      </c>
      <c r="R1117" t="s">
        <v>9206</v>
      </c>
      <c r="S1117">
        <v>28</v>
      </c>
      <c r="T1117" t="s">
        <v>40</v>
      </c>
      <c r="U1117">
        <f>+IF(Tabla1[[#This Row],[MONEDA]]="PEN",Tabla1[[#This Row],[MONTO]],Tabla1[[#This Row],[MONTO]]*3.56)</f>
        <v>28</v>
      </c>
      <c r="V1117" t="s">
        <v>190</v>
      </c>
      <c r="W1117">
        <v>25908</v>
      </c>
      <c r="X1117" t="s">
        <v>81</v>
      </c>
      <c r="Y1117" t="s">
        <v>42</v>
      </c>
      <c r="Z1117" t="s">
        <v>82</v>
      </c>
      <c r="AA1117" t="s">
        <v>9207</v>
      </c>
      <c r="AC1117" t="s">
        <v>9208</v>
      </c>
      <c r="AD1117" t="s">
        <v>9209</v>
      </c>
    </row>
    <row r="1118" spans="1:30" hidden="1" x14ac:dyDescent="0.25">
      <c r="A1118">
        <v>24367</v>
      </c>
      <c r="B1118" t="s">
        <v>32</v>
      </c>
      <c r="C1118">
        <v>1</v>
      </c>
      <c r="D1118" t="s">
        <v>10452</v>
      </c>
      <c r="E1118" t="s">
        <v>70</v>
      </c>
      <c r="F1118" t="s">
        <v>33</v>
      </c>
      <c r="G1118" t="s">
        <v>71</v>
      </c>
      <c r="H1118" t="s">
        <v>72</v>
      </c>
      <c r="I1118" t="s">
        <v>10453</v>
      </c>
      <c r="J1118" t="s">
        <v>10454</v>
      </c>
      <c r="K1118" t="s">
        <v>36</v>
      </c>
      <c r="L1118" t="s">
        <v>33</v>
      </c>
      <c r="M1118">
        <v>20532867399</v>
      </c>
      <c r="N1118" t="s">
        <v>3748</v>
      </c>
      <c r="O1118" t="s">
        <v>76</v>
      </c>
      <c r="R1118" t="s">
        <v>10455</v>
      </c>
      <c r="S1118">
        <v>12</v>
      </c>
      <c r="T1118" t="s">
        <v>40</v>
      </c>
      <c r="U1118">
        <f>+IF(Tabla1[[#This Row],[MONEDA]]="PEN",Tabla1[[#This Row],[MONTO]],Tabla1[[#This Row],[MONTO]]*3.56)</f>
        <v>12</v>
      </c>
      <c r="V1118" t="s">
        <v>190</v>
      </c>
      <c r="W1118">
        <v>23138</v>
      </c>
      <c r="X1118" t="s">
        <v>81</v>
      </c>
      <c r="Y1118" t="s">
        <v>42</v>
      </c>
      <c r="Z1118" t="s">
        <v>82</v>
      </c>
      <c r="AA1118" t="s">
        <v>10456</v>
      </c>
      <c r="AC1118" t="s">
        <v>10457</v>
      </c>
      <c r="AD1118" t="s">
        <v>10458</v>
      </c>
    </row>
    <row r="1119" spans="1:30" hidden="1" x14ac:dyDescent="0.25">
      <c r="A1119">
        <v>24363</v>
      </c>
      <c r="B1119" t="s">
        <v>32</v>
      </c>
      <c r="C1119">
        <v>1</v>
      </c>
      <c r="D1119" t="s">
        <v>10459</v>
      </c>
      <c r="E1119" t="s">
        <v>70</v>
      </c>
      <c r="F1119" t="s">
        <v>33</v>
      </c>
      <c r="G1119" t="s">
        <v>71</v>
      </c>
      <c r="H1119" t="s">
        <v>72</v>
      </c>
      <c r="I1119" t="s">
        <v>10460</v>
      </c>
      <c r="J1119" t="s">
        <v>10469</v>
      </c>
      <c r="K1119" t="s">
        <v>36</v>
      </c>
      <c r="L1119" t="s">
        <v>33</v>
      </c>
      <c r="M1119">
        <v>20532867399</v>
      </c>
      <c r="N1119" t="s">
        <v>3748</v>
      </c>
      <c r="O1119" t="s">
        <v>76</v>
      </c>
      <c r="R1119" t="s">
        <v>10455</v>
      </c>
      <c r="S1119">
        <v>80</v>
      </c>
      <c r="T1119" t="s">
        <v>40</v>
      </c>
      <c r="U1119">
        <f>+IF(Tabla1[[#This Row],[MONEDA]]="PEN",Tabla1[[#This Row],[MONTO]],Tabla1[[#This Row],[MONTO]]*3.56)</f>
        <v>80</v>
      </c>
      <c r="V1119" t="s">
        <v>190</v>
      </c>
      <c r="W1119">
        <v>23138</v>
      </c>
      <c r="X1119" t="s">
        <v>81</v>
      </c>
      <c r="Y1119" t="s">
        <v>42</v>
      </c>
      <c r="Z1119" t="s">
        <v>82</v>
      </c>
      <c r="AA1119" t="s">
        <v>10474</v>
      </c>
      <c r="AC1119" t="s">
        <v>10475</v>
      </c>
      <c r="AD1119" t="s">
        <v>10476</v>
      </c>
    </row>
    <row r="1120" spans="1:30" hidden="1" x14ac:dyDescent="0.25">
      <c r="A1120">
        <v>24364</v>
      </c>
      <c r="B1120" t="s">
        <v>32</v>
      </c>
      <c r="C1120">
        <v>1</v>
      </c>
      <c r="D1120" t="s">
        <v>10459</v>
      </c>
      <c r="E1120" t="s">
        <v>70</v>
      </c>
      <c r="F1120" t="s">
        <v>33</v>
      </c>
      <c r="G1120" t="s">
        <v>71</v>
      </c>
      <c r="H1120" t="s">
        <v>72</v>
      </c>
      <c r="I1120" t="s">
        <v>10460</v>
      </c>
      <c r="J1120" t="s">
        <v>10477</v>
      </c>
      <c r="K1120" t="s">
        <v>36</v>
      </c>
      <c r="L1120" t="s">
        <v>33</v>
      </c>
      <c r="M1120">
        <v>20532867399</v>
      </c>
      <c r="N1120" t="s">
        <v>3748</v>
      </c>
      <c r="O1120" t="s">
        <v>76</v>
      </c>
      <c r="R1120" t="s">
        <v>10455</v>
      </c>
      <c r="S1120">
        <v>70</v>
      </c>
      <c r="T1120" t="s">
        <v>40</v>
      </c>
      <c r="U1120">
        <f>+IF(Tabla1[[#This Row],[MONEDA]]="PEN",Tabla1[[#This Row],[MONTO]],Tabla1[[#This Row],[MONTO]]*3.56)</f>
        <v>70</v>
      </c>
      <c r="V1120" t="s">
        <v>190</v>
      </c>
      <c r="W1120">
        <v>23138</v>
      </c>
      <c r="X1120" t="s">
        <v>81</v>
      </c>
      <c r="Y1120" t="s">
        <v>42</v>
      </c>
      <c r="Z1120" t="s">
        <v>82</v>
      </c>
      <c r="AA1120" t="s">
        <v>10478</v>
      </c>
      <c r="AC1120" t="s">
        <v>10479</v>
      </c>
      <c r="AD1120" t="s">
        <v>10480</v>
      </c>
    </row>
    <row r="1121" spans="1:33" x14ac:dyDescent="0.25">
      <c r="A1121">
        <v>39777</v>
      </c>
      <c r="B1121" t="s">
        <v>32</v>
      </c>
      <c r="C1121">
        <v>1</v>
      </c>
      <c r="D1121" t="s">
        <v>2230</v>
      </c>
      <c r="E1121" t="s">
        <v>70</v>
      </c>
      <c r="F1121" t="s">
        <v>90</v>
      </c>
      <c r="G1121" t="s">
        <v>91</v>
      </c>
      <c r="H1121" t="s">
        <v>35</v>
      </c>
      <c r="I1121" t="s">
        <v>2222</v>
      </c>
      <c r="J1121" t="s">
        <v>2231</v>
      </c>
      <c r="K1121" t="s">
        <v>36</v>
      </c>
      <c r="L1121" t="s">
        <v>33</v>
      </c>
      <c r="M1121">
        <v>10765028812</v>
      </c>
      <c r="N1121" t="s">
        <v>223</v>
      </c>
      <c r="P1121" t="s">
        <v>224</v>
      </c>
      <c r="Q1121">
        <v>3613121160523</v>
      </c>
      <c r="R1121" t="s">
        <v>2232</v>
      </c>
      <c r="S1121">
        <v>2950</v>
      </c>
      <c r="T1121" t="s">
        <v>40</v>
      </c>
      <c r="U1121">
        <f>+IF(Tabla1[[#This Row],[MONEDA]]="PEN",Tabla1[[#This Row],[MONTO]],Tabla1[[#This Row],[MONTO]]*3.56)</f>
        <v>2950</v>
      </c>
      <c r="X1121" t="s">
        <v>41</v>
      </c>
      <c r="Y1121" t="s">
        <v>42</v>
      </c>
      <c r="Z1121" t="s">
        <v>82</v>
      </c>
      <c r="AA1121" t="s">
        <v>2233</v>
      </c>
      <c r="AB1121" t="s">
        <v>2234</v>
      </c>
      <c r="AC1121" t="s">
        <v>2235</v>
      </c>
      <c r="AD1121" t="s">
        <v>2236</v>
      </c>
      <c r="AE1121">
        <v>2655</v>
      </c>
      <c r="AG1121" t="s">
        <v>1798</v>
      </c>
    </row>
    <row r="1122" spans="1:33" x14ac:dyDescent="0.25">
      <c r="A1122">
        <v>37342</v>
      </c>
      <c r="B1122" t="s">
        <v>32</v>
      </c>
      <c r="C1122">
        <v>2</v>
      </c>
      <c r="D1122" t="s">
        <v>3139</v>
      </c>
      <c r="E1122" t="s">
        <v>70</v>
      </c>
      <c r="F1122" t="s">
        <v>90</v>
      </c>
      <c r="G1122" t="s">
        <v>91</v>
      </c>
      <c r="H1122" t="s">
        <v>35</v>
      </c>
      <c r="I1122" t="s">
        <v>3134</v>
      </c>
      <c r="J1122" t="s">
        <v>3140</v>
      </c>
      <c r="K1122" t="s">
        <v>36</v>
      </c>
      <c r="L1122" t="s">
        <v>33</v>
      </c>
      <c r="M1122">
        <v>10765028812</v>
      </c>
      <c r="N1122" t="s">
        <v>223</v>
      </c>
      <c r="P1122" t="s">
        <v>224</v>
      </c>
      <c r="Q1122">
        <v>3613121160523</v>
      </c>
      <c r="R1122" t="s">
        <v>3141</v>
      </c>
      <c r="S1122">
        <v>2950</v>
      </c>
      <c r="T1122" t="s">
        <v>40</v>
      </c>
      <c r="U1122">
        <f>+IF(Tabla1[[#This Row],[MONEDA]]="PEN",Tabla1[[#This Row],[MONTO]],Tabla1[[#This Row],[MONTO]]*3.56)</f>
        <v>2950</v>
      </c>
      <c r="X1122" t="s">
        <v>41</v>
      </c>
      <c r="Y1122" t="s">
        <v>42</v>
      </c>
      <c r="Z1122" t="s">
        <v>82</v>
      </c>
      <c r="AA1122" t="s">
        <v>3142</v>
      </c>
      <c r="AB1122" t="s">
        <v>3143</v>
      </c>
      <c r="AC1122" t="s">
        <v>3144</v>
      </c>
      <c r="AD1122" t="s">
        <v>3145</v>
      </c>
      <c r="AE1122">
        <v>2655</v>
      </c>
      <c r="AG1122" t="s">
        <v>1798</v>
      </c>
    </row>
    <row r="1123" spans="1:33" x14ac:dyDescent="0.25">
      <c r="A1123">
        <v>37326</v>
      </c>
      <c r="B1123" t="s">
        <v>32</v>
      </c>
      <c r="C1123">
        <v>1</v>
      </c>
      <c r="D1123" t="s">
        <v>3217</v>
      </c>
      <c r="E1123" t="s">
        <v>70</v>
      </c>
      <c r="F1123" t="s">
        <v>90</v>
      </c>
      <c r="G1123" t="s">
        <v>91</v>
      </c>
      <c r="H1123" t="s">
        <v>35</v>
      </c>
      <c r="I1123" t="s">
        <v>3204</v>
      </c>
      <c r="J1123" t="s">
        <v>3218</v>
      </c>
      <c r="K1123" t="s">
        <v>36</v>
      </c>
      <c r="L1123" t="s">
        <v>33</v>
      </c>
      <c r="M1123">
        <v>10765028812</v>
      </c>
      <c r="N1123" t="s">
        <v>223</v>
      </c>
      <c r="P1123" t="s">
        <v>224</v>
      </c>
      <c r="Q1123">
        <v>3613121160523</v>
      </c>
      <c r="R1123" t="s">
        <v>3219</v>
      </c>
      <c r="S1123">
        <v>2950</v>
      </c>
      <c r="T1123" t="s">
        <v>40</v>
      </c>
      <c r="U1123">
        <f>+IF(Tabla1[[#This Row],[MONEDA]]="PEN",Tabla1[[#This Row],[MONTO]],Tabla1[[#This Row],[MONTO]]*3.56)</f>
        <v>2950</v>
      </c>
      <c r="X1123" t="s">
        <v>41</v>
      </c>
      <c r="Y1123" t="s">
        <v>42</v>
      </c>
      <c r="Z1123" t="s">
        <v>82</v>
      </c>
      <c r="AA1123" t="s">
        <v>3220</v>
      </c>
      <c r="AB1123" t="s">
        <v>3221</v>
      </c>
      <c r="AC1123" t="s">
        <v>3222</v>
      </c>
      <c r="AD1123" t="s">
        <v>3223</v>
      </c>
      <c r="AE1123">
        <v>2655</v>
      </c>
      <c r="AF1123" t="s">
        <v>87</v>
      </c>
      <c r="AG1123" t="s">
        <v>1798</v>
      </c>
    </row>
    <row r="1124" spans="1:33" x14ac:dyDescent="0.25">
      <c r="A1124">
        <v>32713</v>
      </c>
      <c r="B1124" t="s">
        <v>32</v>
      </c>
      <c r="C1124">
        <v>1</v>
      </c>
      <c r="D1124" t="s">
        <v>4646</v>
      </c>
      <c r="E1124" t="s">
        <v>70</v>
      </c>
      <c r="F1124" t="s">
        <v>90</v>
      </c>
      <c r="G1124" t="s">
        <v>91</v>
      </c>
      <c r="H1124" t="s">
        <v>72</v>
      </c>
      <c r="I1124" t="s">
        <v>4647</v>
      </c>
      <c r="J1124" t="s">
        <v>4648</v>
      </c>
      <c r="K1124" t="s">
        <v>36</v>
      </c>
      <c r="L1124" t="s">
        <v>33</v>
      </c>
      <c r="M1124">
        <v>10765028812</v>
      </c>
      <c r="N1124" t="s">
        <v>223</v>
      </c>
      <c r="P1124" t="s">
        <v>224</v>
      </c>
      <c r="Q1124">
        <v>3613121160523</v>
      </c>
      <c r="R1124" t="s">
        <v>4649</v>
      </c>
      <c r="S1124">
        <v>2950</v>
      </c>
      <c r="T1124" t="s">
        <v>40</v>
      </c>
      <c r="U1124">
        <f>+IF(Tabla1[[#This Row],[MONEDA]]="PEN",Tabla1[[#This Row],[MONTO]],Tabla1[[#This Row],[MONTO]]*3.56)</f>
        <v>2950</v>
      </c>
      <c r="X1124" t="s">
        <v>41</v>
      </c>
      <c r="Y1124" t="s">
        <v>42</v>
      </c>
      <c r="Z1124" t="s">
        <v>82</v>
      </c>
      <c r="AA1124" t="s">
        <v>4650</v>
      </c>
      <c r="AB1124" t="s">
        <v>4651</v>
      </c>
      <c r="AC1124" t="s">
        <v>4652</v>
      </c>
      <c r="AD1124" t="s">
        <v>4653</v>
      </c>
      <c r="AE1124">
        <v>2655</v>
      </c>
      <c r="AF1124" t="s">
        <v>87</v>
      </c>
      <c r="AG1124" t="s">
        <v>1798</v>
      </c>
    </row>
    <row r="1125" spans="1:33" x14ac:dyDescent="0.25">
      <c r="A1125">
        <v>28138</v>
      </c>
      <c r="B1125" t="s">
        <v>32</v>
      </c>
      <c r="C1125">
        <v>1</v>
      </c>
      <c r="D1125" t="s">
        <v>7583</v>
      </c>
      <c r="E1125" t="s">
        <v>70</v>
      </c>
      <c r="F1125" t="s">
        <v>90</v>
      </c>
      <c r="G1125" t="s">
        <v>91</v>
      </c>
      <c r="H1125" t="s">
        <v>72</v>
      </c>
      <c r="I1125" t="s">
        <v>7531</v>
      </c>
      <c r="J1125" t="s">
        <v>7584</v>
      </c>
      <c r="K1125" t="s">
        <v>36</v>
      </c>
      <c r="L1125" t="s">
        <v>33</v>
      </c>
      <c r="M1125">
        <v>10765028812</v>
      </c>
      <c r="N1125" t="s">
        <v>223</v>
      </c>
      <c r="P1125" t="s">
        <v>224</v>
      </c>
      <c r="Q1125">
        <v>3613121160523</v>
      </c>
      <c r="R1125" t="s">
        <v>7585</v>
      </c>
      <c r="S1125">
        <v>2950</v>
      </c>
      <c r="T1125" t="s">
        <v>40</v>
      </c>
      <c r="U1125">
        <f>+IF(Tabla1[[#This Row],[MONEDA]]="PEN",Tabla1[[#This Row],[MONTO]],Tabla1[[#This Row],[MONTO]]*3.56)</f>
        <v>2950</v>
      </c>
      <c r="X1125" t="s">
        <v>41</v>
      </c>
      <c r="Y1125" t="s">
        <v>42</v>
      </c>
      <c r="Z1125" t="s">
        <v>43</v>
      </c>
      <c r="AA1125" t="s">
        <v>7586</v>
      </c>
      <c r="AB1125" t="s">
        <v>7587</v>
      </c>
      <c r="AC1125" t="s">
        <v>7588</v>
      </c>
      <c r="AD1125" t="s">
        <v>7589</v>
      </c>
      <c r="AE1125">
        <v>2655</v>
      </c>
      <c r="AF1125" t="s">
        <v>87</v>
      </c>
      <c r="AG1125" t="s">
        <v>1798</v>
      </c>
    </row>
    <row r="1126" spans="1:33" hidden="1" x14ac:dyDescent="0.25">
      <c r="A1126">
        <v>45111</v>
      </c>
      <c r="B1126" t="s">
        <v>32</v>
      </c>
      <c r="C1126">
        <v>3</v>
      </c>
      <c r="D1126" t="s">
        <v>220</v>
      </c>
      <c r="E1126" t="s">
        <v>45</v>
      </c>
      <c r="F1126" t="s">
        <v>33</v>
      </c>
      <c r="G1126" t="s">
        <v>34</v>
      </c>
      <c r="H1126" t="s">
        <v>35</v>
      </c>
      <c r="I1126" t="s">
        <v>221</v>
      </c>
      <c r="J1126" t="s">
        <v>222</v>
      </c>
      <c r="K1126" t="s">
        <v>36</v>
      </c>
      <c r="L1126" t="s">
        <v>33</v>
      </c>
      <c r="M1126">
        <v>10765028812</v>
      </c>
      <c r="N1126" t="s">
        <v>223</v>
      </c>
      <c r="P1126" t="s">
        <v>224</v>
      </c>
      <c r="Q1126">
        <v>3613121160523</v>
      </c>
      <c r="R1126" t="s">
        <v>225</v>
      </c>
      <c r="S1126">
        <v>2950</v>
      </c>
      <c r="T1126" t="s">
        <v>40</v>
      </c>
      <c r="U1126">
        <f>+IF(Tabla1[[#This Row],[MONEDA]]="PEN",Tabla1[[#This Row],[MONTO]],Tabla1[[#This Row],[MONTO]]*3.56)</f>
        <v>2950</v>
      </c>
      <c r="X1126" t="s">
        <v>41</v>
      </c>
      <c r="Y1126" t="s">
        <v>51</v>
      </c>
      <c r="Z1126" t="s">
        <v>43</v>
      </c>
      <c r="AB1126" t="s">
        <v>226</v>
      </c>
      <c r="AD1126" t="s">
        <v>227</v>
      </c>
    </row>
    <row r="1127" spans="1:33" hidden="1" x14ac:dyDescent="0.25">
      <c r="A1127">
        <v>44044</v>
      </c>
      <c r="B1127" t="s">
        <v>32</v>
      </c>
      <c r="C1127">
        <v>1</v>
      </c>
      <c r="D1127" t="s">
        <v>574</v>
      </c>
      <c r="E1127" t="s">
        <v>70</v>
      </c>
      <c r="F1127" t="s">
        <v>33</v>
      </c>
      <c r="G1127" t="s">
        <v>71</v>
      </c>
      <c r="H1127" t="s">
        <v>35</v>
      </c>
      <c r="I1127" t="s">
        <v>575</v>
      </c>
      <c r="J1127" t="s">
        <v>576</v>
      </c>
      <c r="K1127" t="s">
        <v>36</v>
      </c>
      <c r="L1127" t="s">
        <v>33</v>
      </c>
      <c r="M1127">
        <v>20448121691</v>
      </c>
      <c r="N1127" t="s">
        <v>577</v>
      </c>
      <c r="O1127" t="s">
        <v>76</v>
      </c>
      <c r="P1127" t="s">
        <v>38</v>
      </c>
      <c r="Q1127" t="s">
        <v>578</v>
      </c>
      <c r="R1127" t="s">
        <v>579</v>
      </c>
      <c r="S1127">
        <v>130</v>
      </c>
      <c r="T1127" t="s">
        <v>40</v>
      </c>
      <c r="U1127">
        <f>+IF(Tabla1[[#This Row],[MONEDA]]="PEN",Tabla1[[#This Row],[MONTO]],Tabla1[[#This Row],[MONTO]]*3.56)</f>
        <v>130</v>
      </c>
      <c r="X1127" t="s">
        <v>81</v>
      </c>
      <c r="Y1127" t="s">
        <v>51</v>
      </c>
      <c r="Z1127" t="s">
        <v>82</v>
      </c>
      <c r="AA1127" t="s">
        <v>580</v>
      </c>
      <c r="AB1127" t="s">
        <v>581</v>
      </c>
      <c r="AC1127" t="s">
        <v>582</v>
      </c>
      <c r="AD1127" t="s">
        <v>583</v>
      </c>
      <c r="AE1127">
        <v>130</v>
      </c>
      <c r="AF1127" t="s">
        <v>87</v>
      </c>
      <c r="AG1127" t="s">
        <v>169</v>
      </c>
    </row>
    <row r="1128" spans="1:33" hidden="1" x14ac:dyDescent="0.25">
      <c r="A1128">
        <v>43279</v>
      </c>
      <c r="B1128" t="s">
        <v>32</v>
      </c>
      <c r="C1128">
        <v>1</v>
      </c>
      <c r="D1128" t="s">
        <v>776</v>
      </c>
      <c r="E1128" t="s">
        <v>70</v>
      </c>
      <c r="F1128" t="s">
        <v>33</v>
      </c>
      <c r="G1128" t="s">
        <v>71</v>
      </c>
      <c r="H1128" t="s">
        <v>35</v>
      </c>
      <c r="I1128" t="s">
        <v>760</v>
      </c>
      <c r="J1128" t="s">
        <v>777</v>
      </c>
      <c r="K1128" t="s">
        <v>36</v>
      </c>
      <c r="L1128" t="s">
        <v>33</v>
      </c>
      <c r="M1128">
        <v>20448121691</v>
      </c>
      <c r="N1128" t="s">
        <v>577</v>
      </c>
      <c r="O1128" t="s">
        <v>76</v>
      </c>
      <c r="P1128" t="s">
        <v>38</v>
      </c>
      <c r="Q1128" t="s">
        <v>578</v>
      </c>
      <c r="R1128" t="s">
        <v>778</v>
      </c>
      <c r="S1128">
        <v>830</v>
      </c>
      <c r="T1128" t="s">
        <v>40</v>
      </c>
      <c r="U1128">
        <f>+IF(Tabla1[[#This Row],[MONEDA]]="PEN",Tabla1[[#This Row],[MONTO]],Tabla1[[#This Row],[MONTO]]*3.56)</f>
        <v>830</v>
      </c>
      <c r="X1128" t="s">
        <v>81</v>
      </c>
      <c r="Y1128" t="s">
        <v>51</v>
      </c>
      <c r="Z1128" t="s">
        <v>43</v>
      </c>
      <c r="AA1128" t="s">
        <v>779</v>
      </c>
      <c r="AB1128" t="s">
        <v>780</v>
      </c>
      <c r="AC1128" t="s">
        <v>781</v>
      </c>
      <c r="AD1128" t="s">
        <v>782</v>
      </c>
      <c r="AE1128">
        <v>805.1</v>
      </c>
      <c r="AF1128" t="s">
        <v>87</v>
      </c>
      <c r="AG1128" t="s">
        <v>169</v>
      </c>
    </row>
    <row r="1129" spans="1:33" hidden="1" x14ac:dyDescent="0.25">
      <c r="A1129">
        <v>34176</v>
      </c>
      <c r="B1129" t="s">
        <v>32</v>
      </c>
      <c r="C1129">
        <v>1</v>
      </c>
      <c r="D1129" t="s">
        <v>4726</v>
      </c>
      <c r="E1129" t="s">
        <v>70</v>
      </c>
      <c r="F1129" t="s">
        <v>33</v>
      </c>
      <c r="G1129" t="s">
        <v>71</v>
      </c>
      <c r="H1129" t="s">
        <v>35</v>
      </c>
      <c r="I1129" t="s">
        <v>4727</v>
      </c>
      <c r="J1129" t="s">
        <v>4728</v>
      </c>
      <c r="K1129" t="s">
        <v>36</v>
      </c>
      <c r="L1129" t="s">
        <v>33</v>
      </c>
      <c r="M1129">
        <v>20448121691</v>
      </c>
      <c r="N1129" t="s">
        <v>577</v>
      </c>
      <c r="O1129" t="s">
        <v>76</v>
      </c>
      <c r="P1129" t="s">
        <v>38</v>
      </c>
      <c r="Q1129" t="s">
        <v>578</v>
      </c>
      <c r="R1129" t="s">
        <v>4729</v>
      </c>
      <c r="S1129">
        <v>1620</v>
      </c>
      <c r="T1129" t="s">
        <v>40</v>
      </c>
      <c r="U1129">
        <f>+IF(Tabla1[[#This Row],[MONEDA]]="PEN",Tabla1[[#This Row],[MONTO]],Tabla1[[#This Row],[MONTO]]*3.56)</f>
        <v>1620</v>
      </c>
      <c r="X1129" t="s">
        <v>81</v>
      </c>
      <c r="Y1129" t="s">
        <v>42</v>
      </c>
      <c r="Z1129" t="s">
        <v>82</v>
      </c>
      <c r="AA1129" t="s">
        <v>4730</v>
      </c>
      <c r="AB1129" t="s">
        <v>4731</v>
      </c>
      <c r="AC1129" t="s">
        <v>4732</v>
      </c>
      <c r="AD1129" t="s">
        <v>4733</v>
      </c>
      <c r="AE1129">
        <v>1571.4</v>
      </c>
      <c r="AF1129" t="s">
        <v>87</v>
      </c>
      <c r="AG1129" t="s">
        <v>169</v>
      </c>
    </row>
    <row r="1130" spans="1:33" hidden="1" x14ac:dyDescent="0.25">
      <c r="A1130">
        <v>30035</v>
      </c>
      <c r="B1130" t="s">
        <v>32</v>
      </c>
      <c r="C1130">
        <v>1</v>
      </c>
      <c r="D1130" t="s">
        <v>6364</v>
      </c>
      <c r="E1130" t="s">
        <v>70</v>
      </c>
      <c r="F1130" t="s">
        <v>33</v>
      </c>
      <c r="G1130" t="s">
        <v>71</v>
      </c>
      <c r="H1130" t="s">
        <v>72</v>
      </c>
      <c r="I1130" t="s">
        <v>6344</v>
      </c>
      <c r="J1130" t="s">
        <v>6365</v>
      </c>
      <c r="K1130" t="s">
        <v>36</v>
      </c>
      <c r="L1130" t="s">
        <v>33</v>
      </c>
      <c r="M1130">
        <v>20448121691</v>
      </c>
      <c r="N1130" t="s">
        <v>577</v>
      </c>
      <c r="O1130" t="s">
        <v>76</v>
      </c>
      <c r="P1130" t="s">
        <v>38</v>
      </c>
      <c r="Q1130" t="s">
        <v>578</v>
      </c>
      <c r="R1130" t="s">
        <v>6366</v>
      </c>
      <c r="S1130">
        <v>1180</v>
      </c>
      <c r="T1130" t="s">
        <v>40</v>
      </c>
      <c r="U1130">
        <f>+IF(Tabla1[[#This Row],[MONEDA]]="PEN",Tabla1[[#This Row],[MONTO]],Tabla1[[#This Row],[MONTO]]*3.56)</f>
        <v>1180</v>
      </c>
      <c r="X1130" t="s">
        <v>81</v>
      </c>
      <c r="Y1130" t="s">
        <v>42</v>
      </c>
      <c r="Z1130" t="s">
        <v>43</v>
      </c>
      <c r="AA1130" t="s">
        <v>6367</v>
      </c>
      <c r="AB1130" t="s">
        <v>6368</v>
      </c>
      <c r="AC1130" t="s">
        <v>6369</v>
      </c>
      <c r="AD1130" t="s">
        <v>6370</v>
      </c>
      <c r="AE1130">
        <v>1144.5999999999999</v>
      </c>
      <c r="AF1130" t="s">
        <v>87</v>
      </c>
      <c r="AG1130" t="s">
        <v>169</v>
      </c>
    </row>
    <row r="1131" spans="1:33" hidden="1" x14ac:dyDescent="0.25">
      <c r="A1131">
        <v>29732</v>
      </c>
      <c r="B1131" t="s">
        <v>32</v>
      </c>
      <c r="C1131">
        <v>1</v>
      </c>
      <c r="D1131" t="s">
        <v>6847</v>
      </c>
      <c r="E1131" t="s">
        <v>70</v>
      </c>
      <c r="F1131" t="s">
        <v>33</v>
      </c>
      <c r="G1131" t="s">
        <v>71</v>
      </c>
      <c r="H1131" t="s">
        <v>35</v>
      </c>
      <c r="I1131" t="s">
        <v>6848</v>
      </c>
      <c r="J1131" t="s">
        <v>6849</v>
      </c>
      <c r="K1131" t="s">
        <v>36</v>
      </c>
      <c r="L1131" t="s">
        <v>33</v>
      </c>
      <c r="M1131">
        <v>20448121691</v>
      </c>
      <c r="N1131" t="s">
        <v>577</v>
      </c>
      <c r="O1131" t="s">
        <v>76</v>
      </c>
      <c r="P1131" t="s">
        <v>38</v>
      </c>
      <c r="Q1131" t="s">
        <v>578</v>
      </c>
      <c r="R1131" t="s">
        <v>6850</v>
      </c>
      <c r="S1131">
        <v>700</v>
      </c>
      <c r="T1131" t="s">
        <v>40</v>
      </c>
      <c r="U1131">
        <f>+IF(Tabla1[[#This Row],[MONEDA]]="PEN",Tabla1[[#This Row],[MONTO]],Tabla1[[#This Row],[MONTO]]*3.56)</f>
        <v>700</v>
      </c>
      <c r="X1131" t="s">
        <v>81</v>
      </c>
      <c r="Y1131" t="s">
        <v>42</v>
      </c>
      <c r="Z1131" t="s">
        <v>43</v>
      </c>
      <c r="AA1131" t="s">
        <v>6851</v>
      </c>
      <c r="AB1131" t="s">
        <v>6852</v>
      </c>
      <c r="AC1131" t="s">
        <v>6853</v>
      </c>
      <c r="AD1131" t="s">
        <v>6854</v>
      </c>
      <c r="AE1131">
        <v>700</v>
      </c>
      <c r="AF1131" t="s">
        <v>87</v>
      </c>
      <c r="AG1131" t="s">
        <v>169</v>
      </c>
    </row>
    <row r="1132" spans="1:33" x14ac:dyDescent="0.25">
      <c r="A1132">
        <v>28601</v>
      </c>
      <c r="B1132" t="s">
        <v>32</v>
      </c>
      <c r="C1132">
        <v>2</v>
      </c>
      <c r="D1132" t="s">
        <v>7459</v>
      </c>
      <c r="E1132" t="s">
        <v>70</v>
      </c>
      <c r="F1132" t="s">
        <v>5328</v>
      </c>
      <c r="G1132" t="s">
        <v>5329</v>
      </c>
      <c r="H1132" t="s">
        <v>72</v>
      </c>
      <c r="I1132" t="s">
        <v>7460</v>
      </c>
      <c r="J1132" t="s">
        <v>7461</v>
      </c>
      <c r="K1132" t="s">
        <v>36</v>
      </c>
      <c r="L1132" t="s">
        <v>33</v>
      </c>
      <c r="M1132">
        <v>20448121691</v>
      </c>
      <c r="N1132" t="s">
        <v>577</v>
      </c>
      <c r="O1132" t="s">
        <v>6159</v>
      </c>
      <c r="P1132" t="s">
        <v>38</v>
      </c>
      <c r="Q1132" t="s">
        <v>578</v>
      </c>
      <c r="R1132" t="s">
        <v>7462</v>
      </c>
      <c r="S1132">
        <v>380</v>
      </c>
      <c r="T1132" t="s">
        <v>40</v>
      </c>
      <c r="U1132">
        <f>+IF(Tabla1[[#This Row],[MONEDA]]="PEN",Tabla1[[#This Row],[MONTO]],Tabla1[[#This Row],[MONTO]]*3.56)</f>
        <v>380</v>
      </c>
      <c r="X1132" t="s">
        <v>81</v>
      </c>
      <c r="Y1132" t="s">
        <v>42</v>
      </c>
      <c r="Z1132" t="s">
        <v>43</v>
      </c>
      <c r="AA1132" t="s">
        <v>7463</v>
      </c>
      <c r="AB1132" t="s">
        <v>7464</v>
      </c>
      <c r="AC1132" t="s">
        <v>7465</v>
      </c>
      <c r="AD1132" t="s">
        <v>7466</v>
      </c>
      <c r="AE1132">
        <v>380</v>
      </c>
      <c r="AF1132" t="s">
        <v>87</v>
      </c>
      <c r="AG1132" t="s">
        <v>169</v>
      </c>
    </row>
    <row r="1133" spans="1:33" hidden="1" x14ac:dyDescent="0.25">
      <c r="A1133">
        <v>27186</v>
      </c>
      <c r="B1133" t="s">
        <v>32</v>
      </c>
      <c r="C1133">
        <v>1</v>
      </c>
      <c r="D1133" t="s">
        <v>8676</v>
      </c>
      <c r="E1133" t="s">
        <v>70</v>
      </c>
      <c r="F1133" t="s">
        <v>33</v>
      </c>
      <c r="G1133" t="s">
        <v>71</v>
      </c>
      <c r="H1133" t="s">
        <v>72</v>
      </c>
      <c r="I1133" t="s">
        <v>8664</v>
      </c>
      <c r="J1133" t="s">
        <v>8677</v>
      </c>
      <c r="K1133" t="s">
        <v>36</v>
      </c>
      <c r="L1133" t="s">
        <v>33</v>
      </c>
      <c r="M1133">
        <v>20448121691</v>
      </c>
      <c r="N1133" t="s">
        <v>577</v>
      </c>
      <c r="O1133" t="s">
        <v>76</v>
      </c>
      <c r="P1133" t="s">
        <v>38</v>
      </c>
      <c r="Q1133" t="s">
        <v>578</v>
      </c>
      <c r="R1133" t="s">
        <v>8678</v>
      </c>
      <c r="S1133">
        <v>1380</v>
      </c>
      <c r="T1133" t="s">
        <v>40</v>
      </c>
      <c r="U1133">
        <f>+IF(Tabla1[[#This Row],[MONEDA]]="PEN",Tabla1[[#This Row],[MONTO]],Tabla1[[#This Row],[MONTO]]*3.56)</f>
        <v>1380</v>
      </c>
      <c r="X1133" t="s">
        <v>81</v>
      </c>
      <c r="Y1133" t="s">
        <v>42</v>
      </c>
      <c r="Z1133" t="s">
        <v>43</v>
      </c>
      <c r="AA1133" t="s">
        <v>8679</v>
      </c>
      <c r="AB1133" t="s">
        <v>8680</v>
      </c>
      <c r="AC1133" t="s">
        <v>8681</v>
      </c>
      <c r="AD1133" t="s">
        <v>8682</v>
      </c>
      <c r="AE1133">
        <v>1338.6</v>
      </c>
      <c r="AF1133" t="s">
        <v>87</v>
      </c>
      <c r="AG1133" t="s">
        <v>169</v>
      </c>
    </row>
    <row r="1134" spans="1:33" hidden="1" x14ac:dyDescent="0.25">
      <c r="A1134">
        <v>26791</v>
      </c>
      <c r="B1134" t="s">
        <v>32</v>
      </c>
      <c r="C1134">
        <v>1</v>
      </c>
      <c r="D1134" t="s">
        <v>8973</v>
      </c>
      <c r="E1134" t="s">
        <v>70</v>
      </c>
      <c r="F1134" t="s">
        <v>33</v>
      </c>
      <c r="G1134" t="s">
        <v>71</v>
      </c>
      <c r="H1134" t="s">
        <v>72</v>
      </c>
      <c r="I1134" t="s">
        <v>8972</v>
      </c>
      <c r="J1134" t="s">
        <v>8974</v>
      </c>
      <c r="K1134" t="s">
        <v>36</v>
      </c>
      <c r="L1134" t="s">
        <v>33</v>
      </c>
      <c r="M1134">
        <v>20448121691</v>
      </c>
      <c r="N1134" t="s">
        <v>577</v>
      </c>
      <c r="O1134" t="s">
        <v>76</v>
      </c>
      <c r="P1134" t="s">
        <v>38</v>
      </c>
      <c r="Q1134" t="s">
        <v>578</v>
      </c>
      <c r="R1134" t="s">
        <v>8975</v>
      </c>
      <c r="S1134">
        <v>6400</v>
      </c>
      <c r="T1134" t="s">
        <v>40</v>
      </c>
      <c r="U1134">
        <f>+IF(Tabla1[[#This Row],[MONEDA]]="PEN",Tabla1[[#This Row],[MONTO]],Tabla1[[#This Row],[MONTO]]*3.56)</f>
        <v>6400</v>
      </c>
      <c r="X1134" t="s">
        <v>81</v>
      </c>
      <c r="Y1134" t="s">
        <v>42</v>
      </c>
      <c r="Z1134" t="s">
        <v>43</v>
      </c>
      <c r="AA1134" t="s">
        <v>8976</v>
      </c>
      <c r="AB1134" t="s">
        <v>8977</v>
      </c>
      <c r="AC1134" t="s">
        <v>8978</v>
      </c>
      <c r="AD1134" t="s">
        <v>8979</v>
      </c>
      <c r="AE1134">
        <v>6208</v>
      </c>
      <c r="AF1134" t="s">
        <v>87</v>
      </c>
      <c r="AG1134" t="s">
        <v>169</v>
      </c>
    </row>
    <row r="1135" spans="1:33" hidden="1" x14ac:dyDescent="0.25">
      <c r="A1135">
        <v>25906</v>
      </c>
      <c r="B1135" t="s">
        <v>32</v>
      </c>
      <c r="C1135">
        <v>1</v>
      </c>
      <c r="D1135" t="s">
        <v>9546</v>
      </c>
      <c r="E1135" t="s">
        <v>70</v>
      </c>
      <c r="F1135" t="s">
        <v>33</v>
      </c>
      <c r="G1135" t="s">
        <v>71</v>
      </c>
      <c r="H1135" t="s">
        <v>72</v>
      </c>
      <c r="I1135" t="s">
        <v>9519</v>
      </c>
      <c r="J1135" t="s">
        <v>9547</v>
      </c>
      <c r="K1135" t="s">
        <v>36</v>
      </c>
      <c r="L1135" t="s">
        <v>33</v>
      </c>
      <c r="M1135">
        <v>20448121691</v>
      </c>
      <c r="N1135" t="s">
        <v>577</v>
      </c>
      <c r="O1135" t="s">
        <v>76</v>
      </c>
      <c r="P1135" t="s">
        <v>38</v>
      </c>
      <c r="Q1135" t="s">
        <v>578</v>
      </c>
      <c r="R1135" t="s">
        <v>9548</v>
      </c>
      <c r="S1135">
        <v>3240</v>
      </c>
      <c r="T1135" t="s">
        <v>40</v>
      </c>
      <c r="U1135">
        <f>+IF(Tabla1[[#This Row],[MONEDA]]="PEN",Tabla1[[#This Row],[MONTO]],Tabla1[[#This Row],[MONTO]]*3.56)</f>
        <v>3240</v>
      </c>
      <c r="X1135" t="s">
        <v>81</v>
      </c>
      <c r="Y1135" t="s">
        <v>42</v>
      </c>
      <c r="Z1135" t="s">
        <v>82</v>
      </c>
      <c r="AA1135" t="s">
        <v>9549</v>
      </c>
      <c r="AB1135" t="s">
        <v>9550</v>
      </c>
      <c r="AC1135" t="s">
        <v>9551</v>
      </c>
      <c r="AD1135" t="s">
        <v>9552</v>
      </c>
      <c r="AE1135">
        <v>3142.8</v>
      </c>
      <c r="AF1135" t="s">
        <v>87</v>
      </c>
      <c r="AG1135" t="s">
        <v>169</v>
      </c>
    </row>
    <row r="1136" spans="1:33" hidden="1" x14ac:dyDescent="0.25">
      <c r="A1136">
        <v>25377</v>
      </c>
      <c r="B1136" t="s">
        <v>32</v>
      </c>
      <c r="C1136">
        <v>1</v>
      </c>
      <c r="D1136" t="s">
        <v>9873</v>
      </c>
      <c r="E1136" t="s">
        <v>70</v>
      </c>
      <c r="F1136" t="s">
        <v>33</v>
      </c>
      <c r="G1136" t="s">
        <v>71</v>
      </c>
      <c r="H1136" t="s">
        <v>72</v>
      </c>
      <c r="I1136" t="s">
        <v>9874</v>
      </c>
      <c r="J1136" t="s">
        <v>9875</v>
      </c>
      <c r="K1136" t="s">
        <v>36</v>
      </c>
      <c r="L1136" t="s">
        <v>33</v>
      </c>
      <c r="M1136">
        <v>20448121691</v>
      </c>
      <c r="N1136" t="s">
        <v>577</v>
      </c>
      <c r="O1136" t="s">
        <v>76</v>
      </c>
      <c r="R1136" t="s">
        <v>9876</v>
      </c>
      <c r="S1136">
        <v>170</v>
      </c>
      <c r="T1136" t="s">
        <v>40</v>
      </c>
      <c r="U1136">
        <f>+IF(Tabla1[[#This Row],[MONEDA]]="PEN",Tabla1[[#This Row],[MONTO]],Tabla1[[#This Row],[MONTO]]*3.56)</f>
        <v>170</v>
      </c>
      <c r="V1136" t="s">
        <v>190</v>
      </c>
      <c r="W1136">
        <v>25256</v>
      </c>
      <c r="X1136" t="s">
        <v>81</v>
      </c>
      <c r="Y1136" t="s">
        <v>42</v>
      </c>
      <c r="Z1136" t="s">
        <v>82</v>
      </c>
      <c r="AA1136" t="s">
        <v>9877</v>
      </c>
      <c r="AC1136" t="s">
        <v>9878</v>
      </c>
      <c r="AD1136" t="s">
        <v>9879</v>
      </c>
    </row>
    <row r="1137" spans="1:33" hidden="1" x14ac:dyDescent="0.25">
      <c r="A1137">
        <v>23941</v>
      </c>
      <c r="B1137" t="s">
        <v>32</v>
      </c>
      <c r="C1137">
        <v>2</v>
      </c>
      <c r="D1137" t="s">
        <v>10902</v>
      </c>
      <c r="E1137" t="s">
        <v>70</v>
      </c>
      <c r="F1137" t="s">
        <v>33</v>
      </c>
      <c r="G1137" t="s">
        <v>71</v>
      </c>
      <c r="H1137" t="s">
        <v>72</v>
      </c>
      <c r="I1137" t="s">
        <v>10888</v>
      </c>
      <c r="J1137" t="s">
        <v>10903</v>
      </c>
      <c r="K1137" t="s">
        <v>36</v>
      </c>
      <c r="L1137" t="s">
        <v>33</v>
      </c>
      <c r="M1137">
        <v>20448121691</v>
      </c>
      <c r="N1137" t="s">
        <v>577</v>
      </c>
      <c r="O1137" t="s">
        <v>76</v>
      </c>
      <c r="P1137" t="s">
        <v>38</v>
      </c>
      <c r="Q1137" t="s">
        <v>578</v>
      </c>
      <c r="R1137" t="s">
        <v>10904</v>
      </c>
      <c r="S1137">
        <v>3164</v>
      </c>
      <c r="T1137" t="s">
        <v>40</v>
      </c>
      <c r="U1137">
        <f>+IF(Tabla1[[#This Row],[MONEDA]]="PEN",Tabla1[[#This Row],[MONTO]],Tabla1[[#This Row],[MONTO]]*3.56)</f>
        <v>3164</v>
      </c>
      <c r="X1137" t="s">
        <v>81</v>
      </c>
      <c r="Y1137" t="s">
        <v>42</v>
      </c>
      <c r="Z1137" t="s">
        <v>43</v>
      </c>
      <c r="AA1137" t="s">
        <v>10905</v>
      </c>
      <c r="AB1137" t="s">
        <v>10906</v>
      </c>
      <c r="AC1137" t="s">
        <v>10907</v>
      </c>
      <c r="AD1137" t="s">
        <v>10908</v>
      </c>
      <c r="AE1137">
        <v>3069.08</v>
      </c>
      <c r="AF1137" t="s">
        <v>87</v>
      </c>
      <c r="AG1137" t="s">
        <v>169</v>
      </c>
    </row>
    <row r="1138" spans="1:33" hidden="1" x14ac:dyDescent="0.25">
      <c r="A1138">
        <v>23738</v>
      </c>
      <c r="B1138" t="s">
        <v>32</v>
      </c>
      <c r="C1138">
        <v>1</v>
      </c>
      <c r="D1138" t="s">
        <v>10949</v>
      </c>
      <c r="E1138" t="s">
        <v>70</v>
      </c>
      <c r="F1138" t="s">
        <v>33</v>
      </c>
      <c r="G1138" t="s">
        <v>9422</v>
      </c>
      <c r="H1138" t="s">
        <v>72</v>
      </c>
      <c r="I1138" t="s">
        <v>10950</v>
      </c>
      <c r="J1138" t="s">
        <v>10951</v>
      </c>
      <c r="K1138" t="s">
        <v>36</v>
      </c>
      <c r="L1138" t="s">
        <v>33</v>
      </c>
      <c r="M1138">
        <v>20448121691</v>
      </c>
      <c r="N1138" t="s">
        <v>577</v>
      </c>
      <c r="O1138" t="s">
        <v>9423</v>
      </c>
      <c r="P1138" t="s">
        <v>38</v>
      </c>
      <c r="Q1138" t="s">
        <v>578</v>
      </c>
      <c r="R1138" t="s">
        <v>10952</v>
      </c>
      <c r="S1138">
        <v>2172</v>
      </c>
      <c r="T1138" t="s">
        <v>40</v>
      </c>
      <c r="U1138">
        <f>+IF(Tabla1[[#This Row],[MONEDA]]="PEN",Tabla1[[#This Row],[MONTO]],Tabla1[[#This Row],[MONTO]]*3.56)</f>
        <v>2172</v>
      </c>
      <c r="X1138" t="s">
        <v>41</v>
      </c>
      <c r="Y1138" t="s">
        <v>42</v>
      </c>
      <c r="Z1138" t="s">
        <v>43</v>
      </c>
      <c r="AA1138" t="s">
        <v>10953</v>
      </c>
      <c r="AB1138" t="s">
        <v>10954</v>
      </c>
      <c r="AC1138" t="s">
        <v>10955</v>
      </c>
      <c r="AD1138" t="s">
        <v>10956</v>
      </c>
      <c r="AE1138">
        <v>2106.84</v>
      </c>
      <c r="AF1138" t="s">
        <v>87</v>
      </c>
      <c r="AG1138" t="s">
        <v>169</v>
      </c>
    </row>
    <row r="1139" spans="1:33" hidden="1" x14ac:dyDescent="0.25">
      <c r="A1139">
        <v>22348</v>
      </c>
      <c r="B1139" t="s">
        <v>32</v>
      </c>
      <c r="C1139">
        <v>1</v>
      </c>
      <c r="D1139" t="s">
        <v>11921</v>
      </c>
      <c r="E1139" t="s">
        <v>70</v>
      </c>
      <c r="F1139" t="s">
        <v>33</v>
      </c>
      <c r="G1139" t="s">
        <v>71</v>
      </c>
      <c r="H1139" t="s">
        <v>72</v>
      </c>
      <c r="I1139" t="s">
        <v>11914</v>
      </c>
      <c r="J1139" t="s">
        <v>11922</v>
      </c>
      <c r="K1139" t="s">
        <v>36</v>
      </c>
      <c r="L1139" t="s">
        <v>33</v>
      </c>
      <c r="M1139">
        <v>20448121691</v>
      </c>
      <c r="N1139" t="s">
        <v>577</v>
      </c>
      <c r="O1139" t="s">
        <v>76</v>
      </c>
      <c r="P1139" t="s">
        <v>38</v>
      </c>
      <c r="Q1139" t="s">
        <v>578</v>
      </c>
      <c r="R1139" t="s">
        <v>11923</v>
      </c>
      <c r="S1139">
        <v>3330</v>
      </c>
      <c r="T1139" t="s">
        <v>40</v>
      </c>
      <c r="U1139">
        <f>+IF(Tabla1[[#This Row],[MONEDA]]="PEN",Tabla1[[#This Row],[MONTO]],Tabla1[[#This Row],[MONTO]]*3.56)</f>
        <v>3330</v>
      </c>
      <c r="X1139" t="s">
        <v>81</v>
      </c>
      <c r="Y1139" t="s">
        <v>42</v>
      </c>
      <c r="Z1139" t="s">
        <v>43</v>
      </c>
      <c r="AA1139" t="s">
        <v>11924</v>
      </c>
      <c r="AB1139" t="s">
        <v>11925</v>
      </c>
      <c r="AC1139" t="s">
        <v>11926</v>
      </c>
      <c r="AD1139" t="s">
        <v>11927</v>
      </c>
      <c r="AE1139">
        <v>3230.1</v>
      </c>
      <c r="AF1139" t="s">
        <v>87</v>
      </c>
      <c r="AG1139" t="s">
        <v>169</v>
      </c>
    </row>
    <row r="1140" spans="1:33" hidden="1" x14ac:dyDescent="0.25">
      <c r="A1140">
        <v>36087</v>
      </c>
      <c r="B1140" t="s">
        <v>32</v>
      </c>
      <c r="C1140">
        <v>1</v>
      </c>
      <c r="D1140" t="s">
        <v>4002</v>
      </c>
      <c r="E1140" t="s">
        <v>70</v>
      </c>
      <c r="F1140" t="s">
        <v>33</v>
      </c>
      <c r="G1140" t="s">
        <v>71</v>
      </c>
      <c r="H1140" t="s">
        <v>35</v>
      </c>
      <c r="I1140" t="s">
        <v>4003</v>
      </c>
      <c r="J1140" t="s">
        <v>4004</v>
      </c>
      <c r="K1140" t="s">
        <v>36</v>
      </c>
      <c r="L1140" t="s">
        <v>33</v>
      </c>
      <c r="M1140">
        <v>10424579161</v>
      </c>
      <c r="N1140" t="s">
        <v>4005</v>
      </c>
      <c r="O1140" t="s">
        <v>76</v>
      </c>
      <c r="P1140" t="s">
        <v>224</v>
      </c>
      <c r="Q1140" t="s">
        <v>4006</v>
      </c>
      <c r="R1140" t="s">
        <v>4007</v>
      </c>
      <c r="S1140">
        <v>665</v>
      </c>
      <c r="T1140" t="s">
        <v>40</v>
      </c>
      <c r="U1140">
        <f>+IF(Tabla1[[#This Row],[MONEDA]]="PEN",Tabla1[[#This Row],[MONTO]],Tabla1[[#This Row],[MONTO]]*3.56)</f>
        <v>665</v>
      </c>
      <c r="X1140" t="s">
        <v>81</v>
      </c>
      <c r="Y1140" t="s">
        <v>42</v>
      </c>
      <c r="Z1140" t="s">
        <v>82</v>
      </c>
      <c r="AA1140" t="s">
        <v>4008</v>
      </c>
      <c r="AB1140" t="s">
        <v>4009</v>
      </c>
      <c r="AC1140" t="s">
        <v>4010</v>
      </c>
      <c r="AD1140" t="s">
        <v>4011</v>
      </c>
      <c r="AE1140">
        <v>665</v>
      </c>
      <c r="AG1140" t="s">
        <v>1798</v>
      </c>
    </row>
    <row r="1141" spans="1:33" hidden="1" x14ac:dyDescent="0.25">
      <c r="A1141">
        <v>36645</v>
      </c>
      <c r="B1141" t="s">
        <v>32</v>
      </c>
      <c r="C1141">
        <v>1</v>
      </c>
      <c r="D1141" t="s">
        <v>3877</v>
      </c>
      <c r="E1141" t="s">
        <v>70</v>
      </c>
      <c r="F1141" t="s">
        <v>33</v>
      </c>
      <c r="G1141" t="s">
        <v>71</v>
      </c>
      <c r="H1141" t="s">
        <v>35</v>
      </c>
      <c r="I1141" t="s">
        <v>3877</v>
      </c>
      <c r="J1141" t="s">
        <v>3878</v>
      </c>
      <c r="K1141" t="s">
        <v>36</v>
      </c>
      <c r="L1141" t="s">
        <v>33</v>
      </c>
      <c r="M1141">
        <v>10464884381</v>
      </c>
      <c r="N1141" t="s">
        <v>3879</v>
      </c>
      <c r="O1141" t="s">
        <v>76</v>
      </c>
      <c r="R1141" t="s">
        <v>3880</v>
      </c>
      <c r="S1141">
        <v>42</v>
      </c>
      <c r="T1141" t="s">
        <v>40</v>
      </c>
      <c r="U1141">
        <f>+IF(Tabla1[[#This Row],[MONEDA]]="PEN",Tabla1[[#This Row],[MONTO]],Tabla1[[#This Row],[MONTO]]*3.56)</f>
        <v>42</v>
      </c>
      <c r="V1141" t="s">
        <v>190</v>
      </c>
      <c r="W1141">
        <v>33331</v>
      </c>
      <c r="X1141" t="s">
        <v>81</v>
      </c>
      <c r="Y1141" t="s">
        <v>42</v>
      </c>
      <c r="Z1141" t="s">
        <v>43</v>
      </c>
      <c r="AA1141" t="s">
        <v>3881</v>
      </c>
      <c r="AC1141" t="s">
        <v>3882</v>
      </c>
      <c r="AD1141" t="s">
        <v>3883</v>
      </c>
    </row>
    <row r="1142" spans="1:33" hidden="1" x14ac:dyDescent="0.25">
      <c r="A1142">
        <v>25417</v>
      </c>
      <c r="B1142" t="s">
        <v>32</v>
      </c>
      <c r="C1142">
        <v>1</v>
      </c>
      <c r="D1142" t="s">
        <v>9773</v>
      </c>
      <c r="E1142" t="s">
        <v>70</v>
      </c>
      <c r="F1142" t="s">
        <v>33</v>
      </c>
      <c r="G1142" t="s">
        <v>71</v>
      </c>
      <c r="H1142" t="s">
        <v>72</v>
      </c>
      <c r="I1142" t="s">
        <v>9774</v>
      </c>
      <c r="J1142" t="s">
        <v>9775</v>
      </c>
      <c r="K1142" t="s">
        <v>36</v>
      </c>
      <c r="L1142" t="s">
        <v>33</v>
      </c>
      <c r="M1142">
        <v>10005110641</v>
      </c>
      <c r="N1142" t="s">
        <v>9776</v>
      </c>
      <c r="O1142" t="s">
        <v>76</v>
      </c>
      <c r="R1142" t="s">
        <v>9777</v>
      </c>
      <c r="S1142">
        <v>10</v>
      </c>
      <c r="T1142" t="s">
        <v>40</v>
      </c>
      <c r="U1142">
        <f>+IF(Tabla1[[#This Row],[MONEDA]]="PEN",Tabla1[[#This Row],[MONTO]],Tabla1[[#This Row],[MONTO]]*3.56)</f>
        <v>10</v>
      </c>
      <c r="V1142" t="s">
        <v>190</v>
      </c>
      <c r="W1142">
        <v>25256</v>
      </c>
      <c r="X1142" t="s">
        <v>81</v>
      </c>
      <c r="Y1142" t="s">
        <v>42</v>
      </c>
      <c r="Z1142" t="s">
        <v>82</v>
      </c>
      <c r="AA1142" t="s">
        <v>9241</v>
      </c>
      <c r="AD1142" t="s">
        <v>9778</v>
      </c>
    </row>
    <row r="1143" spans="1:33" x14ac:dyDescent="0.25">
      <c r="A1143">
        <v>29464</v>
      </c>
      <c r="B1143" t="s">
        <v>32</v>
      </c>
      <c r="C1143">
        <v>1</v>
      </c>
      <c r="D1143" t="s">
        <v>6901</v>
      </c>
      <c r="E1143" t="s">
        <v>70</v>
      </c>
      <c r="F1143" t="s">
        <v>1275</v>
      </c>
      <c r="G1143" t="s">
        <v>4889</v>
      </c>
      <c r="H1143" t="s">
        <v>72</v>
      </c>
      <c r="I1143" t="s">
        <v>6902</v>
      </c>
      <c r="J1143" t="s">
        <v>6903</v>
      </c>
      <c r="K1143" t="s">
        <v>36</v>
      </c>
      <c r="L1143" t="s">
        <v>33</v>
      </c>
      <c r="M1143">
        <v>10444589090</v>
      </c>
      <c r="N1143" t="s">
        <v>6904</v>
      </c>
      <c r="P1143" t="s">
        <v>38</v>
      </c>
      <c r="Q1143" t="s">
        <v>6905</v>
      </c>
      <c r="R1143" t="s">
        <v>6906</v>
      </c>
      <c r="S1143">
        <v>1660</v>
      </c>
      <c r="T1143" t="s">
        <v>40</v>
      </c>
      <c r="U1143">
        <f>+IF(Tabla1[[#This Row],[MONEDA]]="PEN",Tabla1[[#This Row],[MONTO]],Tabla1[[#This Row],[MONTO]]*3.56)</f>
        <v>1660</v>
      </c>
      <c r="X1143" t="s">
        <v>81</v>
      </c>
      <c r="Y1143" t="s">
        <v>42</v>
      </c>
      <c r="Z1143" t="s">
        <v>82</v>
      </c>
      <c r="AA1143" t="s">
        <v>6907</v>
      </c>
      <c r="AB1143" t="s">
        <v>6908</v>
      </c>
      <c r="AC1143" t="s">
        <v>6909</v>
      </c>
      <c r="AE1143">
        <v>1610.2</v>
      </c>
      <c r="AF1143" t="s">
        <v>87</v>
      </c>
      <c r="AG1143" t="s">
        <v>169</v>
      </c>
    </row>
    <row r="1144" spans="1:33" hidden="1" x14ac:dyDescent="0.25">
      <c r="A1144">
        <v>39784</v>
      </c>
      <c r="B1144" t="s">
        <v>32</v>
      </c>
      <c r="C1144">
        <v>1</v>
      </c>
      <c r="D1144" t="s">
        <v>2212</v>
      </c>
      <c r="E1144" t="s">
        <v>70</v>
      </c>
      <c r="F1144" t="s">
        <v>33</v>
      </c>
      <c r="G1144" t="s">
        <v>71</v>
      </c>
      <c r="H1144" t="s">
        <v>35</v>
      </c>
      <c r="I1144" t="s">
        <v>2211</v>
      </c>
      <c r="J1144" t="s">
        <v>2213</v>
      </c>
      <c r="K1144" t="s">
        <v>36</v>
      </c>
      <c r="L1144" t="s">
        <v>33</v>
      </c>
      <c r="M1144">
        <v>10759586269</v>
      </c>
      <c r="N1144" t="s">
        <v>2214</v>
      </c>
      <c r="O1144" t="s">
        <v>76</v>
      </c>
      <c r="P1144" t="s">
        <v>38</v>
      </c>
      <c r="Q1144" t="s">
        <v>2215</v>
      </c>
      <c r="R1144" t="s">
        <v>2216</v>
      </c>
      <c r="S1144">
        <v>2633</v>
      </c>
      <c r="T1144" t="s">
        <v>40</v>
      </c>
      <c r="U1144">
        <f>+IF(Tabla1[[#This Row],[MONEDA]]="PEN",Tabla1[[#This Row],[MONTO]],Tabla1[[#This Row],[MONTO]]*3.56)</f>
        <v>2633</v>
      </c>
      <c r="X1144" t="s">
        <v>81</v>
      </c>
      <c r="Y1144" t="s">
        <v>42</v>
      </c>
      <c r="Z1144" t="s">
        <v>82</v>
      </c>
      <c r="AA1144" t="s">
        <v>2217</v>
      </c>
      <c r="AB1144" t="s">
        <v>2218</v>
      </c>
      <c r="AC1144" t="s">
        <v>2219</v>
      </c>
      <c r="AD1144" t="s">
        <v>2220</v>
      </c>
      <c r="AE1144">
        <v>2527.6799999999998</v>
      </c>
      <c r="AF1144" t="s">
        <v>87</v>
      </c>
      <c r="AG1144" t="s">
        <v>169</v>
      </c>
    </row>
    <row r="1145" spans="1:33" hidden="1" x14ac:dyDescent="0.25">
      <c r="A1145">
        <v>37803</v>
      </c>
      <c r="B1145" t="s">
        <v>32</v>
      </c>
      <c r="C1145">
        <v>2</v>
      </c>
      <c r="D1145" t="s">
        <v>3126</v>
      </c>
      <c r="E1145" t="s">
        <v>70</v>
      </c>
      <c r="F1145" t="s">
        <v>33</v>
      </c>
      <c r="G1145" t="s">
        <v>71</v>
      </c>
      <c r="H1145" t="s">
        <v>35</v>
      </c>
      <c r="I1145" t="s">
        <v>3117</v>
      </c>
      <c r="J1145" t="s">
        <v>3127</v>
      </c>
      <c r="K1145" t="s">
        <v>36</v>
      </c>
      <c r="L1145" t="s">
        <v>33</v>
      </c>
      <c r="M1145">
        <v>10759586269</v>
      </c>
      <c r="N1145" t="s">
        <v>2214</v>
      </c>
      <c r="O1145" t="s">
        <v>76</v>
      </c>
      <c r="P1145" t="s">
        <v>38</v>
      </c>
      <c r="Q1145" t="s">
        <v>2215</v>
      </c>
      <c r="R1145" t="s">
        <v>3128</v>
      </c>
      <c r="S1145">
        <v>6500</v>
      </c>
      <c r="T1145" t="s">
        <v>40</v>
      </c>
      <c r="U1145">
        <f>+IF(Tabla1[[#This Row],[MONEDA]]="PEN",Tabla1[[#This Row],[MONTO]],Tabla1[[#This Row],[MONTO]]*3.56)</f>
        <v>6500</v>
      </c>
      <c r="X1145" t="s">
        <v>81</v>
      </c>
      <c r="Y1145" t="s">
        <v>42</v>
      </c>
      <c r="Z1145" t="s">
        <v>82</v>
      </c>
      <c r="AA1145" t="s">
        <v>3129</v>
      </c>
      <c r="AB1145" t="s">
        <v>3130</v>
      </c>
      <c r="AC1145" t="s">
        <v>3131</v>
      </c>
      <c r="AD1145" t="s">
        <v>3132</v>
      </c>
      <c r="AE1145">
        <v>6240</v>
      </c>
      <c r="AF1145" t="s">
        <v>87</v>
      </c>
      <c r="AG1145" t="s">
        <v>169</v>
      </c>
    </row>
    <row r="1146" spans="1:33" hidden="1" x14ac:dyDescent="0.25">
      <c r="A1146">
        <v>31438</v>
      </c>
      <c r="B1146" t="s">
        <v>32</v>
      </c>
      <c r="C1146">
        <v>1</v>
      </c>
      <c r="D1146" t="s">
        <v>5801</v>
      </c>
      <c r="E1146" t="s">
        <v>70</v>
      </c>
      <c r="F1146" t="s">
        <v>33</v>
      </c>
      <c r="G1146" t="s">
        <v>71</v>
      </c>
      <c r="H1146" t="s">
        <v>35</v>
      </c>
      <c r="I1146" t="s">
        <v>5794</v>
      </c>
      <c r="J1146" t="s">
        <v>5802</v>
      </c>
      <c r="K1146" t="s">
        <v>36</v>
      </c>
      <c r="L1146" t="s">
        <v>33</v>
      </c>
      <c r="M1146">
        <v>10759586269</v>
      </c>
      <c r="N1146" t="s">
        <v>2214</v>
      </c>
      <c r="O1146" t="s">
        <v>76</v>
      </c>
      <c r="P1146" t="s">
        <v>38</v>
      </c>
      <c r="Q1146" t="s">
        <v>2215</v>
      </c>
      <c r="R1146" t="s">
        <v>5803</v>
      </c>
      <c r="S1146">
        <v>1754</v>
      </c>
      <c r="T1146" t="s">
        <v>40</v>
      </c>
      <c r="U1146">
        <f>+IF(Tabla1[[#This Row],[MONEDA]]="PEN",Tabla1[[#This Row],[MONTO]],Tabla1[[#This Row],[MONTO]]*3.56)</f>
        <v>1754</v>
      </c>
      <c r="X1146" t="s">
        <v>81</v>
      </c>
      <c r="Y1146" t="s">
        <v>42</v>
      </c>
      <c r="Z1146" t="s">
        <v>43</v>
      </c>
      <c r="AA1146" t="s">
        <v>5804</v>
      </c>
      <c r="AB1146" t="s">
        <v>5805</v>
      </c>
      <c r="AC1146" t="s">
        <v>5806</v>
      </c>
      <c r="AD1146" t="s">
        <v>5807</v>
      </c>
      <c r="AE1146">
        <v>1683.84</v>
      </c>
      <c r="AF1146" t="s">
        <v>87</v>
      </c>
      <c r="AG1146" t="s">
        <v>169</v>
      </c>
    </row>
    <row r="1147" spans="1:33" hidden="1" x14ac:dyDescent="0.25">
      <c r="A1147">
        <v>27400</v>
      </c>
      <c r="B1147" t="s">
        <v>32</v>
      </c>
      <c r="C1147">
        <v>1</v>
      </c>
      <c r="D1147" t="s">
        <v>8475</v>
      </c>
      <c r="E1147" t="s">
        <v>70</v>
      </c>
      <c r="F1147" t="s">
        <v>33</v>
      </c>
      <c r="G1147" t="s">
        <v>71</v>
      </c>
      <c r="H1147" t="s">
        <v>72</v>
      </c>
      <c r="I1147" t="s">
        <v>8476</v>
      </c>
      <c r="J1147" t="s">
        <v>8477</v>
      </c>
      <c r="K1147" t="s">
        <v>36</v>
      </c>
      <c r="L1147" t="s">
        <v>33</v>
      </c>
      <c r="M1147">
        <v>10759586269</v>
      </c>
      <c r="N1147" t="s">
        <v>2214</v>
      </c>
      <c r="O1147" t="s">
        <v>76</v>
      </c>
      <c r="P1147" t="s">
        <v>38</v>
      </c>
      <c r="Q1147" t="s">
        <v>2215</v>
      </c>
      <c r="R1147" t="s">
        <v>8478</v>
      </c>
      <c r="S1147">
        <v>2015</v>
      </c>
      <c r="T1147" t="s">
        <v>40</v>
      </c>
      <c r="U1147">
        <f>+IF(Tabla1[[#This Row],[MONEDA]]="PEN",Tabla1[[#This Row],[MONTO]],Tabla1[[#This Row],[MONTO]]*3.56)</f>
        <v>2015</v>
      </c>
      <c r="X1147" t="s">
        <v>81</v>
      </c>
      <c r="Y1147" t="s">
        <v>42</v>
      </c>
      <c r="Z1147" t="s">
        <v>43</v>
      </c>
      <c r="AA1147" t="s">
        <v>8479</v>
      </c>
      <c r="AB1147" t="s">
        <v>8480</v>
      </c>
      <c r="AC1147" t="s">
        <v>8481</v>
      </c>
      <c r="AD1147" t="s">
        <v>8482</v>
      </c>
      <c r="AE1147">
        <v>1934.4</v>
      </c>
      <c r="AF1147" t="s">
        <v>87</v>
      </c>
      <c r="AG1147" t="s">
        <v>169</v>
      </c>
    </row>
    <row r="1148" spans="1:33" hidden="1" x14ac:dyDescent="0.25">
      <c r="A1148">
        <v>26805</v>
      </c>
      <c r="B1148" t="s">
        <v>32</v>
      </c>
      <c r="C1148">
        <v>1</v>
      </c>
      <c r="D1148" t="s">
        <v>8995</v>
      </c>
      <c r="E1148" t="s">
        <v>70</v>
      </c>
      <c r="F1148" t="s">
        <v>33</v>
      </c>
      <c r="G1148" t="s">
        <v>71</v>
      </c>
      <c r="H1148" t="s">
        <v>72</v>
      </c>
      <c r="I1148" t="s">
        <v>8972</v>
      </c>
      <c r="J1148" t="s">
        <v>8996</v>
      </c>
      <c r="K1148" t="s">
        <v>36</v>
      </c>
      <c r="L1148" t="s">
        <v>33</v>
      </c>
      <c r="M1148">
        <v>10759586269</v>
      </c>
      <c r="N1148" t="s">
        <v>2214</v>
      </c>
      <c r="O1148" t="s">
        <v>76</v>
      </c>
      <c r="P1148" t="s">
        <v>38</v>
      </c>
      <c r="Q1148" t="s">
        <v>2215</v>
      </c>
      <c r="R1148" t="s">
        <v>8997</v>
      </c>
      <c r="S1148">
        <v>3225</v>
      </c>
      <c r="T1148" t="s">
        <v>40</v>
      </c>
      <c r="U1148">
        <f>+IF(Tabla1[[#This Row],[MONEDA]]="PEN",Tabla1[[#This Row],[MONTO]],Tabla1[[#This Row],[MONTO]]*3.56)</f>
        <v>3225</v>
      </c>
      <c r="X1148" t="s">
        <v>81</v>
      </c>
      <c r="Y1148" t="s">
        <v>42</v>
      </c>
      <c r="Z1148" t="s">
        <v>82</v>
      </c>
      <c r="AA1148" t="s">
        <v>8998</v>
      </c>
      <c r="AB1148" t="s">
        <v>8999</v>
      </c>
      <c r="AC1148" t="s">
        <v>9000</v>
      </c>
      <c r="AD1148" t="s">
        <v>9001</v>
      </c>
      <c r="AE1148">
        <v>3096</v>
      </c>
      <c r="AF1148" t="s">
        <v>87</v>
      </c>
      <c r="AG1148" t="s">
        <v>169</v>
      </c>
    </row>
    <row r="1149" spans="1:33" hidden="1" x14ac:dyDescent="0.25">
      <c r="A1149">
        <v>25911</v>
      </c>
      <c r="B1149" t="s">
        <v>32</v>
      </c>
      <c r="C1149">
        <v>1</v>
      </c>
      <c r="D1149" t="s">
        <v>9560</v>
      </c>
      <c r="E1149" t="s">
        <v>70</v>
      </c>
      <c r="F1149" t="s">
        <v>33</v>
      </c>
      <c r="G1149" t="s">
        <v>71</v>
      </c>
      <c r="H1149" t="s">
        <v>72</v>
      </c>
      <c r="I1149" t="s">
        <v>9519</v>
      </c>
      <c r="J1149" t="s">
        <v>9561</v>
      </c>
      <c r="K1149" t="s">
        <v>36</v>
      </c>
      <c r="L1149" t="s">
        <v>33</v>
      </c>
      <c r="M1149">
        <v>10759586269</v>
      </c>
      <c r="N1149" t="s">
        <v>2214</v>
      </c>
      <c r="O1149" t="s">
        <v>76</v>
      </c>
      <c r="P1149" t="s">
        <v>38</v>
      </c>
      <c r="Q1149" t="s">
        <v>2215</v>
      </c>
      <c r="R1149" t="s">
        <v>9562</v>
      </c>
      <c r="S1149">
        <v>4715</v>
      </c>
      <c r="T1149" t="s">
        <v>40</v>
      </c>
      <c r="U1149">
        <f>+IF(Tabla1[[#This Row],[MONEDA]]="PEN",Tabla1[[#This Row],[MONTO]],Tabla1[[#This Row],[MONTO]]*3.56)</f>
        <v>4715</v>
      </c>
      <c r="X1149" t="s">
        <v>81</v>
      </c>
      <c r="Y1149" t="s">
        <v>42</v>
      </c>
      <c r="Z1149" t="s">
        <v>82</v>
      </c>
      <c r="AA1149" t="s">
        <v>9563</v>
      </c>
      <c r="AB1149" t="s">
        <v>9564</v>
      </c>
      <c r="AC1149" t="s">
        <v>9565</v>
      </c>
      <c r="AD1149" t="s">
        <v>9566</v>
      </c>
      <c r="AE1149">
        <v>4526.3999999999996</v>
      </c>
      <c r="AF1149" t="s">
        <v>87</v>
      </c>
      <c r="AG1149" t="s">
        <v>169</v>
      </c>
    </row>
    <row r="1150" spans="1:33" hidden="1" x14ac:dyDescent="0.25">
      <c r="A1150">
        <v>25659</v>
      </c>
      <c r="B1150" t="s">
        <v>32</v>
      </c>
      <c r="C1150">
        <v>1</v>
      </c>
      <c r="D1150" t="s">
        <v>9632</v>
      </c>
      <c r="E1150" t="s">
        <v>70</v>
      </c>
      <c r="F1150" t="s">
        <v>33</v>
      </c>
      <c r="G1150" t="s">
        <v>71</v>
      </c>
      <c r="H1150" t="s">
        <v>72</v>
      </c>
      <c r="I1150" t="s">
        <v>9631</v>
      </c>
      <c r="J1150" t="s">
        <v>9633</v>
      </c>
      <c r="K1150" t="s">
        <v>36</v>
      </c>
      <c r="L1150" t="s">
        <v>33</v>
      </c>
      <c r="M1150">
        <v>10759586269</v>
      </c>
      <c r="N1150" t="s">
        <v>2214</v>
      </c>
      <c r="O1150" t="s">
        <v>76</v>
      </c>
      <c r="P1150" t="s">
        <v>38</v>
      </c>
      <c r="Q1150" t="s">
        <v>2215</v>
      </c>
      <c r="R1150" t="s">
        <v>9634</v>
      </c>
      <c r="S1150">
        <v>6820</v>
      </c>
      <c r="T1150" t="s">
        <v>40</v>
      </c>
      <c r="U1150">
        <f>+IF(Tabla1[[#This Row],[MONEDA]]="PEN",Tabla1[[#This Row],[MONTO]],Tabla1[[#This Row],[MONTO]]*3.56)</f>
        <v>6820</v>
      </c>
      <c r="X1150" t="s">
        <v>81</v>
      </c>
      <c r="Y1150" t="s">
        <v>42</v>
      </c>
      <c r="Z1150" t="s">
        <v>82</v>
      </c>
      <c r="AA1150" t="s">
        <v>9635</v>
      </c>
      <c r="AB1150" t="s">
        <v>9636</v>
      </c>
      <c r="AC1150" t="s">
        <v>9637</v>
      </c>
      <c r="AD1150" t="s">
        <v>9638</v>
      </c>
      <c r="AE1150">
        <v>6547.2</v>
      </c>
      <c r="AF1150" t="s">
        <v>87</v>
      </c>
      <c r="AG1150" t="s">
        <v>169</v>
      </c>
    </row>
    <row r="1151" spans="1:33" hidden="1" x14ac:dyDescent="0.25">
      <c r="A1151">
        <v>24783</v>
      </c>
      <c r="B1151" t="s">
        <v>32</v>
      </c>
      <c r="C1151">
        <v>2</v>
      </c>
      <c r="D1151" t="s">
        <v>10111</v>
      </c>
      <c r="E1151" t="s">
        <v>70</v>
      </c>
      <c r="F1151" t="s">
        <v>33</v>
      </c>
      <c r="G1151" t="s">
        <v>71</v>
      </c>
      <c r="H1151" t="s">
        <v>72</v>
      </c>
      <c r="I1151" t="s">
        <v>10076</v>
      </c>
      <c r="J1151" t="s">
        <v>10112</v>
      </c>
      <c r="K1151" t="s">
        <v>36</v>
      </c>
      <c r="L1151" t="s">
        <v>33</v>
      </c>
      <c r="M1151">
        <v>10759586269</v>
      </c>
      <c r="N1151" t="s">
        <v>2214</v>
      </c>
      <c r="O1151" t="s">
        <v>76</v>
      </c>
      <c r="P1151" t="s">
        <v>38</v>
      </c>
      <c r="Q1151" t="s">
        <v>2215</v>
      </c>
      <c r="R1151" t="s">
        <v>10113</v>
      </c>
      <c r="S1151">
        <v>3540</v>
      </c>
      <c r="T1151" t="s">
        <v>40</v>
      </c>
      <c r="U1151">
        <f>+IF(Tabla1[[#This Row],[MONEDA]]="PEN",Tabla1[[#This Row],[MONTO]],Tabla1[[#This Row],[MONTO]]*3.56)</f>
        <v>3540</v>
      </c>
      <c r="X1151" t="s">
        <v>81</v>
      </c>
      <c r="Y1151" t="s">
        <v>42</v>
      </c>
      <c r="Z1151" t="s">
        <v>82</v>
      </c>
      <c r="AA1151" t="s">
        <v>10114</v>
      </c>
      <c r="AB1151" t="s">
        <v>10115</v>
      </c>
      <c r="AC1151" t="s">
        <v>10116</v>
      </c>
      <c r="AD1151" t="s">
        <v>10117</v>
      </c>
      <c r="AE1151">
        <v>3398.4</v>
      </c>
      <c r="AF1151" t="s">
        <v>87</v>
      </c>
      <c r="AG1151" t="s">
        <v>169</v>
      </c>
    </row>
    <row r="1152" spans="1:33" hidden="1" x14ac:dyDescent="0.25">
      <c r="A1152">
        <v>24244</v>
      </c>
      <c r="B1152" t="s">
        <v>32</v>
      </c>
      <c r="C1152">
        <v>1</v>
      </c>
      <c r="D1152" t="s">
        <v>10318</v>
      </c>
      <c r="E1152" t="s">
        <v>70</v>
      </c>
      <c r="F1152" t="s">
        <v>33</v>
      </c>
      <c r="G1152" t="s">
        <v>9422</v>
      </c>
      <c r="H1152" t="s">
        <v>72</v>
      </c>
      <c r="I1152" t="s">
        <v>10311</v>
      </c>
      <c r="J1152" t="s">
        <v>10319</v>
      </c>
      <c r="K1152" t="s">
        <v>36</v>
      </c>
      <c r="L1152" t="s">
        <v>33</v>
      </c>
      <c r="M1152">
        <v>10759586269</v>
      </c>
      <c r="N1152" t="s">
        <v>2214</v>
      </c>
      <c r="O1152" t="s">
        <v>9423</v>
      </c>
      <c r="P1152" t="s">
        <v>38</v>
      </c>
      <c r="Q1152" t="s">
        <v>2215</v>
      </c>
      <c r="R1152" t="s">
        <v>10320</v>
      </c>
      <c r="S1152">
        <v>4280</v>
      </c>
      <c r="T1152" t="s">
        <v>40</v>
      </c>
      <c r="U1152">
        <f>+IF(Tabla1[[#This Row],[MONEDA]]="PEN",Tabla1[[#This Row],[MONTO]],Tabla1[[#This Row],[MONTO]]*3.56)</f>
        <v>4280</v>
      </c>
      <c r="X1152" t="s">
        <v>41</v>
      </c>
      <c r="Y1152" t="s">
        <v>51</v>
      </c>
      <c r="Z1152" t="s">
        <v>43</v>
      </c>
      <c r="AA1152" t="s">
        <v>10321</v>
      </c>
      <c r="AB1152" t="s">
        <v>10322</v>
      </c>
      <c r="AC1152" t="s">
        <v>10323</v>
      </c>
      <c r="AD1152" t="s">
        <v>10324</v>
      </c>
      <c r="AE1152">
        <v>4108.8</v>
      </c>
      <c r="AF1152" t="s">
        <v>87</v>
      </c>
      <c r="AG1152" t="s">
        <v>169</v>
      </c>
    </row>
    <row r="1153" spans="1:33" hidden="1" x14ac:dyDescent="0.25">
      <c r="A1153">
        <v>23945</v>
      </c>
      <c r="B1153" t="s">
        <v>32</v>
      </c>
      <c r="C1153">
        <v>2</v>
      </c>
      <c r="D1153" t="s">
        <v>10708</v>
      </c>
      <c r="E1153" t="s">
        <v>70</v>
      </c>
      <c r="F1153" t="s">
        <v>33</v>
      </c>
      <c r="G1153" t="s">
        <v>71</v>
      </c>
      <c r="H1153" t="s">
        <v>72</v>
      </c>
      <c r="I1153" t="s">
        <v>10709</v>
      </c>
      <c r="J1153" t="s">
        <v>10710</v>
      </c>
      <c r="K1153" t="s">
        <v>36</v>
      </c>
      <c r="L1153" t="s">
        <v>33</v>
      </c>
      <c r="M1153">
        <v>10759586269</v>
      </c>
      <c r="N1153" t="s">
        <v>2214</v>
      </c>
      <c r="O1153" t="s">
        <v>76</v>
      </c>
      <c r="P1153" t="s">
        <v>38</v>
      </c>
      <c r="Q1153" t="s">
        <v>2215</v>
      </c>
      <c r="R1153" t="s">
        <v>10711</v>
      </c>
      <c r="S1153">
        <v>7795</v>
      </c>
      <c r="T1153" t="s">
        <v>40</v>
      </c>
      <c r="U1153">
        <f>+IF(Tabla1[[#This Row],[MONEDA]]="PEN",Tabla1[[#This Row],[MONTO]],Tabla1[[#This Row],[MONTO]]*3.56)</f>
        <v>7795</v>
      </c>
      <c r="X1153" t="s">
        <v>81</v>
      </c>
      <c r="Y1153" t="s">
        <v>42</v>
      </c>
      <c r="Z1153" t="s">
        <v>43</v>
      </c>
      <c r="AA1153" t="s">
        <v>10712</v>
      </c>
      <c r="AB1153" t="s">
        <v>10713</v>
      </c>
      <c r="AC1153" t="s">
        <v>10714</v>
      </c>
      <c r="AD1153" t="s">
        <v>10715</v>
      </c>
      <c r="AE1153">
        <v>7483.2</v>
      </c>
      <c r="AF1153" t="s">
        <v>87</v>
      </c>
      <c r="AG1153" t="s">
        <v>169</v>
      </c>
    </row>
    <row r="1154" spans="1:33" hidden="1" x14ac:dyDescent="0.25">
      <c r="A1154">
        <v>22620</v>
      </c>
      <c r="B1154" t="s">
        <v>32</v>
      </c>
      <c r="C1154">
        <v>1</v>
      </c>
      <c r="D1154" t="s">
        <v>11801</v>
      </c>
      <c r="E1154" t="s">
        <v>70</v>
      </c>
      <c r="F1154" t="s">
        <v>33</v>
      </c>
      <c r="G1154" t="s">
        <v>71</v>
      </c>
      <c r="H1154" t="s">
        <v>72</v>
      </c>
      <c r="I1154" t="s">
        <v>11772</v>
      </c>
      <c r="J1154" t="s">
        <v>11802</v>
      </c>
      <c r="K1154" t="s">
        <v>36</v>
      </c>
      <c r="L1154" t="s">
        <v>33</v>
      </c>
      <c r="M1154">
        <v>10759586269</v>
      </c>
      <c r="N1154" t="s">
        <v>2214</v>
      </c>
      <c r="O1154" t="s">
        <v>76</v>
      </c>
      <c r="P1154" t="s">
        <v>38</v>
      </c>
      <c r="Q1154" t="s">
        <v>2215</v>
      </c>
      <c r="R1154" t="s">
        <v>11803</v>
      </c>
      <c r="S1154">
        <v>3740</v>
      </c>
      <c r="T1154" t="s">
        <v>40</v>
      </c>
      <c r="U1154">
        <f>+IF(Tabla1[[#This Row],[MONEDA]]="PEN",Tabla1[[#This Row],[MONTO]],Tabla1[[#This Row],[MONTO]]*3.56)</f>
        <v>3740</v>
      </c>
      <c r="X1154" t="s">
        <v>81</v>
      </c>
      <c r="Y1154" t="s">
        <v>42</v>
      </c>
      <c r="Z1154" t="s">
        <v>43</v>
      </c>
      <c r="AA1154" t="s">
        <v>11804</v>
      </c>
      <c r="AB1154" t="s">
        <v>11805</v>
      </c>
      <c r="AC1154" t="s">
        <v>11806</v>
      </c>
      <c r="AD1154" t="s">
        <v>11807</v>
      </c>
      <c r="AE1154">
        <v>3590.4</v>
      </c>
      <c r="AF1154" t="s">
        <v>87</v>
      </c>
      <c r="AG1154" t="s">
        <v>169</v>
      </c>
    </row>
    <row r="1155" spans="1:33" hidden="1" x14ac:dyDescent="0.25">
      <c r="A1155">
        <v>21788</v>
      </c>
      <c r="B1155" t="s">
        <v>32</v>
      </c>
      <c r="C1155">
        <v>1</v>
      </c>
      <c r="D1155" t="s">
        <v>12213</v>
      </c>
      <c r="E1155" t="s">
        <v>70</v>
      </c>
      <c r="F1155" t="s">
        <v>33</v>
      </c>
      <c r="G1155" t="s">
        <v>71</v>
      </c>
      <c r="H1155" t="s">
        <v>72</v>
      </c>
      <c r="I1155" t="s">
        <v>12202</v>
      </c>
      <c r="J1155" t="s">
        <v>12214</v>
      </c>
      <c r="K1155" t="s">
        <v>36</v>
      </c>
      <c r="L1155" t="s">
        <v>33</v>
      </c>
      <c r="M1155">
        <v>10759586269</v>
      </c>
      <c r="N1155" t="s">
        <v>2214</v>
      </c>
      <c r="O1155" t="s">
        <v>76</v>
      </c>
      <c r="P1155" t="s">
        <v>38</v>
      </c>
      <c r="Q1155" t="s">
        <v>2215</v>
      </c>
      <c r="R1155" t="s">
        <v>12215</v>
      </c>
      <c r="S1155">
        <v>8949</v>
      </c>
      <c r="T1155" t="s">
        <v>40</v>
      </c>
      <c r="U1155">
        <f>+IF(Tabla1[[#This Row],[MONEDA]]="PEN",Tabla1[[#This Row],[MONTO]],Tabla1[[#This Row],[MONTO]]*3.56)</f>
        <v>8949</v>
      </c>
      <c r="X1155" t="s">
        <v>81</v>
      </c>
      <c r="Y1155" t="s">
        <v>42</v>
      </c>
      <c r="Z1155" t="s">
        <v>43</v>
      </c>
      <c r="AA1155" t="s">
        <v>12216</v>
      </c>
      <c r="AB1155" t="s">
        <v>12217</v>
      </c>
      <c r="AC1155" t="s">
        <v>12218</v>
      </c>
      <c r="AD1155" t="s">
        <v>12219</v>
      </c>
      <c r="AE1155">
        <v>8591.0400000000009</v>
      </c>
      <c r="AF1155" t="s">
        <v>87</v>
      </c>
      <c r="AG1155" t="s">
        <v>169</v>
      </c>
    </row>
    <row r="1156" spans="1:33" hidden="1" x14ac:dyDescent="0.25">
      <c r="A1156">
        <v>21516</v>
      </c>
      <c r="B1156" t="s">
        <v>32</v>
      </c>
      <c r="C1156">
        <v>1</v>
      </c>
      <c r="D1156" t="s">
        <v>12406</v>
      </c>
      <c r="E1156" t="s">
        <v>70</v>
      </c>
      <c r="F1156" t="s">
        <v>33</v>
      </c>
      <c r="G1156" t="s">
        <v>71</v>
      </c>
      <c r="H1156" t="s">
        <v>72</v>
      </c>
      <c r="I1156" t="s">
        <v>12399</v>
      </c>
      <c r="J1156" t="s">
        <v>12407</v>
      </c>
      <c r="K1156" t="s">
        <v>36</v>
      </c>
      <c r="L1156" t="s">
        <v>33</v>
      </c>
      <c r="M1156">
        <v>10759586269</v>
      </c>
      <c r="N1156" t="s">
        <v>2214</v>
      </c>
      <c r="O1156" t="s">
        <v>76</v>
      </c>
      <c r="P1156" t="s">
        <v>38</v>
      </c>
      <c r="Q1156" t="s">
        <v>2215</v>
      </c>
      <c r="R1156" t="s">
        <v>12408</v>
      </c>
      <c r="S1156">
        <v>6885</v>
      </c>
      <c r="T1156" t="s">
        <v>40</v>
      </c>
      <c r="U1156">
        <f>+IF(Tabla1[[#This Row],[MONEDA]]="PEN",Tabla1[[#This Row],[MONTO]],Tabla1[[#This Row],[MONTO]]*3.56)</f>
        <v>6885</v>
      </c>
      <c r="X1156" t="s">
        <v>81</v>
      </c>
      <c r="Y1156" t="s">
        <v>42</v>
      </c>
      <c r="Z1156" t="s">
        <v>43</v>
      </c>
      <c r="AA1156" t="s">
        <v>12409</v>
      </c>
      <c r="AB1156" t="s">
        <v>12410</v>
      </c>
      <c r="AC1156" t="s">
        <v>12411</v>
      </c>
      <c r="AD1156" t="s">
        <v>12412</v>
      </c>
      <c r="AE1156">
        <v>6609.6</v>
      </c>
      <c r="AF1156" t="s">
        <v>87</v>
      </c>
      <c r="AG1156" t="s">
        <v>169</v>
      </c>
    </row>
    <row r="1157" spans="1:33" hidden="1" x14ac:dyDescent="0.25">
      <c r="A1157">
        <v>21302</v>
      </c>
      <c r="B1157" t="s">
        <v>32</v>
      </c>
      <c r="C1157">
        <v>1</v>
      </c>
      <c r="D1157" t="s">
        <v>12530</v>
      </c>
      <c r="E1157" t="s">
        <v>70</v>
      </c>
      <c r="F1157" t="s">
        <v>33</v>
      </c>
      <c r="G1157" t="s">
        <v>12451</v>
      </c>
      <c r="H1157" t="s">
        <v>72</v>
      </c>
      <c r="I1157" t="s">
        <v>12531</v>
      </c>
      <c r="J1157" t="s">
        <v>12532</v>
      </c>
      <c r="K1157" t="s">
        <v>36</v>
      </c>
      <c r="L1157" t="s">
        <v>33</v>
      </c>
      <c r="M1157">
        <v>10759586269</v>
      </c>
      <c r="N1157" t="s">
        <v>2214</v>
      </c>
      <c r="O1157" t="s">
        <v>12452</v>
      </c>
      <c r="P1157" t="s">
        <v>38</v>
      </c>
      <c r="Q1157" t="s">
        <v>2215</v>
      </c>
      <c r="R1157" t="s">
        <v>12533</v>
      </c>
      <c r="S1157">
        <v>8495</v>
      </c>
      <c r="T1157" t="s">
        <v>40</v>
      </c>
      <c r="U1157">
        <f>+IF(Tabla1[[#This Row],[MONEDA]]="PEN",Tabla1[[#This Row],[MONTO]],Tabla1[[#This Row],[MONTO]]*3.56)</f>
        <v>8495</v>
      </c>
      <c r="X1157" t="s">
        <v>81</v>
      </c>
      <c r="Y1157" t="s">
        <v>51</v>
      </c>
      <c r="Z1157" t="s">
        <v>43</v>
      </c>
      <c r="AA1157" t="s">
        <v>12534</v>
      </c>
      <c r="AB1157" t="s">
        <v>12535</v>
      </c>
      <c r="AC1157" t="s">
        <v>12536</v>
      </c>
      <c r="AD1157" t="s">
        <v>12537</v>
      </c>
      <c r="AE1157">
        <v>8155.2</v>
      </c>
      <c r="AF1157" t="s">
        <v>87</v>
      </c>
      <c r="AG1157" t="s">
        <v>169</v>
      </c>
    </row>
    <row r="1158" spans="1:33" hidden="1" x14ac:dyDescent="0.25">
      <c r="A1158">
        <v>21311</v>
      </c>
      <c r="B1158" t="s">
        <v>32</v>
      </c>
      <c r="C1158">
        <v>1</v>
      </c>
      <c r="D1158" t="s">
        <v>12538</v>
      </c>
      <c r="E1158" t="s">
        <v>70</v>
      </c>
      <c r="F1158" t="s">
        <v>33</v>
      </c>
      <c r="G1158" t="s">
        <v>12451</v>
      </c>
      <c r="H1158" t="s">
        <v>72</v>
      </c>
      <c r="I1158" t="s">
        <v>12531</v>
      </c>
      <c r="J1158" t="s">
        <v>12539</v>
      </c>
      <c r="K1158" t="s">
        <v>36</v>
      </c>
      <c r="L1158" t="s">
        <v>33</v>
      </c>
      <c r="M1158">
        <v>10759586269</v>
      </c>
      <c r="N1158" t="s">
        <v>2214</v>
      </c>
      <c r="O1158" t="s">
        <v>12452</v>
      </c>
      <c r="P1158" t="s">
        <v>38</v>
      </c>
      <c r="Q1158" t="s">
        <v>2215</v>
      </c>
      <c r="R1158" t="s">
        <v>12540</v>
      </c>
      <c r="S1158">
        <v>310.33999999999997</v>
      </c>
      <c r="T1158" t="s">
        <v>40</v>
      </c>
      <c r="U1158">
        <f>+IF(Tabla1[[#This Row],[MONEDA]]="PEN",Tabla1[[#This Row],[MONTO]],Tabla1[[#This Row],[MONTO]]*3.56)</f>
        <v>310.33999999999997</v>
      </c>
      <c r="X1158" t="s">
        <v>81</v>
      </c>
      <c r="Y1158" t="s">
        <v>51</v>
      </c>
      <c r="Z1158" t="s">
        <v>43</v>
      </c>
      <c r="AA1158" t="s">
        <v>12541</v>
      </c>
      <c r="AB1158" t="s">
        <v>12542</v>
      </c>
      <c r="AC1158" t="s">
        <v>12543</v>
      </c>
      <c r="AD1158" t="s">
        <v>12544</v>
      </c>
      <c r="AE1158">
        <v>310.33999999999997</v>
      </c>
      <c r="AF1158" t="s">
        <v>87</v>
      </c>
      <c r="AG1158" t="s">
        <v>169</v>
      </c>
    </row>
    <row r="1159" spans="1:33" hidden="1" x14ac:dyDescent="0.25">
      <c r="A1159">
        <v>36480</v>
      </c>
      <c r="B1159" t="s">
        <v>32</v>
      </c>
      <c r="C1159">
        <v>2</v>
      </c>
      <c r="D1159" t="s">
        <v>3899</v>
      </c>
      <c r="E1159" t="s">
        <v>70</v>
      </c>
      <c r="F1159" t="s">
        <v>33</v>
      </c>
      <c r="G1159" t="s">
        <v>71</v>
      </c>
      <c r="H1159" t="s">
        <v>72</v>
      </c>
      <c r="I1159" t="s">
        <v>3900</v>
      </c>
      <c r="J1159" t="s">
        <v>3901</v>
      </c>
      <c r="K1159" t="s">
        <v>36</v>
      </c>
      <c r="L1159" t="s">
        <v>33</v>
      </c>
      <c r="M1159">
        <v>20604612528</v>
      </c>
      <c r="N1159" t="s">
        <v>3902</v>
      </c>
      <c r="O1159" t="s">
        <v>76</v>
      </c>
      <c r="P1159" t="s">
        <v>101</v>
      </c>
      <c r="Q1159" t="s">
        <v>3903</v>
      </c>
      <c r="R1159" t="s">
        <v>3904</v>
      </c>
      <c r="S1159">
        <v>9526.3700000000008</v>
      </c>
      <c r="T1159" t="s">
        <v>40</v>
      </c>
      <c r="U1159">
        <f>+IF(Tabla1[[#This Row],[MONEDA]]="PEN",Tabla1[[#This Row],[MONTO]],Tabla1[[#This Row],[MONTO]]*3.56)</f>
        <v>9526.3700000000008</v>
      </c>
      <c r="X1159" t="s">
        <v>81</v>
      </c>
      <c r="Y1159" t="s">
        <v>42</v>
      </c>
      <c r="Z1159" t="s">
        <v>43</v>
      </c>
      <c r="AA1159" t="s">
        <v>3905</v>
      </c>
      <c r="AB1159" t="s">
        <v>3906</v>
      </c>
      <c r="AC1159" t="s">
        <v>3907</v>
      </c>
      <c r="AD1159" t="s">
        <v>3908</v>
      </c>
      <c r="AE1159">
        <v>9240.58</v>
      </c>
      <c r="AG1159" t="s">
        <v>666</v>
      </c>
    </row>
    <row r="1160" spans="1:33" hidden="1" x14ac:dyDescent="0.25">
      <c r="A1160">
        <v>32121</v>
      </c>
      <c r="B1160" t="s">
        <v>32</v>
      </c>
      <c r="C1160">
        <v>1</v>
      </c>
      <c r="D1160" t="s">
        <v>5345</v>
      </c>
      <c r="E1160" t="s">
        <v>70</v>
      </c>
      <c r="F1160" t="s">
        <v>33</v>
      </c>
      <c r="G1160" t="s">
        <v>71</v>
      </c>
      <c r="H1160" t="s">
        <v>72</v>
      </c>
      <c r="I1160" t="s">
        <v>5338</v>
      </c>
      <c r="J1160" t="s">
        <v>5346</v>
      </c>
      <c r="K1160" t="s">
        <v>36</v>
      </c>
      <c r="L1160" t="s">
        <v>33</v>
      </c>
      <c r="M1160">
        <v>20604612528</v>
      </c>
      <c r="N1160" t="s">
        <v>3902</v>
      </c>
      <c r="O1160" t="s">
        <v>76</v>
      </c>
      <c r="P1160" t="s">
        <v>101</v>
      </c>
      <c r="Q1160" t="s">
        <v>3903</v>
      </c>
      <c r="R1160" t="s">
        <v>5347</v>
      </c>
      <c r="S1160">
        <v>2513.7800000000002</v>
      </c>
      <c r="T1160" t="s">
        <v>40</v>
      </c>
      <c r="U1160">
        <f>+IF(Tabla1[[#This Row],[MONEDA]]="PEN",Tabla1[[#This Row],[MONTO]],Tabla1[[#This Row],[MONTO]]*3.56)</f>
        <v>2513.7800000000002</v>
      </c>
      <c r="X1160" t="s">
        <v>81</v>
      </c>
      <c r="Y1160" t="s">
        <v>42</v>
      </c>
      <c r="Z1160" t="s">
        <v>43</v>
      </c>
      <c r="AA1160" t="s">
        <v>5348</v>
      </c>
      <c r="AB1160" t="s">
        <v>5349</v>
      </c>
      <c r="AC1160" t="s">
        <v>5350</v>
      </c>
      <c r="AD1160" t="s">
        <v>5351</v>
      </c>
      <c r="AE1160">
        <v>2455.37</v>
      </c>
      <c r="AG1160" t="s">
        <v>169</v>
      </c>
    </row>
    <row r="1161" spans="1:33" hidden="1" x14ac:dyDescent="0.25">
      <c r="A1161">
        <v>27915</v>
      </c>
      <c r="B1161" t="s">
        <v>32</v>
      </c>
      <c r="C1161">
        <v>1</v>
      </c>
      <c r="D1161" t="s">
        <v>7684</v>
      </c>
      <c r="E1161" t="s">
        <v>70</v>
      </c>
      <c r="F1161" t="s">
        <v>33</v>
      </c>
      <c r="G1161" t="s">
        <v>71</v>
      </c>
      <c r="H1161" t="s">
        <v>72</v>
      </c>
      <c r="I1161" t="s">
        <v>7685</v>
      </c>
      <c r="J1161" t="s">
        <v>7686</v>
      </c>
      <c r="K1161" t="s">
        <v>36</v>
      </c>
      <c r="L1161" t="s">
        <v>33</v>
      </c>
      <c r="M1161">
        <v>20604612528</v>
      </c>
      <c r="N1161" t="s">
        <v>3902</v>
      </c>
      <c r="O1161" t="s">
        <v>76</v>
      </c>
      <c r="P1161" t="s">
        <v>101</v>
      </c>
      <c r="Q1161" t="s">
        <v>3903</v>
      </c>
      <c r="R1161" t="s">
        <v>7687</v>
      </c>
      <c r="S1161">
        <v>7667.05</v>
      </c>
      <c r="T1161" t="s">
        <v>40</v>
      </c>
      <c r="U1161">
        <f>+IF(Tabla1[[#This Row],[MONEDA]]="PEN",Tabla1[[#This Row],[MONTO]],Tabla1[[#This Row],[MONTO]]*3.56)</f>
        <v>7667.05</v>
      </c>
      <c r="X1161" t="s">
        <v>41</v>
      </c>
      <c r="Y1161" t="s">
        <v>42</v>
      </c>
      <c r="Z1161" t="s">
        <v>82</v>
      </c>
      <c r="AA1161" t="s">
        <v>7688</v>
      </c>
      <c r="AB1161" t="s">
        <v>7689</v>
      </c>
      <c r="AC1161" t="s">
        <v>7690</v>
      </c>
      <c r="AD1161" t="s">
        <v>7691</v>
      </c>
      <c r="AE1161">
        <v>7437.04</v>
      </c>
      <c r="AF1161" t="s">
        <v>87</v>
      </c>
      <c r="AG1161" t="s">
        <v>666</v>
      </c>
    </row>
    <row r="1162" spans="1:33" hidden="1" x14ac:dyDescent="0.25">
      <c r="A1162">
        <v>27914</v>
      </c>
      <c r="B1162" t="s">
        <v>32</v>
      </c>
      <c r="C1162">
        <v>1</v>
      </c>
      <c r="D1162" t="s">
        <v>7684</v>
      </c>
      <c r="E1162" t="s">
        <v>70</v>
      </c>
      <c r="F1162" t="s">
        <v>33</v>
      </c>
      <c r="G1162" t="s">
        <v>71</v>
      </c>
      <c r="H1162" t="s">
        <v>72</v>
      </c>
      <c r="I1162" t="s">
        <v>8021</v>
      </c>
      <c r="J1162" t="s">
        <v>8022</v>
      </c>
      <c r="K1162" t="s">
        <v>36</v>
      </c>
      <c r="L1162" t="s">
        <v>33</v>
      </c>
      <c r="M1162">
        <v>20604612528</v>
      </c>
      <c r="N1162" t="s">
        <v>3902</v>
      </c>
      <c r="O1162" t="s">
        <v>76</v>
      </c>
      <c r="P1162" t="s">
        <v>101</v>
      </c>
      <c r="Q1162" t="s">
        <v>3903</v>
      </c>
      <c r="R1162" t="s">
        <v>8023</v>
      </c>
      <c r="S1162">
        <v>7667.05</v>
      </c>
      <c r="T1162" t="s">
        <v>40</v>
      </c>
      <c r="U1162">
        <f>+IF(Tabla1[[#This Row],[MONEDA]]="PEN",Tabla1[[#This Row],[MONTO]],Tabla1[[#This Row],[MONTO]]*3.56)</f>
        <v>7667.05</v>
      </c>
      <c r="X1162" t="s">
        <v>41</v>
      </c>
      <c r="Y1162" t="s">
        <v>42</v>
      </c>
      <c r="Z1162" t="s">
        <v>82</v>
      </c>
      <c r="AA1162" t="s">
        <v>8024</v>
      </c>
      <c r="AB1162" t="s">
        <v>7689</v>
      </c>
      <c r="AC1162" t="s">
        <v>8025</v>
      </c>
      <c r="AD1162" t="s">
        <v>8026</v>
      </c>
      <c r="AE1162">
        <v>7437.04</v>
      </c>
      <c r="AF1162" t="s">
        <v>87</v>
      </c>
      <c r="AG1162" t="s">
        <v>666</v>
      </c>
    </row>
    <row r="1163" spans="1:33" hidden="1" x14ac:dyDescent="0.25">
      <c r="A1163">
        <v>25274</v>
      </c>
      <c r="B1163" t="s">
        <v>32</v>
      </c>
      <c r="C1163">
        <v>1</v>
      </c>
      <c r="D1163" t="s">
        <v>10043</v>
      </c>
      <c r="E1163" t="s">
        <v>70</v>
      </c>
      <c r="F1163" t="s">
        <v>33</v>
      </c>
      <c r="G1163" t="s">
        <v>71</v>
      </c>
      <c r="H1163" t="s">
        <v>72</v>
      </c>
      <c r="I1163" t="s">
        <v>10018</v>
      </c>
      <c r="J1163" t="s">
        <v>10044</v>
      </c>
      <c r="K1163" t="s">
        <v>36</v>
      </c>
      <c r="L1163" t="s">
        <v>33</v>
      </c>
      <c r="M1163">
        <v>20602691561</v>
      </c>
      <c r="N1163" t="s">
        <v>10045</v>
      </c>
      <c r="O1163" t="s">
        <v>76</v>
      </c>
      <c r="P1163" t="s">
        <v>38</v>
      </c>
      <c r="Q1163" t="s">
        <v>10046</v>
      </c>
      <c r="R1163" t="s">
        <v>10047</v>
      </c>
      <c r="S1163">
        <v>5200</v>
      </c>
      <c r="T1163" t="s">
        <v>40</v>
      </c>
      <c r="U1163">
        <f>+IF(Tabla1[[#This Row],[MONEDA]]="PEN",Tabla1[[#This Row],[MONTO]],Tabla1[[#This Row],[MONTO]]*3.56)</f>
        <v>5200</v>
      </c>
      <c r="X1163" t="s">
        <v>81</v>
      </c>
      <c r="Y1163" t="s">
        <v>42</v>
      </c>
      <c r="Z1163" t="s">
        <v>43</v>
      </c>
      <c r="AA1163" t="s">
        <v>10048</v>
      </c>
      <c r="AB1163" t="s">
        <v>10049</v>
      </c>
      <c r="AC1163" t="s">
        <v>10050</v>
      </c>
      <c r="AD1163" t="s">
        <v>10051</v>
      </c>
      <c r="AE1163">
        <v>5044</v>
      </c>
      <c r="AF1163" t="s">
        <v>87</v>
      </c>
      <c r="AG1163" t="s">
        <v>169</v>
      </c>
    </row>
    <row r="1164" spans="1:33" hidden="1" x14ac:dyDescent="0.25">
      <c r="A1164">
        <v>35860</v>
      </c>
      <c r="B1164" t="s">
        <v>32</v>
      </c>
      <c r="C1164">
        <v>2</v>
      </c>
      <c r="D1164" t="s">
        <v>4083</v>
      </c>
      <c r="E1164" t="s">
        <v>70</v>
      </c>
      <c r="F1164" t="s">
        <v>33</v>
      </c>
      <c r="G1164" t="s">
        <v>71</v>
      </c>
      <c r="H1164" t="s">
        <v>35</v>
      </c>
      <c r="I1164" t="s">
        <v>4084</v>
      </c>
      <c r="J1164" t="s">
        <v>4085</v>
      </c>
      <c r="K1164" t="s">
        <v>36</v>
      </c>
      <c r="L1164" t="s">
        <v>33</v>
      </c>
      <c r="M1164">
        <v>20349319331</v>
      </c>
      <c r="N1164" t="s">
        <v>4086</v>
      </c>
      <c r="O1164" t="s">
        <v>76</v>
      </c>
      <c r="P1164" t="s">
        <v>38</v>
      </c>
      <c r="Q1164" t="s">
        <v>4087</v>
      </c>
      <c r="R1164" t="s">
        <v>4088</v>
      </c>
      <c r="S1164">
        <v>1586.7</v>
      </c>
      <c r="T1164" t="s">
        <v>40</v>
      </c>
      <c r="U1164">
        <f>+IF(Tabla1[[#This Row],[MONEDA]]="PEN",Tabla1[[#This Row],[MONTO]],Tabla1[[#This Row],[MONTO]]*3.56)</f>
        <v>1586.7</v>
      </c>
      <c r="X1164" t="s">
        <v>81</v>
      </c>
      <c r="Y1164" t="s">
        <v>42</v>
      </c>
      <c r="Z1164" t="s">
        <v>43</v>
      </c>
      <c r="AA1164" t="s">
        <v>4089</v>
      </c>
      <c r="AB1164" t="s">
        <v>4090</v>
      </c>
      <c r="AC1164" t="s">
        <v>4091</v>
      </c>
      <c r="AD1164" t="s">
        <v>4092</v>
      </c>
      <c r="AE1164">
        <v>1586.7</v>
      </c>
      <c r="AF1164" t="s">
        <v>87</v>
      </c>
      <c r="AG1164" t="s">
        <v>169</v>
      </c>
    </row>
    <row r="1165" spans="1:33" hidden="1" x14ac:dyDescent="0.25">
      <c r="A1165">
        <v>21141</v>
      </c>
      <c r="B1165" t="s">
        <v>32</v>
      </c>
      <c r="C1165">
        <v>1</v>
      </c>
      <c r="D1165" t="s">
        <v>12669</v>
      </c>
      <c r="E1165" t="s">
        <v>70</v>
      </c>
      <c r="F1165" t="s">
        <v>33</v>
      </c>
      <c r="G1165" t="s">
        <v>71</v>
      </c>
      <c r="H1165" t="s">
        <v>72</v>
      </c>
      <c r="I1165" t="s">
        <v>12661</v>
      </c>
      <c r="J1165" t="s">
        <v>12670</v>
      </c>
      <c r="K1165" t="s">
        <v>36</v>
      </c>
      <c r="L1165" t="s">
        <v>33</v>
      </c>
      <c r="M1165">
        <v>20539391128</v>
      </c>
      <c r="N1165" t="s">
        <v>12671</v>
      </c>
      <c r="O1165" t="s">
        <v>76</v>
      </c>
      <c r="P1165" t="s">
        <v>38</v>
      </c>
      <c r="Q1165" t="s">
        <v>12672</v>
      </c>
      <c r="R1165" t="s">
        <v>12673</v>
      </c>
      <c r="S1165">
        <v>5432</v>
      </c>
      <c r="T1165" t="s">
        <v>40</v>
      </c>
      <c r="U1165">
        <f>+IF(Tabla1[[#This Row],[MONEDA]]="PEN",Tabla1[[#This Row],[MONTO]],Tabla1[[#This Row],[MONTO]]*3.56)</f>
        <v>5432</v>
      </c>
      <c r="X1165" t="s">
        <v>81</v>
      </c>
      <c r="Y1165" t="s">
        <v>42</v>
      </c>
      <c r="Z1165" t="s">
        <v>43</v>
      </c>
      <c r="AA1165" t="s">
        <v>12674</v>
      </c>
      <c r="AB1165" t="s">
        <v>12675</v>
      </c>
      <c r="AC1165" t="s">
        <v>12676</v>
      </c>
      <c r="AD1165" t="s">
        <v>12677</v>
      </c>
      <c r="AE1165">
        <v>5269.04</v>
      </c>
      <c r="AF1165" t="s">
        <v>87</v>
      </c>
      <c r="AG1165" t="s">
        <v>12184</v>
      </c>
    </row>
    <row r="1166" spans="1:33" hidden="1" x14ac:dyDescent="0.25">
      <c r="A1166">
        <v>41937</v>
      </c>
      <c r="B1166" t="s">
        <v>32</v>
      </c>
      <c r="C1166">
        <v>1</v>
      </c>
      <c r="D1166" t="s">
        <v>1297</v>
      </c>
      <c r="E1166" t="s">
        <v>70</v>
      </c>
      <c r="F1166" t="s">
        <v>33</v>
      </c>
      <c r="G1166" t="s">
        <v>71</v>
      </c>
      <c r="H1166" t="s">
        <v>35</v>
      </c>
      <c r="I1166" t="s">
        <v>1288</v>
      </c>
      <c r="J1166" t="s">
        <v>1298</v>
      </c>
      <c r="K1166" t="s">
        <v>36</v>
      </c>
      <c r="L1166" t="s">
        <v>33</v>
      </c>
      <c r="M1166">
        <v>20608036491</v>
      </c>
      <c r="N1166" t="s">
        <v>1299</v>
      </c>
      <c r="O1166" t="s">
        <v>76</v>
      </c>
      <c r="P1166" t="s">
        <v>38</v>
      </c>
      <c r="Q1166">
        <v>4309927302010</v>
      </c>
      <c r="R1166" t="s">
        <v>1300</v>
      </c>
      <c r="S1166">
        <v>810</v>
      </c>
      <c r="T1166" t="s">
        <v>40</v>
      </c>
      <c r="U1166">
        <f>+IF(Tabla1[[#This Row],[MONEDA]]="PEN",Tabla1[[#This Row],[MONTO]],Tabla1[[#This Row],[MONTO]]*3.56)</f>
        <v>810</v>
      </c>
      <c r="X1166" t="s">
        <v>81</v>
      </c>
      <c r="Y1166" t="s">
        <v>42</v>
      </c>
      <c r="Z1166" t="s">
        <v>82</v>
      </c>
      <c r="AA1166" t="s">
        <v>1301</v>
      </c>
      <c r="AB1166" t="s">
        <v>1302</v>
      </c>
      <c r="AC1166" t="s">
        <v>1303</v>
      </c>
      <c r="AD1166" t="s">
        <v>1304</v>
      </c>
      <c r="AE1166">
        <v>785.7</v>
      </c>
      <c r="AF1166" t="s">
        <v>87</v>
      </c>
      <c r="AG1166" t="s">
        <v>169</v>
      </c>
    </row>
    <row r="1167" spans="1:33" hidden="1" x14ac:dyDescent="0.25">
      <c r="A1167">
        <v>40953</v>
      </c>
      <c r="B1167" t="s">
        <v>32</v>
      </c>
      <c r="C1167">
        <v>1</v>
      </c>
      <c r="D1167" t="s">
        <v>1773</v>
      </c>
      <c r="E1167" t="s">
        <v>70</v>
      </c>
      <c r="F1167" t="s">
        <v>33</v>
      </c>
      <c r="G1167" t="s">
        <v>71</v>
      </c>
      <c r="H1167" t="s">
        <v>35</v>
      </c>
      <c r="I1167" t="s">
        <v>1738</v>
      </c>
      <c r="J1167" t="s">
        <v>1774</v>
      </c>
      <c r="K1167" t="s">
        <v>36</v>
      </c>
      <c r="L1167" t="s">
        <v>33</v>
      </c>
      <c r="M1167">
        <v>20608036491</v>
      </c>
      <c r="N1167" t="s">
        <v>1299</v>
      </c>
      <c r="O1167" t="s">
        <v>76</v>
      </c>
      <c r="P1167" t="s">
        <v>38</v>
      </c>
      <c r="Q1167">
        <v>4309927302010</v>
      </c>
      <c r="R1167" t="s">
        <v>1775</v>
      </c>
      <c r="S1167">
        <v>653</v>
      </c>
      <c r="T1167" t="s">
        <v>40</v>
      </c>
      <c r="U1167">
        <f>+IF(Tabla1[[#This Row],[MONEDA]]="PEN",Tabla1[[#This Row],[MONTO]],Tabla1[[#This Row],[MONTO]]*3.56)</f>
        <v>653</v>
      </c>
      <c r="X1167" t="s">
        <v>81</v>
      </c>
      <c r="Y1167" t="s">
        <v>42</v>
      </c>
      <c r="Z1167" t="s">
        <v>82</v>
      </c>
      <c r="AA1167" t="s">
        <v>1776</v>
      </c>
      <c r="AB1167" t="s">
        <v>1777</v>
      </c>
      <c r="AC1167" t="s">
        <v>1778</v>
      </c>
      <c r="AD1167" t="s">
        <v>1779</v>
      </c>
      <c r="AE1167">
        <v>653</v>
      </c>
      <c r="AF1167" t="s">
        <v>87</v>
      </c>
      <c r="AG1167" t="s">
        <v>169</v>
      </c>
    </row>
    <row r="1168" spans="1:33" hidden="1" x14ac:dyDescent="0.25">
      <c r="A1168">
        <v>35839</v>
      </c>
      <c r="B1168" t="s">
        <v>32</v>
      </c>
      <c r="C1168">
        <v>2</v>
      </c>
      <c r="D1168" t="s">
        <v>4136</v>
      </c>
      <c r="E1168" t="s">
        <v>70</v>
      </c>
      <c r="F1168" t="s">
        <v>33</v>
      </c>
      <c r="G1168" t="s">
        <v>71</v>
      </c>
      <c r="H1168" t="s">
        <v>72</v>
      </c>
      <c r="I1168" t="s">
        <v>4112</v>
      </c>
      <c r="J1168" t="s">
        <v>4137</v>
      </c>
      <c r="K1168" t="s">
        <v>36</v>
      </c>
      <c r="L1168" t="s">
        <v>33</v>
      </c>
      <c r="M1168">
        <v>10012996077</v>
      </c>
      <c r="N1168" t="s">
        <v>4138</v>
      </c>
      <c r="O1168" t="s">
        <v>76</v>
      </c>
      <c r="P1168" t="s">
        <v>38</v>
      </c>
      <c r="Q1168">
        <v>43009443614017</v>
      </c>
      <c r="R1168" t="s">
        <v>4139</v>
      </c>
      <c r="S1168">
        <v>8860</v>
      </c>
      <c r="T1168" t="s">
        <v>40</v>
      </c>
      <c r="U1168">
        <f>+IF(Tabla1[[#This Row],[MONEDA]]="PEN",Tabla1[[#This Row],[MONTO]],Tabla1[[#This Row],[MONTO]]*3.56)</f>
        <v>8860</v>
      </c>
      <c r="X1168" t="s">
        <v>81</v>
      </c>
      <c r="Y1168" t="s">
        <v>42</v>
      </c>
      <c r="Z1168" t="s">
        <v>43</v>
      </c>
      <c r="AA1168" t="s">
        <v>4140</v>
      </c>
      <c r="AB1168" t="s">
        <v>4141</v>
      </c>
      <c r="AC1168" t="s">
        <v>4142</v>
      </c>
      <c r="AD1168" t="s">
        <v>4143</v>
      </c>
      <c r="AE1168">
        <v>8594.2000000000007</v>
      </c>
      <c r="AG1168" t="s">
        <v>169</v>
      </c>
    </row>
    <row r="1169" spans="1:33" hidden="1" x14ac:dyDescent="0.25">
      <c r="A1169">
        <v>33400</v>
      </c>
      <c r="B1169" t="s">
        <v>32</v>
      </c>
      <c r="C1169">
        <v>1</v>
      </c>
      <c r="D1169" t="s">
        <v>4944</v>
      </c>
      <c r="E1169" t="s">
        <v>70</v>
      </c>
      <c r="F1169" t="s">
        <v>33</v>
      </c>
      <c r="G1169" t="s">
        <v>71</v>
      </c>
      <c r="H1169" t="s">
        <v>72</v>
      </c>
      <c r="I1169" t="s">
        <v>4897</v>
      </c>
      <c r="J1169" t="s">
        <v>4945</v>
      </c>
      <c r="K1169" t="s">
        <v>36</v>
      </c>
      <c r="L1169" t="s">
        <v>33</v>
      </c>
      <c r="M1169">
        <v>10012996077</v>
      </c>
      <c r="N1169" t="s">
        <v>4138</v>
      </c>
      <c r="O1169" t="s">
        <v>76</v>
      </c>
      <c r="P1169" t="s">
        <v>38</v>
      </c>
      <c r="Q1169">
        <v>43009443614017</v>
      </c>
      <c r="R1169" t="s">
        <v>4946</v>
      </c>
      <c r="S1169">
        <v>5750</v>
      </c>
      <c r="T1169" t="s">
        <v>40</v>
      </c>
      <c r="U1169">
        <f>+IF(Tabla1[[#This Row],[MONEDA]]="PEN",Tabla1[[#This Row],[MONTO]],Tabla1[[#This Row],[MONTO]]*3.56)</f>
        <v>5750</v>
      </c>
      <c r="X1169" t="s">
        <v>81</v>
      </c>
      <c r="Y1169" t="s">
        <v>42</v>
      </c>
      <c r="Z1169" t="s">
        <v>43</v>
      </c>
      <c r="AA1169" t="s">
        <v>4947</v>
      </c>
      <c r="AB1169" t="s">
        <v>4948</v>
      </c>
      <c r="AC1169" t="s">
        <v>4949</v>
      </c>
      <c r="AD1169" t="s">
        <v>4950</v>
      </c>
      <c r="AE1169">
        <v>5577.5</v>
      </c>
      <c r="AF1169" t="s">
        <v>87</v>
      </c>
      <c r="AG1169" t="s">
        <v>169</v>
      </c>
    </row>
    <row r="1170" spans="1:33" hidden="1" x14ac:dyDescent="0.25">
      <c r="A1170">
        <v>32810</v>
      </c>
      <c r="B1170" t="s">
        <v>32</v>
      </c>
      <c r="C1170">
        <v>1</v>
      </c>
      <c r="D1170" t="s">
        <v>5249</v>
      </c>
      <c r="E1170" t="s">
        <v>70</v>
      </c>
      <c r="F1170" t="s">
        <v>33</v>
      </c>
      <c r="G1170" t="s">
        <v>71</v>
      </c>
      <c r="H1170" t="s">
        <v>72</v>
      </c>
      <c r="I1170" t="s">
        <v>5234</v>
      </c>
      <c r="J1170" t="s">
        <v>5250</v>
      </c>
      <c r="K1170" t="s">
        <v>36</v>
      </c>
      <c r="L1170" t="s">
        <v>33</v>
      </c>
      <c r="M1170">
        <v>10012996077</v>
      </c>
      <c r="N1170" t="s">
        <v>4138</v>
      </c>
      <c r="O1170" t="s">
        <v>76</v>
      </c>
      <c r="P1170" t="s">
        <v>38</v>
      </c>
      <c r="Q1170">
        <v>43009443614017</v>
      </c>
      <c r="R1170" t="s">
        <v>5251</v>
      </c>
      <c r="S1170">
        <v>6500</v>
      </c>
      <c r="T1170" t="s">
        <v>40</v>
      </c>
      <c r="U1170">
        <f>+IF(Tabla1[[#This Row],[MONEDA]]="PEN",Tabla1[[#This Row],[MONTO]],Tabla1[[#This Row],[MONTO]]*3.56)</f>
        <v>6500</v>
      </c>
      <c r="X1170" t="s">
        <v>81</v>
      </c>
      <c r="Y1170" t="s">
        <v>42</v>
      </c>
      <c r="Z1170" t="s">
        <v>43</v>
      </c>
      <c r="AA1170" t="s">
        <v>5252</v>
      </c>
      <c r="AB1170" t="s">
        <v>5253</v>
      </c>
      <c r="AC1170" t="s">
        <v>5254</v>
      </c>
      <c r="AD1170" t="s">
        <v>5255</v>
      </c>
      <c r="AE1170">
        <v>6305</v>
      </c>
      <c r="AF1170" t="s">
        <v>87</v>
      </c>
      <c r="AG1170" t="s">
        <v>169</v>
      </c>
    </row>
    <row r="1171" spans="1:33" hidden="1" x14ac:dyDescent="0.25">
      <c r="A1171">
        <v>35320</v>
      </c>
      <c r="B1171" t="s">
        <v>32</v>
      </c>
      <c r="C1171">
        <v>2</v>
      </c>
      <c r="D1171" t="s">
        <v>4330</v>
      </c>
      <c r="E1171" t="s">
        <v>70</v>
      </c>
      <c r="F1171" t="s">
        <v>33</v>
      </c>
      <c r="G1171" t="s">
        <v>71</v>
      </c>
      <c r="H1171" t="s">
        <v>35</v>
      </c>
      <c r="I1171" t="s">
        <v>4306</v>
      </c>
      <c r="J1171" t="s">
        <v>4331</v>
      </c>
      <c r="K1171" t="s">
        <v>36</v>
      </c>
      <c r="L1171" t="s">
        <v>33</v>
      </c>
      <c r="M1171">
        <v>10802010155</v>
      </c>
      <c r="N1171" t="s">
        <v>4332</v>
      </c>
      <c r="O1171" t="s">
        <v>76</v>
      </c>
      <c r="P1171" t="s">
        <v>38</v>
      </c>
      <c r="Q1171" t="s">
        <v>4333</v>
      </c>
      <c r="R1171" t="s">
        <v>4334</v>
      </c>
      <c r="S1171">
        <v>1800</v>
      </c>
      <c r="T1171" t="s">
        <v>40</v>
      </c>
      <c r="U1171">
        <f>+IF(Tabla1[[#This Row],[MONEDA]]="PEN",Tabla1[[#This Row],[MONTO]],Tabla1[[#This Row],[MONTO]]*3.56)</f>
        <v>1800</v>
      </c>
      <c r="X1171" t="s">
        <v>81</v>
      </c>
      <c r="Y1171" t="s">
        <v>42</v>
      </c>
      <c r="Z1171" t="s">
        <v>82</v>
      </c>
      <c r="AA1171" t="s">
        <v>4335</v>
      </c>
      <c r="AB1171" t="s">
        <v>4336</v>
      </c>
      <c r="AC1171" t="s">
        <v>4337</v>
      </c>
      <c r="AD1171" t="s">
        <v>4338</v>
      </c>
      <c r="AE1171">
        <v>1746</v>
      </c>
      <c r="AF1171" t="s">
        <v>87</v>
      </c>
      <c r="AG1171" t="s">
        <v>169</v>
      </c>
    </row>
    <row r="1172" spans="1:33" hidden="1" x14ac:dyDescent="0.25">
      <c r="A1172">
        <v>33017</v>
      </c>
      <c r="B1172" t="s">
        <v>32</v>
      </c>
      <c r="C1172">
        <v>1</v>
      </c>
      <c r="D1172" t="s">
        <v>5115</v>
      </c>
      <c r="E1172" t="s">
        <v>70</v>
      </c>
      <c r="F1172" t="s">
        <v>33</v>
      </c>
      <c r="G1172" t="s">
        <v>71</v>
      </c>
      <c r="H1172" t="s">
        <v>72</v>
      </c>
      <c r="I1172" t="s">
        <v>5087</v>
      </c>
      <c r="J1172" t="s">
        <v>5116</v>
      </c>
      <c r="K1172" t="s">
        <v>36</v>
      </c>
      <c r="L1172" t="s">
        <v>33</v>
      </c>
      <c r="M1172">
        <v>10802010155</v>
      </c>
      <c r="N1172" t="s">
        <v>4332</v>
      </c>
      <c r="O1172" t="s">
        <v>76</v>
      </c>
      <c r="P1172" t="s">
        <v>38</v>
      </c>
      <c r="Q1172" t="s">
        <v>4333</v>
      </c>
      <c r="R1172" t="s">
        <v>5117</v>
      </c>
      <c r="S1172">
        <v>3776</v>
      </c>
      <c r="T1172" t="s">
        <v>40</v>
      </c>
      <c r="U1172">
        <f>+IF(Tabla1[[#This Row],[MONEDA]]="PEN",Tabla1[[#This Row],[MONTO]],Tabla1[[#This Row],[MONTO]]*3.56)</f>
        <v>3776</v>
      </c>
      <c r="X1172" t="s">
        <v>139</v>
      </c>
      <c r="Y1172" t="s">
        <v>42</v>
      </c>
      <c r="Z1172" t="s">
        <v>82</v>
      </c>
      <c r="AA1172" t="s">
        <v>5118</v>
      </c>
      <c r="AB1172" t="s">
        <v>5119</v>
      </c>
      <c r="AC1172" t="s">
        <v>5120</v>
      </c>
      <c r="AD1172" t="s">
        <v>5121</v>
      </c>
      <c r="AE1172">
        <v>3662.72</v>
      </c>
      <c r="AF1172" t="s">
        <v>87</v>
      </c>
      <c r="AG1172" t="s">
        <v>169</v>
      </c>
    </row>
    <row r="1173" spans="1:33" hidden="1" x14ac:dyDescent="0.25">
      <c r="A1173">
        <v>33019</v>
      </c>
      <c r="B1173" t="s">
        <v>32</v>
      </c>
      <c r="C1173">
        <v>1</v>
      </c>
      <c r="D1173" t="s">
        <v>5136</v>
      </c>
      <c r="E1173" t="s">
        <v>70</v>
      </c>
      <c r="F1173" t="s">
        <v>33</v>
      </c>
      <c r="G1173" t="s">
        <v>71</v>
      </c>
      <c r="H1173" t="s">
        <v>35</v>
      </c>
      <c r="I1173" t="s">
        <v>5137</v>
      </c>
      <c r="J1173" t="s">
        <v>5138</v>
      </c>
      <c r="K1173" t="s">
        <v>36</v>
      </c>
      <c r="L1173" t="s">
        <v>33</v>
      </c>
      <c r="M1173">
        <v>10802010155</v>
      </c>
      <c r="N1173" t="s">
        <v>4332</v>
      </c>
      <c r="O1173" t="s">
        <v>76</v>
      </c>
      <c r="P1173" t="s">
        <v>38</v>
      </c>
      <c r="Q1173" t="s">
        <v>4333</v>
      </c>
      <c r="R1173" t="s">
        <v>5139</v>
      </c>
      <c r="S1173">
        <v>1680</v>
      </c>
      <c r="T1173" t="s">
        <v>40</v>
      </c>
      <c r="U1173">
        <f>+IF(Tabla1[[#This Row],[MONEDA]]="PEN",Tabla1[[#This Row],[MONTO]],Tabla1[[#This Row],[MONTO]]*3.56)</f>
        <v>1680</v>
      </c>
      <c r="X1173" t="s">
        <v>81</v>
      </c>
      <c r="Y1173" t="s">
        <v>42</v>
      </c>
      <c r="Z1173" t="s">
        <v>82</v>
      </c>
      <c r="AA1173" t="s">
        <v>5140</v>
      </c>
      <c r="AB1173" t="s">
        <v>5141</v>
      </c>
      <c r="AC1173" t="s">
        <v>5142</v>
      </c>
      <c r="AD1173" t="s">
        <v>5143</v>
      </c>
      <c r="AE1173">
        <v>1629.6</v>
      </c>
      <c r="AF1173" t="s">
        <v>87</v>
      </c>
      <c r="AG1173" t="s">
        <v>169</v>
      </c>
    </row>
    <row r="1174" spans="1:33" hidden="1" x14ac:dyDescent="0.25">
      <c r="A1174">
        <v>31181</v>
      </c>
      <c r="B1174" t="s">
        <v>32</v>
      </c>
      <c r="C1174">
        <v>1</v>
      </c>
      <c r="D1174" t="s">
        <v>5973</v>
      </c>
      <c r="E1174" t="s">
        <v>70</v>
      </c>
      <c r="F1174" t="s">
        <v>33</v>
      </c>
      <c r="G1174" t="s">
        <v>71</v>
      </c>
      <c r="H1174" t="s">
        <v>72</v>
      </c>
      <c r="I1174" t="s">
        <v>5965</v>
      </c>
      <c r="J1174" t="s">
        <v>5974</v>
      </c>
      <c r="K1174" t="s">
        <v>36</v>
      </c>
      <c r="L1174" t="s">
        <v>33</v>
      </c>
      <c r="M1174">
        <v>10802010155</v>
      </c>
      <c r="N1174" t="s">
        <v>4332</v>
      </c>
      <c r="O1174" t="s">
        <v>76</v>
      </c>
      <c r="P1174" t="s">
        <v>38</v>
      </c>
      <c r="Q1174" t="s">
        <v>4333</v>
      </c>
      <c r="R1174" t="s">
        <v>5975</v>
      </c>
      <c r="S1174">
        <v>3660</v>
      </c>
      <c r="T1174" t="s">
        <v>40</v>
      </c>
      <c r="U1174">
        <f>+IF(Tabla1[[#This Row],[MONEDA]]="PEN",Tabla1[[#This Row],[MONTO]],Tabla1[[#This Row],[MONTO]]*3.56)</f>
        <v>3660</v>
      </c>
      <c r="X1174" t="s">
        <v>81</v>
      </c>
      <c r="Y1174" t="s">
        <v>42</v>
      </c>
      <c r="Z1174" t="s">
        <v>43</v>
      </c>
      <c r="AA1174" t="s">
        <v>5976</v>
      </c>
      <c r="AB1174" t="s">
        <v>5977</v>
      </c>
      <c r="AC1174" t="s">
        <v>5978</v>
      </c>
      <c r="AD1174" t="s">
        <v>5979</v>
      </c>
      <c r="AE1174">
        <v>3550.2</v>
      </c>
      <c r="AF1174" t="s">
        <v>87</v>
      </c>
      <c r="AG1174" t="s">
        <v>169</v>
      </c>
    </row>
    <row r="1175" spans="1:33" hidden="1" x14ac:dyDescent="0.25">
      <c r="A1175">
        <v>29980</v>
      </c>
      <c r="B1175" t="s">
        <v>32</v>
      </c>
      <c r="C1175">
        <v>2</v>
      </c>
      <c r="D1175" t="s">
        <v>6343</v>
      </c>
      <c r="E1175" t="s">
        <v>70</v>
      </c>
      <c r="F1175" t="s">
        <v>33</v>
      </c>
      <c r="G1175" t="s">
        <v>71</v>
      </c>
      <c r="H1175" t="s">
        <v>72</v>
      </c>
      <c r="I1175" t="s">
        <v>6344</v>
      </c>
      <c r="J1175" t="s">
        <v>6345</v>
      </c>
      <c r="K1175" t="s">
        <v>36</v>
      </c>
      <c r="L1175" t="s">
        <v>33</v>
      </c>
      <c r="M1175">
        <v>10802010155</v>
      </c>
      <c r="N1175" t="s">
        <v>4332</v>
      </c>
      <c r="O1175" t="s">
        <v>76</v>
      </c>
      <c r="P1175" t="s">
        <v>38</v>
      </c>
      <c r="Q1175" t="s">
        <v>4333</v>
      </c>
      <c r="R1175" t="s">
        <v>6346</v>
      </c>
      <c r="S1175">
        <v>3360</v>
      </c>
      <c r="T1175" t="s">
        <v>40</v>
      </c>
      <c r="U1175">
        <f>+IF(Tabla1[[#This Row],[MONEDA]]="PEN",Tabla1[[#This Row],[MONTO]],Tabla1[[#This Row],[MONTO]]*3.56)</f>
        <v>3360</v>
      </c>
      <c r="X1175" t="s">
        <v>81</v>
      </c>
      <c r="Y1175" t="s">
        <v>42</v>
      </c>
      <c r="Z1175" t="s">
        <v>43</v>
      </c>
      <c r="AA1175" t="s">
        <v>6347</v>
      </c>
      <c r="AB1175" t="s">
        <v>6348</v>
      </c>
      <c r="AC1175" t="s">
        <v>6349</v>
      </c>
      <c r="AD1175" t="s">
        <v>6350</v>
      </c>
      <c r="AE1175">
        <v>3259.2</v>
      </c>
      <c r="AF1175" t="s">
        <v>87</v>
      </c>
      <c r="AG1175" t="s">
        <v>169</v>
      </c>
    </row>
    <row r="1176" spans="1:33" hidden="1" x14ac:dyDescent="0.25">
      <c r="A1176">
        <v>28985</v>
      </c>
      <c r="B1176" t="s">
        <v>32</v>
      </c>
      <c r="C1176">
        <v>1</v>
      </c>
      <c r="D1176" t="s">
        <v>7329</v>
      </c>
      <c r="E1176" t="s">
        <v>70</v>
      </c>
      <c r="F1176" t="s">
        <v>33</v>
      </c>
      <c r="G1176" t="s">
        <v>71</v>
      </c>
      <c r="H1176" t="s">
        <v>72</v>
      </c>
      <c r="I1176" t="s">
        <v>7315</v>
      </c>
      <c r="J1176" t="s">
        <v>7330</v>
      </c>
      <c r="K1176" t="s">
        <v>36</v>
      </c>
      <c r="L1176" t="s">
        <v>33</v>
      </c>
      <c r="M1176">
        <v>10802010155</v>
      </c>
      <c r="N1176" t="s">
        <v>4332</v>
      </c>
      <c r="O1176" t="s">
        <v>76</v>
      </c>
      <c r="P1176" t="s">
        <v>38</v>
      </c>
      <c r="Q1176" t="s">
        <v>4333</v>
      </c>
      <c r="R1176" t="s">
        <v>7331</v>
      </c>
      <c r="S1176">
        <v>1587.5</v>
      </c>
      <c r="T1176" t="s">
        <v>40</v>
      </c>
      <c r="U1176">
        <f>+IF(Tabla1[[#This Row],[MONEDA]]="PEN",Tabla1[[#This Row],[MONTO]],Tabla1[[#This Row],[MONTO]]*3.56)</f>
        <v>1587.5</v>
      </c>
      <c r="X1176" t="s">
        <v>81</v>
      </c>
      <c r="Y1176" t="s">
        <v>42</v>
      </c>
      <c r="Z1176" t="s">
        <v>43</v>
      </c>
      <c r="AA1176" t="s">
        <v>7332</v>
      </c>
      <c r="AB1176" t="s">
        <v>7333</v>
      </c>
      <c r="AC1176" t="s">
        <v>7334</v>
      </c>
      <c r="AD1176" t="s">
        <v>7335</v>
      </c>
      <c r="AE1176">
        <v>1539.88</v>
      </c>
      <c r="AF1176" t="s">
        <v>87</v>
      </c>
      <c r="AG1176" t="s">
        <v>169</v>
      </c>
    </row>
    <row r="1177" spans="1:33" hidden="1" x14ac:dyDescent="0.25">
      <c r="A1177">
        <v>27540</v>
      </c>
      <c r="B1177" t="s">
        <v>32</v>
      </c>
      <c r="C1177">
        <v>2</v>
      </c>
      <c r="D1177" t="s">
        <v>8319</v>
      </c>
      <c r="E1177" t="s">
        <v>70</v>
      </c>
      <c r="F1177" t="s">
        <v>33</v>
      </c>
      <c r="G1177" t="s">
        <v>71</v>
      </c>
      <c r="H1177" t="s">
        <v>72</v>
      </c>
      <c r="I1177" t="s">
        <v>8311</v>
      </c>
      <c r="J1177" t="s">
        <v>8320</v>
      </c>
      <c r="K1177" t="s">
        <v>36</v>
      </c>
      <c r="L1177" t="s">
        <v>33</v>
      </c>
      <c r="M1177">
        <v>10802010155</v>
      </c>
      <c r="N1177" t="s">
        <v>4332</v>
      </c>
      <c r="O1177" t="s">
        <v>76</v>
      </c>
      <c r="P1177" t="s">
        <v>38</v>
      </c>
      <c r="Q1177" t="s">
        <v>4333</v>
      </c>
      <c r="R1177" t="s">
        <v>8321</v>
      </c>
      <c r="S1177">
        <v>3830</v>
      </c>
      <c r="T1177" t="s">
        <v>40</v>
      </c>
      <c r="U1177">
        <f>+IF(Tabla1[[#This Row],[MONEDA]]="PEN",Tabla1[[#This Row],[MONTO]],Tabla1[[#This Row],[MONTO]]*3.56)</f>
        <v>3830</v>
      </c>
      <c r="X1177" t="s">
        <v>81</v>
      </c>
      <c r="Y1177" t="s">
        <v>42</v>
      </c>
      <c r="Z1177" t="s">
        <v>43</v>
      </c>
      <c r="AA1177" t="s">
        <v>8322</v>
      </c>
      <c r="AB1177" t="s">
        <v>8323</v>
      </c>
      <c r="AC1177" t="s">
        <v>8324</v>
      </c>
      <c r="AD1177" t="s">
        <v>8325</v>
      </c>
      <c r="AE1177">
        <v>3715.1</v>
      </c>
      <c r="AF1177" t="s">
        <v>87</v>
      </c>
      <c r="AG1177" t="s">
        <v>169</v>
      </c>
    </row>
    <row r="1178" spans="1:33" x14ac:dyDescent="0.25">
      <c r="A1178">
        <v>45252</v>
      </c>
      <c r="B1178" t="s">
        <v>32</v>
      </c>
      <c r="C1178">
        <v>1</v>
      </c>
      <c r="D1178" t="s">
        <v>310</v>
      </c>
      <c r="E1178" t="s">
        <v>45</v>
      </c>
      <c r="F1178" t="s">
        <v>90</v>
      </c>
      <c r="G1178" t="s">
        <v>91</v>
      </c>
      <c r="H1178" t="s">
        <v>35</v>
      </c>
      <c r="I1178" t="s">
        <v>275</v>
      </c>
      <c r="J1178" t="s">
        <v>311</v>
      </c>
      <c r="K1178" t="s">
        <v>36</v>
      </c>
      <c r="L1178" t="s">
        <v>33</v>
      </c>
      <c r="M1178">
        <v>20608735136</v>
      </c>
      <c r="N1178" t="s">
        <v>312</v>
      </c>
      <c r="P1178" t="s">
        <v>77</v>
      </c>
      <c r="Q1178" t="s">
        <v>313</v>
      </c>
      <c r="R1178" t="s">
        <v>314</v>
      </c>
      <c r="S1178">
        <v>3953</v>
      </c>
      <c r="T1178" t="s">
        <v>80</v>
      </c>
      <c r="U1178">
        <f>+IF(Tabla1[[#This Row],[MONEDA]]="PEN",Tabla1[[#This Row],[MONTO]],Tabla1[[#This Row],[MONTO]]*3.56)</f>
        <v>14072.68</v>
      </c>
      <c r="X1178" t="s">
        <v>41</v>
      </c>
      <c r="Y1178" t="s">
        <v>51</v>
      </c>
      <c r="Z1178" t="s">
        <v>43</v>
      </c>
      <c r="AB1178" t="s">
        <v>315</v>
      </c>
    </row>
    <row r="1179" spans="1:33" hidden="1" x14ac:dyDescent="0.25">
      <c r="A1179">
        <v>36773</v>
      </c>
      <c r="B1179" t="s">
        <v>32</v>
      </c>
      <c r="C1179">
        <v>2</v>
      </c>
      <c r="D1179" t="s">
        <v>3626</v>
      </c>
      <c r="E1179" t="s">
        <v>70</v>
      </c>
      <c r="F1179" t="s">
        <v>33</v>
      </c>
      <c r="G1179" t="s">
        <v>71</v>
      </c>
      <c r="H1179" t="s">
        <v>35</v>
      </c>
      <c r="I1179" t="s">
        <v>3627</v>
      </c>
      <c r="J1179" t="s">
        <v>3628</v>
      </c>
      <c r="K1179" t="s">
        <v>36</v>
      </c>
      <c r="L1179" t="s">
        <v>33</v>
      </c>
      <c r="M1179">
        <v>20378890161</v>
      </c>
      <c r="N1179" t="s">
        <v>3629</v>
      </c>
      <c r="O1179" t="s">
        <v>76</v>
      </c>
      <c r="P1179" t="s">
        <v>38</v>
      </c>
      <c r="Q1179" t="s">
        <v>3630</v>
      </c>
      <c r="R1179" t="s">
        <v>3631</v>
      </c>
      <c r="S1179">
        <v>818</v>
      </c>
      <c r="T1179" t="s">
        <v>40</v>
      </c>
      <c r="U1179">
        <f>+IF(Tabla1[[#This Row],[MONEDA]]="PEN",Tabla1[[#This Row],[MONTO]],Tabla1[[#This Row],[MONTO]]*3.56)</f>
        <v>818</v>
      </c>
      <c r="X1179" t="s">
        <v>81</v>
      </c>
      <c r="Y1179" t="s">
        <v>42</v>
      </c>
      <c r="Z1179" t="s">
        <v>82</v>
      </c>
      <c r="AA1179" t="s">
        <v>3632</v>
      </c>
      <c r="AB1179" t="s">
        <v>3633</v>
      </c>
      <c r="AC1179" t="s">
        <v>3634</v>
      </c>
      <c r="AD1179" t="s">
        <v>3635</v>
      </c>
      <c r="AE1179">
        <v>818</v>
      </c>
      <c r="AG1179" t="s">
        <v>169</v>
      </c>
    </row>
    <row r="1180" spans="1:33" hidden="1" x14ac:dyDescent="0.25">
      <c r="A1180">
        <v>21618</v>
      </c>
      <c r="B1180" t="s">
        <v>32</v>
      </c>
      <c r="C1180">
        <v>1</v>
      </c>
      <c r="D1180" t="s">
        <v>12340</v>
      </c>
      <c r="E1180" t="s">
        <v>70</v>
      </c>
      <c r="F1180" t="s">
        <v>33</v>
      </c>
      <c r="G1180" t="s">
        <v>71</v>
      </c>
      <c r="H1180" t="s">
        <v>72</v>
      </c>
      <c r="I1180" t="s">
        <v>12320</v>
      </c>
      <c r="J1180" t="s">
        <v>12341</v>
      </c>
      <c r="K1180" t="s">
        <v>36</v>
      </c>
      <c r="L1180" t="s">
        <v>33</v>
      </c>
      <c r="M1180">
        <v>20378890161</v>
      </c>
      <c r="N1180" t="s">
        <v>3629</v>
      </c>
      <c r="O1180" t="s">
        <v>76</v>
      </c>
      <c r="P1180" t="s">
        <v>38</v>
      </c>
      <c r="Q1180" t="s">
        <v>3630</v>
      </c>
      <c r="R1180" t="s">
        <v>12342</v>
      </c>
      <c r="S1180">
        <v>559.6</v>
      </c>
      <c r="T1180" t="s">
        <v>40</v>
      </c>
      <c r="U1180">
        <f>+IF(Tabla1[[#This Row],[MONEDA]]="PEN",Tabla1[[#This Row],[MONTO]],Tabla1[[#This Row],[MONTO]]*3.56)</f>
        <v>559.6</v>
      </c>
      <c r="X1180" t="s">
        <v>828</v>
      </c>
      <c r="Y1180" t="s">
        <v>42</v>
      </c>
      <c r="Z1180" t="s">
        <v>43</v>
      </c>
      <c r="AA1180" t="s">
        <v>12343</v>
      </c>
      <c r="AB1180" t="s">
        <v>12344</v>
      </c>
      <c r="AC1180" t="s">
        <v>12345</v>
      </c>
      <c r="AD1180" t="s">
        <v>12346</v>
      </c>
      <c r="AE1180">
        <v>559.6</v>
      </c>
      <c r="AF1180" t="s">
        <v>87</v>
      </c>
      <c r="AG1180" t="s">
        <v>169</v>
      </c>
    </row>
    <row r="1181" spans="1:33" hidden="1" x14ac:dyDescent="0.25">
      <c r="A1181">
        <v>44831</v>
      </c>
      <c r="B1181" t="s">
        <v>32</v>
      </c>
      <c r="C1181">
        <v>1</v>
      </c>
      <c r="D1181" t="s">
        <v>484</v>
      </c>
      <c r="E1181" t="s">
        <v>70</v>
      </c>
      <c r="F1181" t="s">
        <v>33</v>
      </c>
      <c r="G1181" t="s">
        <v>71</v>
      </c>
      <c r="H1181" t="s">
        <v>72</v>
      </c>
      <c r="I1181" t="s">
        <v>485</v>
      </c>
      <c r="J1181" t="s">
        <v>486</v>
      </c>
      <c r="K1181" t="s">
        <v>36</v>
      </c>
      <c r="L1181" t="s">
        <v>33</v>
      </c>
      <c r="M1181">
        <v>20532691924</v>
      </c>
      <c r="N1181" t="s">
        <v>487</v>
      </c>
      <c r="O1181" t="s">
        <v>76</v>
      </c>
      <c r="P1181" t="s">
        <v>77</v>
      </c>
      <c r="Q1181" t="s">
        <v>488</v>
      </c>
      <c r="R1181" t="s">
        <v>489</v>
      </c>
      <c r="S1181">
        <v>2935</v>
      </c>
      <c r="T1181" t="s">
        <v>80</v>
      </c>
      <c r="U1181">
        <f>+IF(Tabla1[[#This Row],[MONEDA]]="PEN",Tabla1[[#This Row],[MONTO]],Tabla1[[#This Row],[MONTO]]*3.56)</f>
        <v>10448.6</v>
      </c>
      <c r="X1181" t="s">
        <v>41</v>
      </c>
      <c r="Y1181" t="s">
        <v>51</v>
      </c>
      <c r="Z1181" t="s">
        <v>43</v>
      </c>
      <c r="AA1181" t="s">
        <v>490</v>
      </c>
      <c r="AB1181" t="s">
        <v>491</v>
      </c>
      <c r="AC1181" t="s">
        <v>492</v>
      </c>
      <c r="AE1181">
        <v>3047.7</v>
      </c>
      <c r="AF1181" t="s">
        <v>87</v>
      </c>
      <c r="AG1181" t="s">
        <v>88</v>
      </c>
    </row>
    <row r="1182" spans="1:33" x14ac:dyDescent="0.25">
      <c r="A1182">
        <v>29243</v>
      </c>
      <c r="B1182" t="s">
        <v>32</v>
      </c>
      <c r="C1182">
        <v>1</v>
      </c>
      <c r="D1182" t="s">
        <v>7033</v>
      </c>
      <c r="E1182" t="s">
        <v>70</v>
      </c>
      <c r="F1182" t="s">
        <v>5328</v>
      </c>
      <c r="G1182" t="s">
        <v>5329</v>
      </c>
      <c r="H1182" t="s">
        <v>72</v>
      </c>
      <c r="I1182" t="s">
        <v>7012</v>
      </c>
      <c r="J1182" t="s">
        <v>7034</v>
      </c>
      <c r="K1182" t="s">
        <v>36</v>
      </c>
      <c r="L1182" t="s">
        <v>33</v>
      </c>
      <c r="M1182">
        <v>20532691924</v>
      </c>
      <c r="N1182" t="s">
        <v>487</v>
      </c>
      <c r="O1182" t="s">
        <v>6159</v>
      </c>
      <c r="P1182" t="s">
        <v>38</v>
      </c>
      <c r="Q1182">
        <v>4302277203083</v>
      </c>
      <c r="R1182" t="s">
        <v>7035</v>
      </c>
      <c r="S1182">
        <v>295</v>
      </c>
      <c r="T1182" t="s">
        <v>40</v>
      </c>
      <c r="U1182">
        <f>+IF(Tabla1[[#This Row],[MONEDA]]="PEN",Tabla1[[#This Row],[MONTO]],Tabla1[[#This Row],[MONTO]]*3.56)</f>
        <v>295</v>
      </c>
      <c r="X1182" t="s">
        <v>81</v>
      </c>
      <c r="Y1182" t="s">
        <v>42</v>
      </c>
      <c r="Z1182" t="s">
        <v>43</v>
      </c>
      <c r="AA1182" t="s">
        <v>7036</v>
      </c>
      <c r="AB1182" t="s">
        <v>7037</v>
      </c>
      <c r="AC1182" t="s">
        <v>7038</v>
      </c>
      <c r="AD1182" t="s">
        <v>7039</v>
      </c>
      <c r="AE1182">
        <v>295</v>
      </c>
      <c r="AF1182" t="s">
        <v>87</v>
      </c>
      <c r="AG1182" t="s">
        <v>169</v>
      </c>
    </row>
    <row r="1183" spans="1:33" hidden="1" x14ac:dyDescent="0.25">
      <c r="A1183">
        <v>42742</v>
      </c>
      <c r="B1183" t="s">
        <v>32</v>
      </c>
      <c r="C1183">
        <v>2</v>
      </c>
      <c r="D1183" t="s">
        <v>1014</v>
      </c>
      <c r="E1183" t="s">
        <v>70</v>
      </c>
      <c r="F1183" t="s">
        <v>33</v>
      </c>
      <c r="G1183" t="s">
        <v>71</v>
      </c>
      <c r="H1183" t="s">
        <v>72</v>
      </c>
      <c r="I1183" t="s">
        <v>1015</v>
      </c>
      <c r="J1183" t="s">
        <v>1016</v>
      </c>
      <c r="K1183" t="s">
        <v>36</v>
      </c>
      <c r="L1183" t="s">
        <v>33</v>
      </c>
      <c r="M1183">
        <v>20603429321</v>
      </c>
      <c r="N1183" t="s">
        <v>1017</v>
      </c>
      <c r="O1183" t="s">
        <v>76</v>
      </c>
      <c r="P1183" t="s">
        <v>77</v>
      </c>
      <c r="Q1183" t="s">
        <v>1018</v>
      </c>
      <c r="R1183" t="s">
        <v>1019</v>
      </c>
      <c r="S1183">
        <v>644.28</v>
      </c>
      <c r="T1183" t="s">
        <v>80</v>
      </c>
      <c r="U1183">
        <f>+IF(Tabla1[[#This Row],[MONEDA]]="PEN",Tabla1[[#This Row],[MONTO]],Tabla1[[#This Row],[MONTO]]*3.56)</f>
        <v>2293.6367999999998</v>
      </c>
      <c r="X1183" t="s">
        <v>81</v>
      </c>
      <c r="Y1183" t="s">
        <v>42</v>
      </c>
      <c r="Z1183" t="s">
        <v>82</v>
      </c>
      <c r="AA1183" t="s">
        <v>1020</v>
      </c>
      <c r="AB1183" t="s">
        <v>1021</v>
      </c>
      <c r="AC1183" t="s">
        <v>1022</v>
      </c>
      <c r="AD1183" t="s">
        <v>1023</v>
      </c>
      <c r="AE1183">
        <v>644.28</v>
      </c>
      <c r="AF1183" t="s">
        <v>87</v>
      </c>
      <c r="AG1183" t="s">
        <v>88</v>
      </c>
    </row>
    <row r="1184" spans="1:33" hidden="1" x14ac:dyDescent="0.25">
      <c r="A1184">
        <v>42430</v>
      </c>
      <c r="B1184" t="s">
        <v>32</v>
      </c>
      <c r="C1184">
        <v>1</v>
      </c>
      <c r="D1184" t="s">
        <v>1221</v>
      </c>
      <c r="E1184" t="s">
        <v>70</v>
      </c>
      <c r="F1184" t="s">
        <v>33</v>
      </c>
      <c r="G1184" t="s">
        <v>71</v>
      </c>
      <c r="H1184" t="s">
        <v>35</v>
      </c>
      <c r="I1184" t="s">
        <v>1120</v>
      </c>
      <c r="J1184" t="s">
        <v>1222</v>
      </c>
      <c r="K1184" t="s">
        <v>36</v>
      </c>
      <c r="L1184" t="s">
        <v>33</v>
      </c>
      <c r="M1184">
        <v>20603429321</v>
      </c>
      <c r="N1184" t="s">
        <v>1017</v>
      </c>
      <c r="O1184" t="s">
        <v>76</v>
      </c>
      <c r="P1184" t="s">
        <v>77</v>
      </c>
      <c r="Q1184" t="s">
        <v>1018</v>
      </c>
      <c r="R1184" t="s">
        <v>1223</v>
      </c>
      <c r="S1184">
        <v>151.04</v>
      </c>
      <c r="T1184" t="s">
        <v>80</v>
      </c>
      <c r="U1184">
        <f>+IF(Tabla1[[#This Row],[MONEDA]]="PEN",Tabla1[[#This Row],[MONTO]],Tabla1[[#This Row],[MONTO]]*3.56)</f>
        <v>537.70240000000001</v>
      </c>
      <c r="X1184" t="s">
        <v>81</v>
      </c>
      <c r="Y1184" t="s">
        <v>42</v>
      </c>
      <c r="Z1184" t="s">
        <v>82</v>
      </c>
      <c r="AA1184" t="s">
        <v>1224</v>
      </c>
      <c r="AB1184" t="s">
        <v>1225</v>
      </c>
      <c r="AC1184" t="s">
        <v>1226</v>
      </c>
      <c r="AD1184" t="s">
        <v>1227</v>
      </c>
      <c r="AE1184">
        <v>151.04</v>
      </c>
      <c r="AF1184" t="s">
        <v>87</v>
      </c>
      <c r="AG1184" t="s">
        <v>88</v>
      </c>
    </row>
    <row r="1185" spans="1:33" hidden="1" x14ac:dyDescent="0.25">
      <c r="A1185">
        <v>41028</v>
      </c>
      <c r="B1185" t="s">
        <v>32</v>
      </c>
      <c r="C1185">
        <v>2</v>
      </c>
      <c r="D1185" t="s">
        <v>1654</v>
      </c>
      <c r="E1185" t="s">
        <v>70</v>
      </c>
      <c r="F1185" t="s">
        <v>33</v>
      </c>
      <c r="G1185" t="s">
        <v>71</v>
      </c>
      <c r="H1185" t="s">
        <v>72</v>
      </c>
      <c r="I1185" t="s">
        <v>1655</v>
      </c>
      <c r="J1185" t="s">
        <v>1656</v>
      </c>
      <c r="K1185" t="s">
        <v>36</v>
      </c>
      <c r="L1185" t="s">
        <v>33</v>
      </c>
      <c r="M1185">
        <v>20603429321</v>
      </c>
      <c r="N1185" t="s">
        <v>1017</v>
      </c>
      <c r="O1185" t="s">
        <v>76</v>
      </c>
      <c r="P1185" t="s">
        <v>77</v>
      </c>
      <c r="Q1185" t="s">
        <v>1018</v>
      </c>
      <c r="R1185" t="s">
        <v>1657</v>
      </c>
      <c r="S1185">
        <v>750.48</v>
      </c>
      <c r="T1185" t="s">
        <v>80</v>
      </c>
      <c r="U1185">
        <f>+IF(Tabla1[[#This Row],[MONEDA]]="PEN",Tabla1[[#This Row],[MONTO]],Tabla1[[#This Row],[MONTO]]*3.56)</f>
        <v>2671.7087999999999</v>
      </c>
      <c r="X1185" t="s">
        <v>81</v>
      </c>
      <c r="Y1185" t="s">
        <v>42</v>
      </c>
      <c r="Z1185" t="s">
        <v>82</v>
      </c>
      <c r="AA1185" t="s">
        <v>1658</v>
      </c>
      <c r="AB1185" t="s">
        <v>1659</v>
      </c>
      <c r="AC1185" t="s">
        <v>1660</v>
      </c>
      <c r="AD1185" t="s">
        <v>1661</v>
      </c>
      <c r="AE1185">
        <v>750.48</v>
      </c>
      <c r="AF1185" t="s">
        <v>87</v>
      </c>
      <c r="AG1185" t="s">
        <v>88</v>
      </c>
    </row>
    <row r="1186" spans="1:33" hidden="1" x14ac:dyDescent="0.25">
      <c r="A1186">
        <v>40095</v>
      </c>
      <c r="B1186" t="s">
        <v>32</v>
      </c>
      <c r="C1186">
        <v>1</v>
      </c>
      <c r="D1186" t="s">
        <v>2203</v>
      </c>
      <c r="E1186" t="s">
        <v>70</v>
      </c>
      <c r="F1186" t="s">
        <v>33</v>
      </c>
      <c r="G1186" t="s">
        <v>71</v>
      </c>
      <c r="H1186" t="s">
        <v>35</v>
      </c>
      <c r="I1186" t="s">
        <v>2204</v>
      </c>
      <c r="J1186" t="s">
        <v>2205</v>
      </c>
      <c r="K1186" t="s">
        <v>36</v>
      </c>
      <c r="L1186" t="s">
        <v>33</v>
      </c>
      <c r="M1186">
        <v>20603429321</v>
      </c>
      <c r="N1186" t="s">
        <v>1017</v>
      </c>
      <c r="O1186" t="s">
        <v>76</v>
      </c>
      <c r="P1186" t="s">
        <v>77</v>
      </c>
      <c r="Q1186" t="s">
        <v>1018</v>
      </c>
      <c r="R1186" t="s">
        <v>2206</v>
      </c>
      <c r="S1186">
        <v>149.86000000000001</v>
      </c>
      <c r="T1186" t="s">
        <v>80</v>
      </c>
      <c r="U1186">
        <f>+IF(Tabla1[[#This Row],[MONEDA]]="PEN",Tabla1[[#This Row],[MONTO]],Tabla1[[#This Row],[MONTO]]*3.56)</f>
        <v>533.50160000000005</v>
      </c>
      <c r="X1186" t="s">
        <v>81</v>
      </c>
      <c r="Y1186" t="s">
        <v>42</v>
      </c>
      <c r="Z1186" t="s">
        <v>82</v>
      </c>
      <c r="AA1186" t="s">
        <v>2207</v>
      </c>
      <c r="AB1186" t="s">
        <v>2208</v>
      </c>
      <c r="AC1186" t="s">
        <v>2209</v>
      </c>
      <c r="AD1186" t="s">
        <v>2210</v>
      </c>
      <c r="AE1186">
        <v>149.86000000000001</v>
      </c>
      <c r="AF1186" t="s">
        <v>87</v>
      </c>
      <c r="AG1186" t="s">
        <v>88</v>
      </c>
    </row>
    <row r="1187" spans="1:33" hidden="1" x14ac:dyDescent="0.25">
      <c r="A1187">
        <v>38346</v>
      </c>
      <c r="B1187" t="s">
        <v>32</v>
      </c>
      <c r="C1187">
        <v>1</v>
      </c>
      <c r="D1187" t="s">
        <v>2952</v>
      </c>
      <c r="E1187" t="s">
        <v>70</v>
      </c>
      <c r="F1187" t="s">
        <v>33</v>
      </c>
      <c r="G1187" t="s">
        <v>71</v>
      </c>
      <c r="H1187" t="s">
        <v>35</v>
      </c>
      <c r="I1187" t="s">
        <v>2953</v>
      </c>
      <c r="J1187" t="s">
        <v>2954</v>
      </c>
      <c r="K1187" t="s">
        <v>36</v>
      </c>
      <c r="L1187" t="s">
        <v>33</v>
      </c>
      <c r="M1187">
        <v>20603429321</v>
      </c>
      <c r="N1187" t="s">
        <v>1017</v>
      </c>
      <c r="O1187" t="s">
        <v>76</v>
      </c>
      <c r="P1187" t="s">
        <v>77</v>
      </c>
      <c r="Q1187" t="s">
        <v>1018</v>
      </c>
      <c r="R1187" t="s">
        <v>2955</v>
      </c>
      <c r="S1187">
        <v>680.86</v>
      </c>
      <c r="T1187" t="s">
        <v>80</v>
      </c>
      <c r="U1187">
        <f>+IF(Tabla1[[#This Row],[MONEDA]]="PEN",Tabla1[[#This Row],[MONTO]],Tabla1[[#This Row],[MONTO]]*3.56)</f>
        <v>2423.8616000000002</v>
      </c>
      <c r="X1187" t="s">
        <v>81</v>
      </c>
      <c r="Y1187" t="s">
        <v>42</v>
      </c>
      <c r="Z1187" t="s">
        <v>82</v>
      </c>
      <c r="AA1187" t="s">
        <v>2956</v>
      </c>
      <c r="AB1187" t="s">
        <v>2957</v>
      </c>
      <c r="AC1187" t="s">
        <v>2958</v>
      </c>
      <c r="AD1187" t="s">
        <v>2959</v>
      </c>
      <c r="AE1187">
        <v>680.86</v>
      </c>
      <c r="AF1187" t="s">
        <v>87</v>
      </c>
      <c r="AG1187" t="s">
        <v>88</v>
      </c>
    </row>
    <row r="1188" spans="1:33" hidden="1" x14ac:dyDescent="0.25">
      <c r="A1188">
        <v>36978</v>
      </c>
      <c r="B1188" t="s">
        <v>32</v>
      </c>
      <c r="C1188">
        <v>1</v>
      </c>
      <c r="D1188" t="s">
        <v>3596</v>
      </c>
      <c r="E1188" t="s">
        <v>70</v>
      </c>
      <c r="F1188" t="s">
        <v>33</v>
      </c>
      <c r="G1188" t="s">
        <v>71</v>
      </c>
      <c r="H1188" t="s">
        <v>35</v>
      </c>
      <c r="I1188" t="s">
        <v>3561</v>
      </c>
      <c r="J1188" t="s">
        <v>3597</v>
      </c>
      <c r="K1188" t="s">
        <v>36</v>
      </c>
      <c r="L1188" t="s">
        <v>33</v>
      </c>
      <c r="M1188">
        <v>20603429321</v>
      </c>
      <c r="N1188" t="s">
        <v>1017</v>
      </c>
      <c r="O1188" t="s">
        <v>76</v>
      </c>
      <c r="P1188" t="s">
        <v>77</v>
      </c>
      <c r="Q1188" t="s">
        <v>1018</v>
      </c>
      <c r="R1188" t="s">
        <v>3598</v>
      </c>
      <c r="S1188">
        <v>208.86</v>
      </c>
      <c r="T1188" t="s">
        <v>80</v>
      </c>
      <c r="U1188">
        <f>+IF(Tabla1[[#This Row],[MONEDA]]="PEN",Tabla1[[#This Row],[MONTO]],Tabla1[[#This Row],[MONTO]]*3.56)</f>
        <v>743.54160000000002</v>
      </c>
      <c r="X1188" t="s">
        <v>81</v>
      </c>
      <c r="Y1188" t="s">
        <v>42</v>
      </c>
      <c r="Z1188" t="s">
        <v>82</v>
      </c>
      <c r="AA1188" t="s">
        <v>3599</v>
      </c>
      <c r="AB1188" t="s">
        <v>3600</v>
      </c>
      <c r="AC1188" t="s">
        <v>3601</v>
      </c>
      <c r="AD1188" t="s">
        <v>3602</v>
      </c>
      <c r="AE1188">
        <v>208.86</v>
      </c>
      <c r="AG1188" t="s">
        <v>88</v>
      </c>
    </row>
    <row r="1189" spans="1:33" hidden="1" x14ac:dyDescent="0.25">
      <c r="A1189">
        <v>35611</v>
      </c>
      <c r="B1189" t="s">
        <v>32</v>
      </c>
      <c r="C1189">
        <v>1</v>
      </c>
      <c r="D1189" t="s">
        <v>4176</v>
      </c>
      <c r="E1189" t="s">
        <v>70</v>
      </c>
      <c r="F1189" t="s">
        <v>33</v>
      </c>
      <c r="G1189" t="s">
        <v>71</v>
      </c>
      <c r="H1189" t="s">
        <v>72</v>
      </c>
      <c r="I1189" t="s">
        <v>4177</v>
      </c>
      <c r="J1189" t="s">
        <v>4178</v>
      </c>
      <c r="K1189" t="s">
        <v>36</v>
      </c>
      <c r="L1189" t="s">
        <v>33</v>
      </c>
      <c r="M1189">
        <v>20603429321</v>
      </c>
      <c r="N1189" t="s">
        <v>1017</v>
      </c>
      <c r="O1189" t="s">
        <v>76</v>
      </c>
      <c r="P1189" t="s">
        <v>77</v>
      </c>
      <c r="Q1189" t="s">
        <v>1018</v>
      </c>
      <c r="R1189" t="s">
        <v>4179</v>
      </c>
      <c r="S1189">
        <v>807.12</v>
      </c>
      <c r="T1189" t="s">
        <v>80</v>
      </c>
      <c r="U1189">
        <f>+IF(Tabla1[[#This Row],[MONEDA]]="PEN",Tabla1[[#This Row],[MONTO]],Tabla1[[#This Row],[MONTO]]*3.56)</f>
        <v>2873.3472000000002</v>
      </c>
      <c r="X1189" t="s">
        <v>81</v>
      </c>
      <c r="Y1189" t="s">
        <v>42</v>
      </c>
      <c r="Z1189" t="s">
        <v>82</v>
      </c>
      <c r="AA1189" t="s">
        <v>4180</v>
      </c>
      <c r="AB1189" t="s">
        <v>4181</v>
      </c>
      <c r="AC1189" t="s">
        <v>4182</v>
      </c>
      <c r="AD1189" t="s">
        <v>4183</v>
      </c>
      <c r="AE1189">
        <v>807.12</v>
      </c>
      <c r="AF1189" t="s">
        <v>87</v>
      </c>
      <c r="AG1189" t="s">
        <v>88</v>
      </c>
    </row>
    <row r="1190" spans="1:33" hidden="1" x14ac:dyDescent="0.25">
      <c r="A1190">
        <v>35166</v>
      </c>
      <c r="B1190" t="s">
        <v>32</v>
      </c>
      <c r="C1190">
        <v>1</v>
      </c>
      <c r="D1190" t="s">
        <v>4256</v>
      </c>
      <c r="E1190" t="s">
        <v>70</v>
      </c>
      <c r="F1190" t="s">
        <v>33</v>
      </c>
      <c r="G1190" t="s">
        <v>71</v>
      </c>
      <c r="H1190" t="s">
        <v>72</v>
      </c>
      <c r="I1190" t="s">
        <v>4257</v>
      </c>
      <c r="J1190" t="s">
        <v>4258</v>
      </c>
      <c r="K1190" t="s">
        <v>36</v>
      </c>
      <c r="L1190" t="s">
        <v>33</v>
      </c>
      <c r="M1190">
        <v>20603429321</v>
      </c>
      <c r="N1190" t="s">
        <v>1017</v>
      </c>
      <c r="O1190" t="s">
        <v>76</v>
      </c>
      <c r="P1190" t="s">
        <v>77</v>
      </c>
      <c r="Q1190" t="s">
        <v>1018</v>
      </c>
      <c r="R1190" t="s">
        <v>4259</v>
      </c>
      <c r="S1190">
        <v>1026.5999999999999</v>
      </c>
      <c r="T1190" t="s">
        <v>80</v>
      </c>
      <c r="U1190">
        <f>+IF(Tabla1[[#This Row],[MONEDA]]="PEN",Tabla1[[#This Row],[MONTO]],Tabla1[[#This Row],[MONTO]]*3.56)</f>
        <v>3654.6959999999999</v>
      </c>
      <c r="X1190" t="s">
        <v>81</v>
      </c>
      <c r="Y1190" t="s">
        <v>42</v>
      </c>
      <c r="Z1190" t="s">
        <v>82</v>
      </c>
      <c r="AA1190" t="s">
        <v>4260</v>
      </c>
      <c r="AB1190" t="s">
        <v>4261</v>
      </c>
      <c r="AC1190" t="s">
        <v>4262</v>
      </c>
      <c r="AD1190" t="s">
        <v>4263</v>
      </c>
      <c r="AE1190">
        <v>1026.5999999999999</v>
      </c>
      <c r="AF1190" t="s">
        <v>87</v>
      </c>
      <c r="AG1190" t="s">
        <v>88</v>
      </c>
    </row>
    <row r="1191" spans="1:33" hidden="1" x14ac:dyDescent="0.25">
      <c r="A1191">
        <v>33840</v>
      </c>
      <c r="B1191" t="s">
        <v>32</v>
      </c>
      <c r="C1191">
        <v>1</v>
      </c>
      <c r="D1191" t="s">
        <v>4801</v>
      </c>
      <c r="E1191" t="s">
        <v>70</v>
      </c>
      <c r="F1191" t="s">
        <v>33</v>
      </c>
      <c r="G1191" t="s">
        <v>71</v>
      </c>
      <c r="H1191" t="s">
        <v>72</v>
      </c>
      <c r="I1191" t="s">
        <v>4781</v>
      </c>
      <c r="J1191" t="s">
        <v>4802</v>
      </c>
      <c r="K1191" t="s">
        <v>36</v>
      </c>
      <c r="L1191" t="s">
        <v>33</v>
      </c>
      <c r="M1191">
        <v>20603429321</v>
      </c>
      <c r="N1191" t="s">
        <v>1017</v>
      </c>
      <c r="O1191" t="s">
        <v>76</v>
      </c>
      <c r="P1191" t="s">
        <v>77</v>
      </c>
      <c r="Q1191" t="s">
        <v>1018</v>
      </c>
      <c r="R1191" t="s">
        <v>4803</v>
      </c>
      <c r="S1191">
        <v>4311.72</v>
      </c>
      <c r="T1191" t="s">
        <v>80</v>
      </c>
      <c r="U1191">
        <f>+IF(Tabla1[[#This Row],[MONEDA]]="PEN",Tabla1[[#This Row],[MONTO]],Tabla1[[#This Row],[MONTO]]*3.56)</f>
        <v>15349.7232</v>
      </c>
      <c r="X1191" t="s">
        <v>81</v>
      </c>
      <c r="Y1191" t="s">
        <v>42</v>
      </c>
      <c r="Z1191" t="s">
        <v>43</v>
      </c>
      <c r="AA1191" t="s">
        <v>4804</v>
      </c>
      <c r="AB1191" t="s">
        <v>4805</v>
      </c>
      <c r="AC1191" t="s">
        <v>4806</v>
      </c>
      <c r="AD1191" t="s">
        <v>4807</v>
      </c>
      <c r="AE1191">
        <v>4311.72</v>
      </c>
      <c r="AG1191" t="s">
        <v>88</v>
      </c>
    </row>
    <row r="1192" spans="1:33" hidden="1" x14ac:dyDescent="0.25">
      <c r="A1192">
        <v>32808</v>
      </c>
      <c r="B1192" t="s">
        <v>32</v>
      </c>
      <c r="C1192">
        <v>1</v>
      </c>
      <c r="D1192" t="s">
        <v>5243</v>
      </c>
      <c r="E1192" t="s">
        <v>70</v>
      </c>
      <c r="F1192" t="s">
        <v>33</v>
      </c>
      <c r="G1192" t="s">
        <v>71</v>
      </c>
      <c r="H1192" t="s">
        <v>72</v>
      </c>
      <c r="I1192" t="s">
        <v>5234</v>
      </c>
      <c r="J1192" t="s">
        <v>5244</v>
      </c>
      <c r="K1192" t="s">
        <v>36</v>
      </c>
      <c r="L1192" t="s">
        <v>33</v>
      </c>
      <c r="M1192">
        <v>20603429321</v>
      </c>
      <c r="N1192" t="s">
        <v>1017</v>
      </c>
      <c r="O1192" t="s">
        <v>76</v>
      </c>
      <c r="P1192" t="s">
        <v>77</v>
      </c>
      <c r="Q1192" t="s">
        <v>1018</v>
      </c>
      <c r="R1192" t="s">
        <v>5245</v>
      </c>
      <c r="S1192">
        <v>2362.36</v>
      </c>
      <c r="T1192" t="s">
        <v>80</v>
      </c>
      <c r="U1192">
        <f>+IF(Tabla1[[#This Row],[MONEDA]]="PEN",Tabla1[[#This Row],[MONTO]],Tabla1[[#This Row],[MONTO]]*3.56)</f>
        <v>8410.0016000000014</v>
      </c>
      <c r="X1192" t="s">
        <v>81</v>
      </c>
      <c r="Y1192" t="s">
        <v>51</v>
      </c>
      <c r="Z1192" t="s">
        <v>43</v>
      </c>
      <c r="AA1192" t="s">
        <v>5246</v>
      </c>
      <c r="AB1192" t="s">
        <v>5247</v>
      </c>
      <c r="AC1192" t="s">
        <v>5248</v>
      </c>
      <c r="AE1192">
        <v>2362.36</v>
      </c>
      <c r="AF1192" t="s">
        <v>87</v>
      </c>
      <c r="AG1192" t="s">
        <v>88</v>
      </c>
    </row>
    <row r="1193" spans="1:33" hidden="1" x14ac:dyDescent="0.25">
      <c r="A1193">
        <v>32070</v>
      </c>
      <c r="B1193" t="s">
        <v>32</v>
      </c>
      <c r="C1193">
        <v>1</v>
      </c>
      <c r="D1193" t="s">
        <v>5432</v>
      </c>
      <c r="E1193" t="s">
        <v>70</v>
      </c>
      <c r="F1193" t="s">
        <v>33</v>
      </c>
      <c r="G1193" t="s">
        <v>71</v>
      </c>
      <c r="H1193" t="s">
        <v>72</v>
      </c>
      <c r="I1193" t="s">
        <v>5433</v>
      </c>
      <c r="J1193" t="s">
        <v>5434</v>
      </c>
      <c r="K1193" t="s">
        <v>36</v>
      </c>
      <c r="L1193" t="s">
        <v>33</v>
      </c>
      <c r="M1193">
        <v>20603429321</v>
      </c>
      <c r="N1193" t="s">
        <v>1017</v>
      </c>
      <c r="O1193" t="s">
        <v>76</v>
      </c>
      <c r="P1193" t="s">
        <v>77</v>
      </c>
      <c r="Q1193" t="s">
        <v>1018</v>
      </c>
      <c r="R1193" t="s">
        <v>5435</v>
      </c>
      <c r="S1193">
        <v>285.56</v>
      </c>
      <c r="T1193" t="s">
        <v>80</v>
      </c>
      <c r="U1193">
        <f>+IF(Tabla1[[#This Row],[MONEDA]]="PEN",Tabla1[[#This Row],[MONTO]],Tabla1[[#This Row],[MONTO]]*3.56)</f>
        <v>1016.5936</v>
      </c>
      <c r="X1193" t="s">
        <v>81</v>
      </c>
      <c r="Y1193" t="s">
        <v>42</v>
      </c>
      <c r="Z1193" t="s">
        <v>43</v>
      </c>
      <c r="AA1193" t="s">
        <v>5436</v>
      </c>
      <c r="AB1193" t="s">
        <v>5437</v>
      </c>
      <c r="AC1193" t="s">
        <v>5438</v>
      </c>
      <c r="AD1193" t="s">
        <v>5439</v>
      </c>
      <c r="AE1193">
        <v>285.56</v>
      </c>
      <c r="AG1193" t="s">
        <v>88</v>
      </c>
    </row>
    <row r="1194" spans="1:33" x14ac:dyDescent="0.25">
      <c r="A1194">
        <v>38934</v>
      </c>
      <c r="B1194" t="s">
        <v>32</v>
      </c>
      <c r="C1194">
        <v>1</v>
      </c>
      <c r="D1194" t="s">
        <v>2631</v>
      </c>
      <c r="E1194" t="s">
        <v>70</v>
      </c>
      <c r="F1194" t="s">
        <v>90</v>
      </c>
      <c r="G1194" t="s">
        <v>91</v>
      </c>
      <c r="H1194" t="s">
        <v>35</v>
      </c>
      <c r="I1194" t="s">
        <v>2624</v>
      </c>
      <c r="J1194" t="s">
        <v>2632</v>
      </c>
      <c r="K1194" t="s">
        <v>36</v>
      </c>
      <c r="L1194" t="s">
        <v>33</v>
      </c>
      <c r="M1194">
        <v>20224191538</v>
      </c>
      <c r="N1194" t="s">
        <v>100</v>
      </c>
      <c r="P1194" t="s">
        <v>101</v>
      </c>
      <c r="Q1194" t="s">
        <v>102</v>
      </c>
      <c r="R1194" t="s">
        <v>2633</v>
      </c>
      <c r="S1194">
        <v>57712.62</v>
      </c>
      <c r="T1194" t="s">
        <v>40</v>
      </c>
      <c r="U1194">
        <f>+IF(Tabla1[[#This Row],[MONEDA]]="PEN",Tabla1[[#This Row],[MONTO]],Tabla1[[#This Row],[MONTO]]*3.56)</f>
        <v>57712.62</v>
      </c>
      <c r="X1194" t="s">
        <v>41</v>
      </c>
      <c r="Y1194" t="s">
        <v>51</v>
      </c>
      <c r="Z1194" t="s">
        <v>43</v>
      </c>
      <c r="AA1194" t="s">
        <v>2634</v>
      </c>
      <c r="AC1194" t="s">
        <v>2635</v>
      </c>
      <c r="AD1194" t="s">
        <v>2636</v>
      </c>
      <c r="AE1194">
        <v>50787.11</v>
      </c>
      <c r="AF1194" t="s">
        <v>87</v>
      </c>
      <c r="AG1194" t="s">
        <v>666</v>
      </c>
    </row>
    <row r="1195" spans="1:33" x14ac:dyDescent="0.25">
      <c r="A1195">
        <v>38944</v>
      </c>
      <c r="B1195" t="s">
        <v>32</v>
      </c>
      <c r="C1195">
        <v>1</v>
      </c>
      <c r="D1195" t="s">
        <v>2637</v>
      </c>
      <c r="E1195" t="s">
        <v>70</v>
      </c>
      <c r="F1195" t="s">
        <v>90</v>
      </c>
      <c r="G1195" t="s">
        <v>91</v>
      </c>
      <c r="H1195" t="s">
        <v>35</v>
      </c>
      <c r="I1195" t="s">
        <v>2624</v>
      </c>
      <c r="J1195" t="s">
        <v>2638</v>
      </c>
      <c r="K1195" t="s">
        <v>36</v>
      </c>
      <c r="L1195" t="s">
        <v>33</v>
      </c>
      <c r="M1195">
        <v>20224191538</v>
      </c>
      <c r="N1195" t="s">
        <v>100</v>
      </c>
      <c r="P1195" t="s">
        <v>101</v>
      </c>
      <c r="Q1195" t="s">
        <v>102</v>
      </c>
      <c r="R1195" t="s">
        <v>2639</v>
      </c>
      <c r="S1195">
        <v>54121.88</v>
      </c>
      <c r="T1195" t="s">
        <v>40</v>
      </c>
      <c r="U1195">
        <f>+IF(Tabla1[[#This Row],[MONEDA]]="PEN",Tabla1[[#This Row],[MONTO]],Tabla1[[#This Row],[MONTO]]*3.56)</f>
        <v>54121.88</v>
      </c>
      <c r="X1195" t="s">
        <v>41</v>
      </c>
      <c r="Y1195" t="s">
        <v>42</v>
      </c>
      <c r="Z1195" t="s">
        <v>43</v>
      </c>
      <c r="AA1195" t="s">
        <v>2640</v>
      </c>
      <c r="AB1195" t="s">
        <v>2641</v>
      </c>
      <c r="AC1195" t="s">
        <v>2642</v>
      </c>
      <c r="AD1195" t="s">
        <v>2643</v>
      </c>
      <c r="AE1195">
        <v>47627.25</v>
      </c>
      <c r="AF1195" t="s">
        <v>87</v>
      </c>
      <c r="AG1195" t="s">
        <v>666</v>
      </c>
    </row>
    <row r="1196" spans="1:33" x14ac:dyDescent="0.25">
      <c r="A1196">
        <v>30890</v>
      </c>
      <c r="B1196" t="s">
        <v>32</v>
      </c>
      <c r="C1196">
        <v>5</v>
      </c>
      <c r="D1196" t="s">
        <v>4339</v>
      </c>
      <c r="E1196" t="s">
        <v>70</v>
      </c>
      <c r="F1196" t="s">
        <v>90</v>
      </c>
      <c r="G1196" t="s">
        <v>91</v>
      </c>
      <c r="H1196" t="s">
        <v>72</v>
      </c>
      <c r="I1196" t="s">
        <v>4340</v>
      </c>
      <c r="J1196" t="s">
        <v>4341</v>
      </c>
      <c r="K1196" t="s">
        <v>36</v>
      </c>
      <c r="L1196" t="s">
        <v>33</v>
      </c>
      <c r="M1196">
        <v>20224191538</v>
      </c>
      <c r="N1196" t="s">
        <v>100</v>
      </c>
      <c r="P1196" t="s">
        <v>101</v>
      </c>
      <c r="Q1196" t="s">
        <v>102</v>
      </c>
      <c r="R1196" t="s">
        <v>4342</v>
      </c>
      <c r="S1196">
        <v>47824</v>
      </c>
      <c r="T1196" t="s">
        <v>40</v>
      </c>
      <c r="U1196">
        <f>+IF(Tabla1[[#This Row],[MONEDA]]="PEN",Tabla1[[#This Row],[MONTO]],Tabla1[[#This Row],[MONTO]]*3.56)</f>
        <v>47824</v>
      </c>
      <c r="X1196" t="s">
        <v>41</v>
      </c>
      <c r="Y1196" t="s">
        <v>42</v>
      </c>
      <c r="Z1196" t="s">
        <v>43</v>
      </c>
      <c r="AA1196" t="s">
        <v>4343</v>
      </c>
      <c r="AB1196" t="s">
        <v>4344</v>
      </c>
      <c r="AC1196" t="s">
        <v>4345</v>
      </c>
      <c r="AD1196" t="s">
        <v>4346</v>
      </c>
      <c r="AE1196">
        <v>49660.44</v>
      </c>
      <c r="AG1196" t="s">
        <v>666</v>
      </c>
    </row>
    <row r="1197" spans="1:33" x14ac:dyDescent="0.25">
      <c r="A1197">
        <v>33923</v>
      </c>
      <c r="B1197" t="s">
        <v>32</v>
      </c>
      <c r="C1197">
        <v>5</v>
      </c>
      <c r="D1197" t="s">
        <v>4361</v>
      </c>
      <c r="E1197" t="s">
        <v>70</v>
      </c>
      <c r="F1197" t="s">
        <v>90</v>
      </c>
      <c r="G1197" t="s">
        <v>91</v>
      </c>
      <c r="H1197" t="s">
        <v>72</v>
      </c>
      <c r="I1197" t="s">
        <v>4340</v>
      </c>
      <c r="J1197" t="s">
        <v>4362</v>
      </c>
      <c r="K1197" t="s">
        <v>36</v>
      </c>
      <c r="L1197" t="s">
        <v>33</v>
      </c>
      <c r="M1197">
        <v>20224191538</v>
      </c>
      <c r="N1197" t="s">
        <v>100</v>
      </c>
      <c r="P1197" t="s">
        <v>101</v>
      </c>
      <c r="Q1197" t="s">
        <v>102</v>
      </c>
      <c r="R1197" t="s">
        <v>4363</v>
      </c>
      <c r="S1197">
        <v>52828.6</v>
      </c>
      <c r="T1197" t="s">
        <v>40</v>
      </c>
      <c r="U1197">
        <f>+IF(Tabla1[[#This Row],[MONEDA]]="PEN",Tabla1[[#This Row],[MONTO]],Tabla1[[#This Row],[MONTO]]*3.56)</f>
        <v>52828.6</v>
      </c>
      <c r="X1197" t="s">
        <v>41</v>
      </c>
      <c r="Y1197" t="s">
        <v>42</v>
      </c>
      <c r="Z1197" t="s">
        <v>43</v>
      </c>
      <c r="AA1197" t="s">
        <v>4364</v>
      </c>
      <c r="AB1197" t="s">
        <v>4365</v>
      </c>
      <c r="AC1197" t="s">
        <v>4366</v>
      </c>
      <c r="AD1197" t="s">
        <v>4367</v>
      </c>
      <c r="AE1197">
        <v>46489.17</v>
      </c>
      <c r="AF1197" t="s">
        <v>87</v>
      </c>
      <c r="AG1197" t="s">
        <v>666</v>
      </c>
    </row>
    <row r="1198" spans="1:33" x14ac:dyDescent="0.25">
      <c r="A1198">
        <v>28163</v>
      </c>
      <c r="B1198" t="s">
        <v>32</v>
      </c>
      <c r="C1198">
        <v>5</v>
      </c>
      <c r="D1198" t="s">
        <v>6984</v>
      </c>
      <c r="E1198" t="s">
        <v>70</v>
      </c>
      <c r="F1198" t="s">
        <v>90</v>
      </c>
      <c r="G1198" t="s">
        <v>91</v>
      </c>
      <c r="H1198" t="s">
        <v>72</v>
      </c>
      <c r="I1198" t="s">
        <v>6972</v>
      </c>
      <c r="J1198" t="s">
        <v>6985</v>
      </c>
      <c r="K1198" t="s">
        <v>36</v>
      </c>
      <c r="L1198" t="s">
        <v>33</v>
      </c>
      <c r="M1198">
        <v>20224191538</v>
      </c>
      <c r="N1198" t="s">
        <v>100</v>
      </c>
      <c r="P1198" t="s">
        <v>101</v>
      </c>
      <c r="Q1198" t="s">
        <v>102</v>
      </c>
      <c r="R1198" t="s">
        <v>6986</v>
      </c>
      <c r="S1198">
        <v>48782.38</v>
      </c>
      <c r="T1198" t="s">
        <v>40</v>
      </c>
      <c r="U1198">
        <f>+IF(Tabla1[[#This Row],[MONEDA]]="PEN",Tabla1[[#This Row],[MONTO]],Tabla1[[#This Row],[MONTO]]*3.56)</f>
        <v>48782.38</v>
      </c>
      <c r="X1198" t="s">
        <v>41</v>
      </c>
      <c r="Y1198" t="s">
        <v>42</v>
      </c>
      <c r="Z1198" t="s">
        <v>43</v>
      </c>
      <c r="AA1198" t="s">
        <v>6264</v>
      </c>
      <c r="AB1198" t="s">
        <v>6987</v>
      </c>
      <c r="AC1198" t="s">
        <v>6988</v>
      </c>
      <c r="AD1198" t="s">
        <v>6989</v>
      </c>
      <c r="AE1198">
        <v>42928.38</v>
      </c>
      <c r="AG1198" t="s">
        <v>666</v>
      </c>
    </row>
    <row r="1199" spans="1:33" x14ac:dyDescent="0.25">
      <c r="A1199">
        <v>27273</v>
      </c>
      <c r="B1199" t="s">
        <v>32</v>
      </c>
      <c r="C1199">
        <v>1</v>
      </c>
      <c r="D1199" t="s">
        <v>8454</v>
      </c>
      <c r="E1199" t="s">
        <v>70</v>
      </c>
      <c r="F1199" t="s">
        <v>90</v>
      </c>
      <c r="G1199" t="s">
        <v>91</v>
      </c>
      <c r="H1199" t="s">
        <v>72</v>
      </c>
      <c r="I1199" t="s">
        <v>8412</v>
      </c>
      <c r="J1199" t="s">
        <v>8455</v>
      </c>
      <c r="K1199" t="s">
        <v>36</v>
      </c>
      <c r="L1199" t="s">
        <v>33</v>
      </c>
      <c r="M1199">
        <v>20224191538</v>
      </c>
      <c r="N1199" t="s">
        <v>100</v>
      </c>
      <c r="O1199" t="s">
        <v>1747</v>
      </c>
      <c r="P1199" t="s">
        <v>101</v>
      </c>
      <c r="Q1199" t="s">
        <v>102</v>
      </c>
      <c r="R1199" t="s">
        <v>8456</v>
      </c>
      <c r="S1199">
        <v>27819.68</v>
      </c>
      <c r="T1199" t="s">
        <v>40</v>
      </c>
      <c r="U1199">
        <f>+IF(Tabla1[[#This Row],[MONEDA]]="PEN",Tabla1[[#This Row],[MONTO]],Tabla1[[#This Row],[MONTO]]*3.56)</f>
        <v>27819.68</v>
      </c>
      <c r="X1199" t="s">
        <v>41</v>
      </c>
      <c r="Y1199" t="s">
        <v>42</v>
      </c>
      <c r="Z1199" t="s">
        <v>82</v>
      </c>
      <c r="AA1199" t="s">
        <v>7688</v>
      </c>
      <c r="AB1199" t="s">
        <v>8457</v>
      </c>
      <c r="AC1199" t="s">
        <v>8458</v>
      </c>
      <c r="AD1199" t="s">
        <v>8459</v>
      </c>
      <c r="AE1199">
        <v>24481.32</v>
      </c>
      <c r="AF1199" t="s">
        <v>87</v>
      </c>
      <c r="AG1199" t="s">
        <v>666</v>
      </c>
    </row>
    <row r="1200" spans="1:33" hidden="1" x14ac:dyDescent="0.25">
      <c r="A1200">
        <v>45848</v>
      </c>
      <c r="B1200" t="s">
        <v>32</v>
      </c>
      <c r="C1200">
        <v>2</v>
      </c>
      <c r="D1200" t="s">
        <v>97</v>
      </c>
      <c r="E1200" t="s">
        <v>45</v>
      </c>
      <c r="F1200" t="s">
        <v>33</v>
      </c>
      <c r="G1200" t="s">
        <v>34</v>
      </c>
      <c r="H1200" t="s">
        <v>35</v>
      </c>
      <c r="I1200" t="s">
        <v>98</v>
      </c>
      <c r="J1200" t="s">
        <v>99</v>
      </c>
      <c r="K1200" t="s">
        <v>36</v>
      </c>
      <c r="L1200" t="s">
        <v>33</v>
      </c>
      <c r="M1200">
        <v>20224191538</v>
      </c>
      <c r="N1200" t="s">
        <v>100</v>
      </c>
      <c r="P1200" t="s">
        <v>101</v>
      </c>
      <c r="Q1200" t="s">
        <v>102</v>
      </c>
      <c r="R1200" t="s">
        <v>103</v>
      </c>
      <c r="S1200">
        <v>73084.479999999996</v>
      </c>
      <c r="T1200" t="s">
        <v>40</v>
      </c>
      <c r="U1200">
        <f>+IF(Tabla1[[#This Row],[MONEDA]]="PEN",Tabla1[[#This Row],[MONTO]],Tabla1[[#This Row],[MONTO]]*3.56)</f>
        <v>73084.479999999996</v>
      </c>
      <c r="X1200" t="s">
        <v>41</v>
      </c>
      <c r="Y1200" t="s">
        <v>51</v>
      </c>
      <c r="Z1200" t="s">
        <v>43</v>
      </c>
      <c r="AB1200" t="s">
        <v>104</v>
      </c>
    </row>
    <row r="1201" spans="1:33" hidden="1" x14ac:dyDescent="0.25">
      <c r="A1201">
        <v>44263</v>
      </c>
      <c r="B1201" t="s">
        <v>32</v>
      </c>
      <c r="C1201">
        <v>6</v>
      </c>
      <c r="D1201" t="s">
        <v>493</v>
      </c>
      <c r="E1201" t="s">
        <v>45</v>
      </c>
      <c r="F1201" t="s">
        <v>33</v>
      </c>
      <c r="G1201" t="s">
        <v>34</v>
      </c>
      <c r="H1201" t="s">
        <v>35</v>
      </c>
      <c r="I1201" t="s">
        <v>494</v>
      </c>
      <c r="J1201" t="s">
        <v>495</v>
      </c>
      <c r="K1201" t="s">
        <v>36</v>
      </c>
      <c r="L1201" t="s">
        <v>33</v>
      </c>
      <c r="M1201">
        <v>20224191538</v>
      </c>
      <c r="N1201" t="s">
        <v>100</v>
      </c>
      <c r="P1201" t="s">
        <v>101</v>
      </c>
      <c r="Q1201" t="s">
        <v>102</v>
      </c>
      <c r="R1201" t="s">
        <v>496</v>
      </c>
      <c r="S1201">
        <v>55093.02</v>
      </c>
      <c r="T1201" t="s">
        <v>40</v>
      </c>
      <c r="U1201">
        <f>+IF(Tabla1[[#This Row],[MONEDA]]="PEN",Tabla1[[#This Row],[MONTO]],Tabla1[[#This Row],[MONTO]]*3.56)</f>
        <v>55093.02</v>
      </c>
      <c r="X1201" t="s">
        <v>41</v>
      </c>
      <c r="Y1201" t="s">
        <v>51</v>
      </c>
      <c r="Z1201" t="s">
        <v>43</v>
      </c>
      <c r="AB1201" t="s">
        <v>497</v>
      </c>
    </row>
    <row r="1202" spans="1:33" hidden="1" x14ac:dyDescent="0.25">
      <c r="A1202">
        <v>44264</v>
      </c>
      <c r="B1202" t="s">
        <v>32</v>
      </c>
      <c r="C1202">
        <v>6</v>
      </c>
      <c r="D1202" t="s">
        <v>603</v>
      </c>
      <c r="E1202" t="s">
        <v>45</v>
      </c>
      <c r="F1202" t="s">
        <v>33</v>
      </c>
      <c r="G1202" t="s">
        <v>34</v>
      </c>
      <c r="H1202" t="s">
        <v>35</v>
      </c>
      <c r="I1202" t="s">
        <v>575</v>
      </c>
      <c r="J1202" t="s">
        <v>604</v>
      </c>
      <c r="K1202" t="s">
        <v>36</v>
      </c>
      <c r="L1202" t="s">
        <v>33</v>
      </c>
      <c r="M1202">
        <v>20224191538</v>
      </c>
      <c r="N1202" t="s">
        <v>100</v>
      </c>
      <c r="P1202" t="s">
        <v>101</v>
      </c>
      <c r="Q1202" t="s">
        <v>102</v>
      </c>
      <c r="R1202" t="s">
        <v>605</v>
      </c>
      <c r="S1202">
        <v>45715.56</v>
      </c>
      <c r="T1202" t="s">
        <v>40</v>
      </c>
      <c r="U1202">
        <f>+IF(Tabla1[[#This Row],[MONEDA]]="PEN",Tabla1[[#This Row],[MONTO]],Tabla1[[#This Row],[MONTO]]*3.56)</f>
        <v>45715.56</v>
      </c>
      <c r="X1202" t="s">
        <v>41</v>
      </c>
      <c r="Y1202" t="s">
        <v>51</v>
      </c>
      <c r="Z1202" t="s">
        <v>43</v>
      </c>
      <c r="AB1202" t="s">
        <v>606</v>
      </c>
    </row>
    <row r="1203" spans="1:33" x14ac:dyDescent="0.25">
      <c r="A1203">
        <v>26357</v>
      </c>
      <c r="B1203" t="s">
        <v>32</v>
      </c>
      <c r="C1203">
        <v>1</v>
      </c>
      <c r="D1203" t="s">
        <v>9271</v>
      </c>
      <c r="E1203" t="s">
        <v>70</v>
      </c>
      <c r="F1203" t="s">
        <v>90</v>
      </c>
      <c r="G1203" t="s">
        <v>91</v>
      </c>
      <c r="H1203" t="s">
        <v>72</v>
      </c>
      <c r="I1203" t="s">
        <v>9250</v>
      </c>
      <c r="J1203" t="s">
        <v>9272</v>
      </c>
      <c r="K1203" t="s">
        <v>36</v>
      </c>
      <c r="L1203" t="s">
        <v>33</v>
      </c>
      <c r="M1203">
        <v>20455244189</v>
      </c>
      <c r="N1203" t="s">
        <v>9273</v>
      </c>
      <c r="P1203" t="s">
        <v>38</v>
      </c>
      <c r="Q1203">
        <v>2152304861040</v>
      </c>
      <c r="R1203" t="s">
        <v>9274</v>
      </c>
      <c r="S1203">
        <v>5731.6</v>
      </c>
      <c r="T1203" t="s">
        <v>40</v>
      </c>
      <c r="U1203">
        <f>+IF(Tabla1[[#This Row],[MONEDA]]="PEN",Tabla1[[#This Row],[MONTO]],Tabla1[[#This Row],[MONTO]]*3.56)</f>
        <v>5731.6</v>
      </c>
      <c r="X1203" t="s">
        <v>41</v>
      </c>
      <c r="Y1203" t="s">
        <v>42</v>
      </c>
      <c r="Z1203" t="s">
        <v>43</v>
      </c>
      <c r="AA1203" t="s">
        <v>9275</v>
      </c>
      <c r="AB1203" t="s">
        <v>9276</v>
      </c>
      <c r="AC1203" t="s">
        <v>9277</v>
      </c>
      <c r="AD1203" t="s">
        <v>9278</v>
      </c>
      <c r="AE1203">
        <v>5158.4399999999996</v>
      </c>
      <c r="AF1203" t="s">
        <v>87</v>
      </c>
      <c r="AG1203" t="s">
        <v>169</v>
      </c>
    </row>
    <row r="1204" spans="1:33" x14ac:dyDescent="0.25">
      <c r="A1204">
        <v>22076</v>
      </c>
      <c r="B1204" t="s">
        <v>32</v>
      </c>
      <c r="C1204">
        <v>1</v>
      </c>
      <c r="D1204" t="s">
        <v>12031</v>
      </c>
      <c r="E1204" t="s">
        <v>70</v>
      </c>
      <c r="F1204" t="s">
        <v>90</v>
      </c>
      <c r="G1204" t="s">
        <v>91</v>
      </c>
      <c r="H1204" t="s">
        <v>72</v>
      </c>
      <c r="I1204" t="s">
        <v>12024</v>
      </c>
      <c r="J1204" t="s">
        <v>12032</v>
      </c>
      <c r="K1204" t="s">
        <v>36</v>
      </c>
      <c r="L1204" t="s">
        <v>33</v>
      </c>
      <c r="M1204">
        <v>20455244189</v>
      </c>
      <c r="N1204" t="s">
        <v>9273</v>
      </c>
      <c r="O1204" t="s">
        <v>1747</v>
      </c>
      <c r="P1204" t="s">
        <v>38</v>
      </c>
      <c r="Q1204">
        <v>2152304861040</v>
      </c>
      <c r="R1204" t="s">
        <v>12033</v>
      </c>
      <c r="S1204">
        <v>2855.6</v>
      </c>
      <c r="T1204" t="s">
        <v>40</v>
      </c>
      <c r="U1204">
        <f>+IF(Tabla1[[#This Row],[MONEDA]]="PEN",Tabla1[[#This Row],[MONTO]],Tabla1[[#This Row],[MONTO]]*3.56)</f>
        <v>2855.6</v>
      </c>
      <c r="X1204" t="s">
        <v>41</v>
      </c>
      <c r="Y1204" t="s">
        <v>42</v>
      </c>
      <c r="Z1204" t="s">
        <v>43</v>
      </c>
      <c r="AA1204" t="s">
        <v>12034</v>
      </c>
      <c r="AB1204" t="s">
        <v>12035</v>
      </c>
      <c r="AC1204" t="s">
        <v>12036</v>
      </c>
      <c r="AD1204" t="s">
        <v>12037</v>
      </c>
      <c r="AE1204">
        <v>2570.04</v>
      </c>
      <c r="AF1204" t="s">
        <v>87</v>
      </c>
      <c r="AG1204" t="s">
        <v>169</v>
      </c>
    </row>
    <row r="1205" spans="1:33" hidden="1" x14ac:dyDescent="0.25">
      <c r="A1205">
        <v>32053</v>
      </c>
      <c r="B1205" t="s">
        <v>32</v>
      </c>
      <c r="C1205">
        <v>1</v>
      </c>
      <c r="D1205" t="s">
        <v>5502</v>
      </c>
      <c r="E1205" t="s">
        <v>70</v>
      </c>
      <c r="F1205" t="s">
        <v>33</v>
      </c>
      <c r="G1205" t="s">
        <v>71</v>
      </c>
      <c r="H1205" t="s">
        <v>72</v>
      </c>
      <c r="I1205" t="s">
        <v>5502</v>
      </c>
      <c r="J1205" t="s">
        <v>5509</v>
      </c>
      <c r="K1205" t="s">
        <v>36</v>
      </c>
      <c r="L1205" t="s">
        <v>33</v>
      </c>
      <c r="M1205">
        <v>20503840121</v>
      </c>
      <c r="N1205" t="s">
        <v>5510</v>
      </c>
      <c r="O1205" t="s">
        <v>76</v>
      </c>
      <c r="R1205" t="s">
        <v>5511</v>
      </c>
      <c r="S1205">
        <v>191.5</v>
      </c>
      <c r="T1205" t="s">
        <v>40</v>
      </c>
      <c r="U1205">
        <f>+IF(Tabla1[[#This Row],[MONEDA]]="PEN",Tabla1[[#This Row],[MONTO]],Tabla1[[#This Row],[MONTO]]*3.56)</f>
        <v>191.5</v>
      </c>
      <c r="V1205" t="s">
        <v>190</v>
      </c>
      <c r="W1205">
        <v>29730</v>
      </c>
      <c r="X1205" t="s">
        <v>81</v>
      </c>
      <c r="Y1205" t="s">
        <v>42</v>
      </c>
      <c r="Z1205" t="s">
        <v>43</v>
      </c>
      <c r="AA1205" t="s">
        <v>5512</v>
      </c>
      <c r="AC1205" t="s">
        <v>5513</v>
      </c>
      <c r="AD1205" t="s">
        <v>5514</v>
      </c>
    </row>
    <row r="1206" spans="1:33" hidden="1" x14ac:dyDescent="0.25">
      <c r="A1206">
        <v>24368</v>
      </c>
      <c r="B1206" t="s">
        <v>32</v>
      </c>
      <c r="C1206">
        <v>1</v>
      </c>
      <c r="D1206" t="s">
        <v>10446</v>
      </c>
      <c r="E1206" t="s">
        <v>70</v>
      </c>
      <c r="F1206" t="s">
        <v>33</v>
      </c>
      <c r="G1206" t="s">
        <v>71</v>
      </c>
      <c r="H1206" t="s">
        <v>72</v>
      </c>
      <c r="I1206" t="s">
        <v>10447</v>
      </c>
      <c r="J1206" t="s">
        <v>10448</v>
      </c>
      <c r="K1206" t="s">
        <v>36</v>
      </c>
      <c r="L1206" t="s">
        <v>33</v>
      </c>
      <c r="M1206">
        <v>20503840121</v>
      </c>
      <c r="N1206" t="s">
        <v>5510</v>
      </c>
      <c r="O1206" t="s">
        <v>76</v>
      </c>
      <c r="R1206" t="s">
        <v>10449</v>
      </c>
      <c r="S1206">
        <v>19.989999999999998</v>
      </c>
      <c r="T1206" t="s">
        <v>40</v>
      </c>
      <c r="U1206">
        <f>+IF(Tabla1[[#This Row],[MONEDA]]="PEN",Tabla1[[#This Row],[MONTO]],Tabla1[[#This Row],[MONTO]]*3.56)</f>
        <v>19.989999999999998</v>
      </c>
      <c r="V1206" t="s">
        <v>190</v>
      </c>
      <c r="W1206">
        <v>23138</v>
      </c>
      <c r="X1206" t="s">
        <v>81</v>
      </c>
      <c r="Y1206" t="s">
        <v>42</v>
      </c>
      <c r="Z1206" t="s">
        <v>82</v>
      </c>
      <c r="AA1206" t="s">
        <v>10443</v>
      </c>
      <c r="AC1206" t="s">
        <v>10450</v>
      </c>
      <c r="AD1206" t="s">
        <v>10451</v>
      </c>
    </row>
    <row r="1207" spans="1:33" hidden="1" x14ac:dyDescent="0.25">
      <c r="A1207">
        <v>24361</v>
      </c>
      <c r="B1207" t="s">
        <v>32</v>
      </c>
      <c r="C1207">
        <v>1</v>
      </c>
      <c r="D1207" t="s">
        <v>10459</v>
      </c>
      <c r="E1207" t="s">
        <v>70</v>
      </c>
      <c r="F1207" t="s">
        <v>33</v>
      </c>
      <c r="G1207" t="s">
        <v>71</v>
      </c>
      <c r="H1207" t="s">
        <v>72</v>
      </c>
      <c r="I1207" t="s">
        <v>10460</v>
      </c>
      <c r="J1207" t="s">
        <v>10461</v>
      </c>
      <c r="K1207" t="s">
        <v>36</v>
      </c>
      <c r="L1207" t="s">
        <v>33</v>
      </c>
      <c r="M1207">
        <v>20503840121</v>
      </c>
      <c r="N1207" t="s">
        <v>5510</v>
      </c>
      <c r="O1207" t="s">
        <v>76</v>
      </c>
      <c r="R1207" t="s">
        <v>10429</v>
      </c>
      <c r="S1207">
        <v>100</v>
      </c>
      <c r="T1207" t="s">
        <v>40</v>
      </c>
      <c r="U1207">
        <f>+IF(Tabla1[[#This Row],[MONEDA]]="PEN",Tabla1[[#This Row],[MONTO]],Tabla1[[#This Row],[MONTO]]*3.56)</f>
        <v>100</v>
      </c>
      <c r="V1207" t="s">
        <v>190</v>
      </c>
      <c r="W1207">
        <v>23138</v>
      </c>
      <c r="X1207" t="s">
        <v>81</v>
      </c>
      <c r="Y1207" t="s">
        <v>42</v>
      </c>
      <c r="Z1207" t="s">
        <v>82</v>
      </c>
      <c r="AA1207" t="s">
        <v>10466</v>
      </c>
      <c r="AC1207" t="s">
        <v>10467</v>
      </c>
      <c r="AD1207" t="s">
        <v>10468</v>
      </c>
    </row>
    <row r="1208" spans="1:33" hidden="1" x14ac:dyDescent="0.25">
      <c r="A1208">
        <v>24331</v>
      </c>
      <c r="B1208" t="s">
        <v>32</v>
      </c>
      <c r="C1208">
        <v>1</v>
      </c>
      <c r="D1208" t="s">
        <v>10547</v>
      </c>
      <c r="E1208" t="s">
        <v>70</v>
      </c>
      <c r="F1208" t="s">
        <v>33</v>
      </c>
      <c r="G1208" t="s">
        <v>71</v>
      </c>
      <c r="H1208" t="s">
        <v>72</v>
      </c>
      <c r="I1208" t="s">
        <v>10548</v>
      </c>
      <c r="J1208" t="s">
        <v>10549</v>
      </c>
      <c r="K1208" t="s">
        <v>36</v>
      </c>
      <c r="L1208" t="s">
        <v>33</v>
      </c>
      <c r="M1208">
        <v>20503840121</v>
      </c>
      <c r="N1208" t="s">
        <v>5510</v>
      </c>
      <c r="O1208" t="s">
        <v>76</v>
      </c>
      <c r="R1208" t="s">
        <v>10449</v>
      </c>
      <c r="S1208">
        <v>20</v>
      </c>
      <c r="T1208" t="s">
        <v>40</v>
      </c>
      <c r="U1208">
        <f>+IF(Tabla1[[#This Row],[MONEDA]]="PEN",Tabla1[[#This Row],[MONTO]],Tabla1[[#This Row],[MONTO]]*3.56)</f>
        <v>20</v>
      </c>
      <c r="V1208" t="s">
        <v>190</v>
      </c>
      <c r="W1208">
        <v>21787</v>
      </c>
      <c r="X1208" t="s">
        <v>81</v>
      </c>
      <c r="Y1208" t="s">
        <v>42</v>
      </c>
      <c r="Z1208" t="s">
        <v>82</v>
      </c>
      <c r="AA1208" t="s">
        <v>10537</v>
      </c>
      <c r="AC1208" t="s">
        <v>10550</v>
      </c>
      <c r="AD1208" t="s">
        <v>10551</v>
      </c>
    </row>
    <row r="1209" spans="1:33" hidden="1" x14ac:dyDescent="0.25">
      <c r="A1209">
        <v>23236</v>
      </c>
      <c r="B1209" t="s">
        <v>32</v>
      </c>
      <c r="C1209">
        <v>1</v>
      </c>
      <c r="D1209" t="s">
        <v>11441</v>
      </c>
      <c r="E1209" t="s">
        <v>70</v>
      </c>
      <c r="F1209" t="s">
        <v>33</v>
      </c>
      <c r="G1209" t="s">
        <v>71</v>
      </c>
      <c r="H1209" t="s">
        <v>72</v>
      </c>
      <c r="I1209" t="s">
        <v>11442</v>
      </c>
      <c r="J1209" t="s">
        <v>11443</v>
      </c>
      <c r="K1209" t="s">
        <v>36</v>
      </c>
      <c r="L1209" t="s">
        <v>33</v>
      </c>
      <c r="M1209">
        <v>20503840121</v>
      </c>
      <c r="N1209" t="s">
        <v>5510</v>
      </c>
      <c r="O1209" t="s">
        <v>76</v>
      </c>
      <c r="R1209" t="s">
        <v>11444</v>
      </c>
      <c r="S1209">
        <v>200</v>
      </c>
      <c r="T1209" t="s">
        <v>40</v>
      </c>
      <c r="U1209">
        <f>+IF(Tabla1[[#This Row],[MONEDA]]="PEN",Tabla1[[#This Row],[MONTO]],Tabla1[[#This Row],[MONTO]]*3.56)</f>
        <v>200</v>
      </c>
      <c r="V1209" t="s">
        <v>190</v>
      </c>
      <c r="W1209">
        <v>20973</v>
      </c>
      <c r="X1209" t="s">
        <v>81</v>
      </c>
      <c r="Y1209" t="s">
        <v>42</v>
      </c>
      <c r="Z1209" t="s">
        <v>82</v>
      </c>
      <c r="AA1209" t="s">
        <v>11445</v>
      </c>
      <c r="AC1209" t="s">
        <v>11446</v>
      </c>
      <c r="AD1209" t="s">
        <v>11447</v>
      </c>
    </row>
    <row r="1210" spans="1:33" hidden="1" x14ac:dyDescent="0.25">
      <c r="A1210">
        <v>22872</v>
      </c>
      <c r="B1210" t="s">
        <v>32</v>
      </c>
      <c r="C1210">
        <v>1</v>
      </c>
      <c r="D1210" t="s">
        <v>11678</v>
      </c>
      <c r="E1210" t="s">
        <v>70</v>
      </c>
      <c r="F1210" t="s">
        <v>33</v>
      </c>
      <c r="G1210" t="s">
        <v>71</v>
      </c>
      <c r="H1210" t="s">
        <v>72</v>
      </c>
      <c r="I1210" t="s">
        <v>11679</v>
      </c>
      <c r="J1210" t="s">
        <v>11680</v>
      </c>
      <c r="K1210" t="s">
        <v>36</v>
      </c>
      <c r="L1210" t="s">
        <v>33</v>
      </c>
      <c r="M1210">
        <v>20503840121</v>
      </c>
      <c r="N1210" t="s">
        <v>5510</v>
      </c>
      <c r="R1210" t="s">
        <v>11681</v>
      </c>
      <c r="S1210">
        <v>165.48</v>
      </c>
      <c r="T1210" t="s">
        <v>40</v>
      </c>
      <c r="U1210">
        <f>+IF(Tabla1[[#This Row],[MONEDA]]="PEN",Tabla1[[#This Row],[MONTO]],Tabla1[[#This Row],[MONTO]]*3.56)</f>
        <v>165.48</v>
      </c>
      <c r="V1210" t="s">
        <v>190</v>
      </c>
      <c r="W1210">
        <v>20973</v>
      </c>
      <c r="X1210" t="s">
        <v>81</v>
      </c>
      <c r="Y1210" t="s">
        <v>42</v>
      </c>
      <c r="Z1210" t="s">
        <v>82</v>
      </c>
      <c r="AA1210" t="s">
        <v>11682</v>
      </c>
      <c r="AC1210" t="s">
        <v>11683</v>
      </c>
      <c r="AD1210" t="s">
        <v>11684</v>
      </c>
    </row>
    <row r="1211" spans="1:33" hidden="1" x14ac:dyDescent="0.25">
      <c r="A1211">
        <v>22873</v>
      </c>
      <c r="B1211" t="s">
        <v>32</v>
      </c>
      <c r="C1211">
        <v>1</v>
      </c>
      <c r="D1211" t="s">
        <v>11678</v>
      </c>
      <c r="E1211" t="s">
        <v>70</v>
      </c>
      <c r="F1211" t="s">
        <v>33</v>
      </c>
      <c r="G1211" t="s">
        <v>71</v>
      </c>
      <c r="H1211" t="s">
        <v>72</v>
      </c>
      <c r="I1211" t="s">
        <v>11679</v>
      </c>
      <c r="J1211" t="s">
        <v>11680</v>
      </c>
      <c r="K1211" t="s">
        <v>36</v>
      </c>
      <c r="L1211" t="s">
        <v>33</v>
      </c>
      <c r="M1211">
        <v>20503840121</v>
      </c>
      <c r="N1211" t="s">
        <v>5510</v>
      </c>
      <c r="O1211" t="s">
        <v>76</v>
      </c>
      <c r="R1211" t="s">
        <v>11685</v>
      </c>
      <c r="S1211">
        <v>150</v>
      </c>
      <c r="T1211" t="s">
        <v>40</v>
      </c>
      <c r="U1211">
        <f>+IF(Tabla1[[#This Row],[MONEDA]]="PEN",Tabla1[[#This Row],[MONTO]],Tabla1[[#This Row],[MONTO]]*3.56)</f>
        <v>150</v>
      </c>
      <c r="V1211" t="s">
        <v>190</v>
      </c>
      <c r="W1211">
        <v>20973</v>
      </c>
      <c r="X1211" t="s">
        <v>81</v>
      </c>
      <c r="Y1211" t="s">
        <v>42</v>
      </c>
      <c r="Z1211" t="s">
        <v>82</v>
      </c>
      <c r="AA1211" t="s">
        <v>11686</v>
      </c>
      <c r="AC1211" t="s">
        <v>11687</v>
      </c>
      <c r="AD1211" t="s">
        <v>11688</v>
      </c>
    </row>
    <row r="1212" spans="1:33" hidden="1" x14ac:dyDescent="0.25">
      <c r="A1212">
        <v>22870</v>
      </c>
      <c r="B1212" t="s">
        <v>32</v>
      </c>
      <c r="C1212">
        <v>1</v>
      </c>
      <c r="D1212" t="s">
        <v>11689</v>
      </c>
      <c r="E1212" t="s">
        <v>70</v>
      </c>
      <c r="F1212" t="s">
        <v>33</v>
      </c>
      <c r="G1212" t="s">
        <v>71</v>
      </c>
      <c r="H1212" t="s">
        <v>72</v>
      </c>
      <c r="I1212" t="s">
        <v>11690</v>
      </c>
      <c r="J1212" t="s">
        <v>11696</v>
      </c>
      <c r="K1212" t="s">
        <v>36</v>
      </c>
      <c r="L1212" t="s">
        <v>33</v>
      </c>
      <c r="M1212">
        <v>20503840121</v>
      </c>
      <c r="N1212" t="s">
        <v>5510</v>
      </c>
      <c r="O1212" t="s">
        <v>76</v>
      </c>
      <c r="R1212" t="s">
        <v>11697</v>
      </c>
      <c r="S1212">
        <v>242.01</v>
      </c>
      <c r="T1212" t="s">
        <v>40</v>
      </c>
      <c r="U1212">
        <f>+IF(Tabla1[[#This Row],[MONEDA]]="PEN",Tabla1[[#This Row],[MONTO]],Tabla1[[#This Row],[MONTO]]*3.56)</f>
        <v>242.01</v>
      </c>
      <c r="V1212" t="s">
        <v>190</v>
      </c>
      <c r="W1212">
        <v>20973</v>
      </c>
      <c r="X1212" t="s">
        <v>81</v>
      </c>
      <c r="Y1212" t="s">
        <v>42</v>
      </c>
      <c r="Z1212" t="s">
        <v>82</v>
      </c>
      <c r="AA1212" t="s">
        <v>11698</v>
      </c>
      <c r="AC1212" t="s">
        <v>11699</v>
      </c>
      <c r="AD1212" t="s">
        <v>11700</v>
      </c>
    </row>
    <row r="1213" spans="1:33" hidden="1" x14ac:dyDescent="0.25">
      <c r="A1213">
        <v>22871</v>
      </c>
      <c r="B1213" t="s">
        <v>32</v>
      </c>
      <c r="C1213">
        <v>1</v>
      </c>
      <c r="D1213" t="s">
        <v>11689</v>
      </c>
      <c r="E1213" t="s">
        <v>70</v>
      </c>
      <c r="F1213" t="s">
        <v>33</v>
      </c>
      <c r="G1213" t="s">
        <v>71</v>
      </c>
      <c r="H1213" t="s">
        <v>72</v>
      </c>
      <c r="I1213" t="s">
        <v>11690</v>
      </c>
      <c r="J1213" t="s">
        <v>11701</v>
      </c>
      <c r="K1213" t="s">
        <v>36</v>
      </c>
      <c r="L1213" t="s">
        <v>33</v>
      </c>
      <c r="M1213">
        <v>20503840121</v>
      </c>
      <c r="N1213" t="s">
        <v>5510</v>
      </c>
      <c r="O1213" t="s">
        <v>76</v>
      </c>
      <c r="R1213" t="s">
        <v>11702</v>
      </c>
      <c r="S1213">
        <v>159.91999999999999</v>
      </c>
      <c r="T1213" t="s">
        <v>40</v>
      </c>
      <c r="U1213">
        <f>+IF(Tabla1[[#This Row],[MONEDA]]="PEN",Tabla1[[#This Row],[MONTO]],Tabla1[[#This Row],[MONTO]]*3.56)</f>
        <v>159.91999999999999</v>
      </c>
      <c r="V1213" t="s">
        <v>190</v>
      </c>
      <c r="W1213">
        <v>20973</v>
      </c>
      <c r="X1213" t="s">
        <v>81</v>
      </c>
      <c r="Y1213" t="s">
        <v>42</v>
      </c>
      <c r="Z1213" t="s">
        <v>82</v>
      </c>
      <c r="AA1213" t="s">
        <v>11698</v>
      </c>
      <c r="AC1213" t="s">
        <v>11703</v>
      </c>
      <c r="AD1213" t="s">
        <v>11704</v>
      </c>
    </row>
    <row r="1214" spans="1:33" hidden="1" x14ac:dyDescent="0.25">
      <c r="A1214">
        <v>22868</v>
      </c>
      <c r="B1214" t="s">
        <v>32</v>
      </c>
      <c r="C1214">
        <v>1</v>
      </c>
      <c r="D1214" t="s">
        <v>11705</v>
      </c>
      <c r="E1214" t="s">
        <v>70</v>
      </c>
      <c r="F1214" t="s">
        <v>33</v>
      </c>
      <c r="G1214" t="s">
        <v>71</v>
      </c>
      <c r="H1214" t="s">
        <v>72</v>
      </c>
      <c r="I1214" t="s">
        <v>11706</v>
      </c>
      <c r="J1214" t="s">
        <v>11707</v>
      </c>
      <c r="K1214" t="s">
        <v>36</v>
      </c>
      <c r="L1214" t="s">
        <v>33</v>
      </c>
      <c r="M1214">
        <v>20503840121</v>
      </c>
      <c r="N1214" t="s">
        <v>5510</v>
      </c>
      <c r="O1214" t="s">
        <v>76</v>
      </c>
      <c r="R1214" t="s">
        <v>11708</v>
      </c>
      <c r="S1214">
        <v>200</v>
      </c>
      <c r="T1214" t="s">
        <v>40</v>
      </c>
      <c r="U1214">
        <f>+IF(Tabla1[[#This Row],[MONEDA]]="PEN",Tabla1[[#This Row],[MONTO]],Tabla1[[#This Row],[MONTO]]*3.56)</f>
        <v>200</v>
      </c>
      <c r="V1214" t="s">
        <v>190</v>
      </c>
      <c r="W1214">
        <v>20973</v>
      </c>
      <c r="X1214" t="s">
        <v>81</v>
      </c>
      <c r="Y1214" t="s">
        <v>42</v>
      </c>
      <c r="Z1214" t="s">
        <v>82</v>
      </c>
      <c r="AA1214" t="s">
        <v>11709</v>
      </c>
      <c r="AC1214" t="s">
        <v>11710</v>
      </c>
      <c r="AD1214" t="s">
        <v>11711</v>
      </c>
    </row>
    <row r="1215" spans="1:33" hidden="1" x14ac:dyDescent="0.25">
      <c r="A1215">
        <v>21791</v>
      </c>
      <c r="B1215" t="s">
        <v>32</v>
      </c>
      <c r="C1215">
        <v>1</v>
      </c>
      <c r="D1215" t="s">
        <v>12234</v>
      </c>
      <c r="E1215" t="s">
        <v>70</v>
      </c>
      <c r="F1215" t="s">
        <v>33</v>
      </c>
      <c r="G1215" t="s">
        <v>71</v>
      </c>
      <c r="H1215" t="s">
        <v>72</v>
      </c>
      <c r="I1215" t="s">
        <v>12202</v>
      </c>
      <c r="J1215" t="s">
        <v>12235</v>
      </c>
      <c r="K1215" t="s">
        <v>36</v>
      </c>
      <c r="L1215" t="s">
        <v>33</v>
      </c>
      <c r="M1215">
        <v>20455399204</v>
      </c>
      <c r="N1215" t="s">
        <v>12236</v>
      </c>
      <c r="O1215" t="s">
        <v>76</v>
      </c>
      <c r="P1215" t="s">
        <v>38</v>
      </c>
      <c r="Q1215" t="s">
        <v>12237</v>
      </c>
      <c r="R1215" t="s">
        <v>12238</v>
      </c>
      <c r="S1215">
        <v>1054</v>
      </c>
      <c r="T1215" t="s">
        <v>40</v>
      </c>
      <c r="U1215">
        <f>+IF(Tabla1[[#This Row],[MONEDA]]="PEN",Tabla1[[#This Row],[MONTO]],Tabla1[[#This Row],[MONTO]]*3.56)</f>
        <v>1054</v>
      </c>
      <c r="X1215" t="s">
        <v>81</v>
      </c>
      <c r="Y1215" t="s">
        <v>42</v>
      </c>
      <c r="Z1215" t="s">
        <v>43</v>
      </c>
      <c r="AA1215" t="s">
        <v>12239</v>
      </c>
      <c r="AB1215" t="s">
        <v>12240</v>
      </c>
      <c r="AC1215" t="s">
        <v>12241</v>
      </c>
      <c r="AD1215" t="s">
        <v>12242</v>
      </c>
      <c r="AE1215">
        <v>1022.38</v>
      </c>
      <c r="AF1215" t="s">
        <v>87</v>
      </c>
      <c r="AG1215" t="s">
        <v>12184</v>
      </c>
    </row>
    <row r="1216" spans="1:33" hidden="1" x14ac:dyDescent="0.25">
      <c r="A1216">
        <v>24372</v>
      </c>
      <c r="B1216" t="s">
        <v>32</v>
      </c>
      <c r="C1216">
        <v>1</v>
      </c>
      <c r="D1216" t="s">
        <v>10418</v>
      </c>
      <c r="E1216" t="s">
        <v>70</v>
      </c>
      <c r="F1216" t="s">
        <v>33</v>
      </c>
      <c r="G1216" t="s">
        <v>71</v>
      </c>
      <c r="H1216" t="s">
        <v>72</v>
      </c>
      <c r="I1216" t="s">
        <v>10419</v>
      </c>
      <c r="J1216" t="s">
        <v>10420</v>
      </c>
      <c r="K1216" t="s">
        <v>36</v>
      </c>
      <c r="L1216" t="s">
        <v>33</v>
      </c>
      <c r="M1216">
        <v>10719949733</v>
      </c>
      <c r="N1216" t="s">
        <v>10421</v>
      </c>
      <c r="O1216" t="s">
        <v>76</v>
      </c>
      <c r="R1216" t="s">
        <v>10422</v>
      </c>
      <c r="S1216">
        <v>200</v>
      </c>
      <c r="T1216" t="s">
        <v>40</v>
      </c>
      <c r="U1216">
        <f>+IF(Tabla1[[#This Row],[MONEDA]]="PEN",Tabla1[[#This Row],[MONTO]],Tabla1[[#This Row],[MONTO]]*3.56)</f>
        <v>200</v>
      </c>
      <c r="V1216" t="s">
        <v>190</v>
      </c>
      <c r="W1216">
        <v>23138</v>
      </c>
      <c r="X1216" t="s">
        <v>81</v>
      </c>
      <c r="Y1216" t="s">
        <v>42</v>
      </c>
      <c r="Z1216" t="s">
        <v>82</v>
      </c>
      <c r="AA1216" t="s">
        <v>10423</v>
      </c>
      <c r="AC1216" t="s">
        <v>10424</v>
      </c>
      <c r="AD1216" t="s">
        <v>10425</v>
      </c>
    </row>
    <row r="1217" spans="1:33" hidden="1" x14ac:dyDescent="0.25">
      <c r="A1217">
        <v>24152</v>
      </c>
      <c r="B1217" t="s">
        <v>32</v>
      </c>
      <c r="C1217">
        <v>1</v>
      </c>
      <c r="D1217" t="s">
        <v>10694</v>
      </c>
      <c r="E1217" t="s">
        <v>70</v>
      </c>
      <c r="F1217" t="s">
        <v>33</v>
      </c>
      <c r="G1217" t="s">
        <v>71</v>
      </c>
      <c r="H1217" t="s">
        <v>72</v>
      </c>
      <c r="I1217" t="s">
        <v>10695</v>
      </c>
      <c r="J1217" t="s">
        <v>10696</v>
      </c>
      <c r="K1217" t="s">
        <v>36</v>
      </c>
      <c r="L1217" t="s">
        <v>33</v>
      </c>
      <c r="M1217">
        <v>10719949733</v>
      </c>
      <c r="N1217" t="s">
        <v>10421</v>
      </c>
      <c r="O1217" t="s">
        <v>76</v>
      </c>
      <c r="R1217" t="s">
        <v>10697</v>
      </c>
      <c r="S1217">
        <v>100</v>
      </c>
      <c r="T1217" t="s">
        <v>40</v>
      </c>
      <c r="U1217">
        <f>+IF(Tabla1[[#This Row],[MONEDA]]="PEN",Tabla1[[#This Row],[MONTO]],Tabla1[[#This Row],[MONTO]]*3.56)</f>
        <v>100</v>
      </c>
      <c r="V1217" t="s">
        <v>190</v>
      </c>
      <c r="W1217">
        <v>21787</v>
      </c>
      <c r="X1217" t="s">
        <v>81</v>
      </c>
      <c r="Y1217" t="s">
        <v>42</v>
      </c>
      <c r="Z1217" t="s">
        <v>82</v>
      </c>
      <c r="AA1217" t="s">
        <v>10698</v>
      </c>
      <c r="AC1217" t="s">
        <v>10699</v>
      </c>
      <c r="AD1217" t="s">
        <v>10700</v>
      </c>
    </row>
    <row r="1218" spans="1:33" hidden="1" x14ac:dyDescent="0.25">
      <c r="A1218">
        <v>24379</v>
      </c>
      <c r="B1218" t="s">
        <v>32</v>
      </c>
      <c r="C1218">
        <v>2</v>
      </c>
      <c r="D1218" t="s">
        <v>10403</v>
      </c>
      <c r="E1218" t="s">
        <v>70</v>
      </c>
      <c r="F1218" t="s">
        <v>1275</v>
      </c>
      <c r="G1218" t="s">
        <v>10333</v>
      </c>
      <c r="H1218" t="s">
        <v>3703</v>
      </c>
      <c r="I1218" t="s">
        <v>10404</v>
      </c>
      <c r="J1218" t="s">
        <v>10404</v>
      </c>
      <c r="K1218" t="s">
        <v>36</v>
      </c>
      <c r="L1218" t="s">
        <v>33</v>
      </c>
      <c r="M1218">
        <v>10400235363</v>
      </c>
      <c r="N1218" t="s">
        <v>10405</v>
      </c>
      <c r="O1218" t="s">
        <v>10333</v>
      </c>
      <c r="R1218" t="s">
        <v>10406</v>
      </c>
      <c r="S1218">
        <v>150</v>
      </c>
      <c r="T1218" t="s">
        <v>40</v>
      </c>
      <c r="U1218">
        <f>+IF(Tabla1[[#This Row],[MONEDA]]="PEN",Tabla1[[#This Row],[MONTO]],Tabla1[[#This Row],[MONTO]]*3.56)</f>
        <v>150</v>
      </c>
      <c r="V1218" t="s">
        <v>190</v>
      </c>
      <c r="W1218">
        <v>22824</v>
      </c>
      <c r="X1218" t="s">
        <v>81</v>
      </c>
      <c r="Y1218" t="s">
        <v>42</v>
      </c>
      <c r="Z1218" t="s">
        <v>82</v>
      </c>
      <c r="AA1218" t="s">
        <v>10407</v>
      </c>
      <c r="AC1218" t="s">
        <v>10408</v>
      </c>
      <c r="AD1218" t="s">
        <v>10409</v>
      </c>
    </row>
    <row r="1219" spans="1:33" x14ac:dyDescent="0.25">
      <c r="A1219">
        <v>28878</v>
      </c>
      <c r="B1219" t="s">
        <v>32</v>
      </c>
      <c r="C1219">
        <v>1</v>
      </c>
      <c r="D1219" t="s">
        <v>7199</v>
      </c>
      <c r="E1219" t="s">
        <v>70</v>
      </c>
      <c r="F1219" t="s">
        <v>5328</v>
      </c>
      <c r="G1219" t="s">
        <v>5329</v>
      </c>
      <c r="H1219" t="s">
        <v>72</v>
      </c>
      <c r="I1219" t="s">
        <v>7200</v>
      </c>
      <c r="J1219" t="s">
        <v>7201</v>
      </c>
      <c r="K1219" t="s">
        <v>36</v>
      </c>
      <c r="L1219" t="s">
        <v>33</v>
      </c>
      <c r="M1219">
        <v>10430369950</v>
      </c>
      <c r="N1219" t="s">
        <v>7202</v>
      </c>
      <c r="O1219" t="s">
        <v>6159</v>
      </c>
      <c r="P1219" t="s">
        <v>38</v>
      </c>
      <c r="Q1219" t="s">
        <v>7203</v>
      </c>
      <c r="R1219" t="s">
        <v>7204</v>
      </c>
      <c r="S1219">
        <v>270</v>
      </c>
      <c r="T1219" t="s">
        <v>40</v>
      </c>
      <c r="U1219">
        <f>+IF(Tabla1[[#This Row],[MONEDA]]="PEN",Tabla1[[#This Row],[MONTO]],Tabla1[[#This Row],[MONTO]]*3.56)</f>
        <v>270</v>
      </c>
      <c r="X1219" t="s">
        <v>81</v>
      </c>
      <c r="Y1219" t="s">
        <v>42</v>
      </c>
      <c r="Z1219" t="s">
        <v>43</v>
      </c>
      <c r="AA1219" t="s">
        <v>7205</v>
      </c>
      <c r="AB1219" t="s">
        <v>7206</v>
      </c>
      <c r="AC1219" t="s">
        <v>7207</v>
      </c>
      <c r="AD1219" t="s">
        <v>7208</v>
      </c>
      <c r="AE1219">
        <v>270</v>
      </c>
      <c r="AF1219" t="s">
        <v>87</v>
      </c>
      <c r="AG1219" t="s">
        <v>169</v>
      </c>
    </row>
    <row r="1220" spans="1:33" hidden="1" x14ac:dyDescent="0.25">
      <c r="A1220">
        <v>26834</v>
      </c>
      <c r="B1220" t="s">
        <v>32</v>
      </c>
      <c r="C1220">
        <v>2</v>
      </c>
      <c r="D1220" t="s">
        <v>8935</v>
      </c>
      <c r="E1220" t="s">
        <v>70</v>
      </c>
      <c r="F1220" t="s">
        <v>33</v>
      </c>
      <c r="G1220" t="s">
        <v>71</v>
      </c>
      <c r="H1220" t="s">
        <v>72</v>
      </c>
      <c r="I1220" t="s">
        <v>8936</v>
      </c>
      <c r="J1220" t="s">
        <v>8937</v>
      </c>
      <c r="K1220" t="s">
        <v>36</v>
      </c>
      <c r="L1220" t="s">
        <v>33</v>
      </c>
      <c r="M1220">
        <v>10296418469</v>
      </c>
      <c r="N1220" t="s">
        <v>8938</v>
      </c>
      <c r="O1220" t="s">
        <v>76</v>
      </c>
      <c r="R1220" t="s">
        <v>8939</v>
      </c>
      <c r="S1220">
        <v>30</v>
      </c>
      <c r="T1220" t="s">
        <v>40</v>
      </c>
      <c r="U1220">
        <f>+IF(Tabla1[[#This Row],[MONEDA]]="PEN",Tabla1[[#This Row],[MONTO]],Tabla1[[#This Row],[MONTO]]*3.56)</f>
        <v>30</v>
      </c>
      <c r="V1220" t="s">
        <v>190</v>
      </c>
      <c r="W1220">
        <v>26301</v>
      </c>
      <c r="X1220" t="s">
        <v>81</v>
      </c>
      <c r="Y1220" t="s">
        <v>42</v>
      </c>
      <c r="Z1220" t="s">
        <v>43</v>
      </c>
      <c r="AA1220" t="s">
        <v>8940</v>
      </c>
      <c r="AC1220" t="s">
        <v>8941</v>
      </c>
      <c r="AD1220" t="s">
        <v>8942</v>
      </c>
    </row>
    <row r="1221" spans="1:33" hidden="1" x14ac:dyDescent="0.25">
      <c r="A1221">
        <v>26719</v>
      </c>
      <c r="B1221" t="s">
        <v>32</v>
      </c>
      <c r="C1221">
        <v>1</v>
      </c>
      <c r="D1221" t="s">
        <v>9172</v>
      </c>
      <c r="E1221" t="s">
        <v>70</v>
      </c>
      <c r="F1221" t="s">
        <v>33</v>
      </c>
      <c r="G1221" t="s">
        <v>71</v>
      </c>
      <c r="H1221" t="s">
        <v>72</v>
      </c>
      <c r="I1221" t="s">
        <v>9173</v>
      </c>
      <c r="J1221" t="s">
        <v>9184</v>
      </c>
      <c r="K1221" t="s">
        <v>36</v>
      </c>
      <c r="L1221" t="s">
        <v>33</v>
      </c>
      <c r="M1221">
        <v>10296418469</v>
      </c>
      <c r="N1221" t="s">
        <v>8938</v>
      </c>
      <c r="O1221" t="s">
        <v>76</v>
      </c>
      <c r="R1221" t="s">
        <v>9185</v>
      </c>
      <c r="S1221">
        <v>150</v>
      </c>
      <c r="T1221" t="s">
        <v>40</v>
      </c>
      <c r="U1221">
        <f>+IF(Tabla1[[#This Row],[MONEDA]]="PEN",Tabla1[[#This Row],[MONTO]],Tabla1[[#This Row],[MONTO]]*3.56)</f>
        <v>150</v>
      </c>
      <c r="V1221" t="s">
        <v>190</v>
      </c>
      <c r="W1221">
        <v>25908</v>
      </c>
      <c r="X1221" t="s">
        <v>81</v>
      </c>
      <c r="Y1221" t="s">
        <v>42</v>
      </c>
      <c r="Z1221" t="s">
        <v>82</v>
      </c>
      <c r="AA1221" t="s">
        <v>9186</v>
      </c>
      <c r="AC1221" t="s">
        <v>9187</v>
      </c>
      <c r="AD1221" t="s">
        <v>9188</v>
      </c>
    </row>
    <row r="1222" spans="1:33" hidden="1" x14ac:dyDescent="0.25">
      <c r="A1222">
        <v>33240</v>
      </c>
      <c r="B1222" t="s">
        <v>32</v>
      </c>
      <c r="C1222">
        <v>1</v>
      </c>
      <c r="D1222" t="s">
        <v>4904</v>
      </c>
      <c r="E1222" t="s">
        <v>70</v>
      </c>
      <c r="F1222" t="s">
        <v>33</v>
      </c>
      <c r="G1222" t="s">
        <v>71</v>
      </c>
      <c r="H1222" t="s">
        <v>72</v>
      </c>
      <c r="I1222" t="s">
        <v>4897</v>
      </c>
      <c r="J1222" t="s">
        <v>4905</v>
      </c>
      <c r="K1222" t="s">
        <v>36</v>
      </c>
      <c r="L1222" t="s">
        <v>33</v>
      </c>
      <c r="M1222">
        <v>20607325660</v>
      </c>
      <c r="N1222" t="s">
        <v>4906</v>
      </c>
      <c r="O1222" t="s">
        <v>76</v>
      </c>
      <c r="P1222" t="s">
        <v>77</v>
      </c>
      <c r="Q1222" t="s">
        <v>4907</v>
      </c>
      <c r="R1222" t="s">
        <v>4908</v>
      </c>
      <c r="S1222">
        <v>3600</v>
      </c>
      <c r="T1222" t="s">
        <v>80</v>
      </c>
      <c r="U1222">
        <f>+IF(Tabla1[[#This Row],[MONEDA]]="PEN",Tabla1[[#This Row],[MONTO]],Tabla1[[#This Row],[MONTO]]*3.56)</f>
        <v>12816</v>
      </c>
      <c r="X1222" t="s">
        <v>81</v>
      </c>
      <c r="Y1222" t="s">
        <v>42</v>
      </c>
      <c r="Z1222" t="s">
        <v>43</v>
      </c>
      <c r="AA1222" t="s">
        <v>4909</v>
      </c>
      <c r="AB1222" t="s">
        <v>4910</v>
      </c>
      <c r="AC1222" t="s">
        <v>4911</v>
      </c>
      <c r="AD1222" t="s">
        <v>4912</v>
      </c>
      <c r="AE1222">
        <v>3492</v>
      </c>
      <c r="AF1222" t="s">
        <v>87</v>
      </c>
      <c r="AG1222" t="s">
        <v>88</v>
      </c>
    </row>
    <row r="1223" spans="1:33" x14ac:dyDescent="0.25">
      <c r="A1223">
        <v>43949</v>
      </c>
      <c r="B1223" t="s">
        <v>32</v>
      </c>
      <c r="C1223">
        <v>1</v>
      </c>
      <c r="D1223" t="s">
        <v>648</v>
      </c>
      <c r="E1223" t="s">
        <v>70</v>
      </c>
      <c r="F1223" t="s">
        <v>157</v>
      </c>
      <c r="G1223" t="s">
        <v>158</v>
      </c>
      <c r="H1223" t="s">
        <v>159</v>
      </c>
      <c r="I1223" t="s">
        <v>641</v>
      </c>
      <c r="J1223" t="s">
        <v>649</v>
      </c>
      <c r="K1223" t="s">
        <v>36</v>
      </c>
      <c r="L1223" t="s">
        <v>33</v>
      </c>
      <c r="M1223">
        <v>20456210229</v>
      </c>
      <c r="N1223" t="s">
        <v>650</v>
      </c>
      <c r="P1223" t="s">
        <v>38</v>
      </c>
      <c r="Q1223" t="s">
        <v>651</v>
      </c>
      <c r="R1223" t="s">
        <v>652</v>
      </c>
      <c r="S1223">
        <v>401.2</v>
      </c>
      <c r="T1223" t="s">
        <v>40</v>
      </c>
      <c r="U1223">
        <f>+IF(Tabla1[[#This Row],[MONEDA]]="PEN",Tabla1[[#This Row],[MONTO]],Tabla1[[#This Row],[MONTO]]*3.56)</f>
        <v>401.2</v>
      </c>
      <c r="X1223" t="s">
        <v>41</v>
      </c>
      <c r="Y1223" t="s">
        <v>42</v>
      </c>
      <c r="Z1223" t="s">
        <v>82</v>
      </c>
      <c r="AA1223" t="s">
        <v>653</v>
      </c>
      <c r="AB1223" t="s">
        <v>654</v>
      </c>
      <c r="AC1223" t="s">
        <v>655</v>
      </c>
      <c r="AD1223" t="s">
        <v>656</v>
      </c>
      <c r="AE1223">
        <v>401.2</v>
      </c>
      <c r="AF1223" t="s">
        <v>87</v>
      </c>
      <c r="AG1223" t="s">
        <v>169</v>
      </c>
    </row>
    <row r="1224" spans="1:33" x14ac:dyDescent="0.25">
      <c r="A1224">
        <v>40833</v>
      </c>
      <c r="B1224" t="s">
        <v>32</v>
      </c>
      <c r="C1224">
        <v>1</v>
      </c>
      <c r="D1224" t="s">
        <v>1785</v>
      </c>
      <c r="E1224" t="s">
        <v>70</v>
      </c>
      <c r="F1224" t="s">
        <v>157</v>
      </c>
      <c r="G1224" t="s">
        <v>158</v>
      </c>
      <c r="H1224" t="s">
        <v>159</v>
      </c>
      <c r="I1224" t="s">
        <v>1786</v>
      </c>
      <c r="J1224" t="s">
        <v>1787</v>
      </c>
      <c r="K1224" t="s">
        <v>36</v>
      </c>
      <c r="L1224" t="s">
        <v>33</v>
      </c>
      <c r="M1224">
        <v>20456210229</v>
      </c>
      <c r="N1224" t="s">
        <v>650</v>
      </c>
      <c r="P1224" t="s">
        <v>38</v>
      </c>
      <c r="Q1224" t="s">
        <v>651</v>
      </c>
      <c r="R1224" t="s">
        <v>1788</v>
      </c>
      <c r="S1224">
        <v>214.6</v>
      </c>
      <c r="T1224" t="s">
        <v>40</v>
      </c>
      <c r="U1224">
        <f>+IF(Tabla1[[#This Row],[MONEDA]]="PEN",Tabla1[[#This Row],[MONTO]],Tabla1[[#This Row],[MONTO]]*3.56)</f>
        <v>214.6</v>
      </c>
      <c r="X1224" t="s">
        <v>41</v>
      </c>
      <c r="Y1224" t="s">
        <v>42</v>
      </c>
      <c r="Z1224" t="s">
        <v>82</v>
      </c>
      <c r="AA1224" t="s">
        <v>1539</v>
      </c>
      <c r="AB1224" t="s">
        <v>1789</v>
      </c>
      <c r="AC1224" t="s">
        <v>1790</v>
      </c>
      <c r="AD1224" t="s">
        <v>1791</v>
      </c>
      <c r="AE1224">
        <v>214.6</v>
      </c>
      <c r="AF1224" t="s">
        <v>87</v>
      </c>
      <c r="AG1224" t="s">
        <v>169</v>
      </c>
    </row>
    <row r="1225" spans="1:33" x14ac:dyDescent="0.25">
      <c r="A1225">
        <v>39586</v>
      </c>
      <c r="B1225" t="s">
        <v>32</v>
      </c>
      <c r="C1225">
        <v>1</v>
      </c>
      <c r="D1225" t="s">
        <v>2304</v>
      </c>
      <c r="E1225" t="s">
        <v>70</v>
      </c>
      <c r="F1225" t="s">
        <v>157</v>
      </c>
      <c r="G1225" t="s">
        <v>158</v>
      </c>
      <c r="H1225" t="s">
        <v>159</v>
      </c>
      <c r="I1225" t="s">
        <v>2295</v>
      </c>
      <c r="J1225" t="s">
        <v>2305</v>
      </c>
      <c r="K1225" t="s">
        <v>36</v>
      </c>
      <c r="L1225" t="s">
        <v>33</v>
      </c>
      <c r="M1225">
        <v>20456210229</v>
      </c>
      <c r="N1225" t="s">
        <v>650</v>
      </c>
      <c r="P1225" t="s">
        <v>38</v>
      </c>
      <c r="Q1225" t="s">
        <v>651</v>
      </c>
      <c r="R1225" t="s">
        <v>2306</v>
      </c>
      <c r="S1225">
        <v>214.6</v>
      </c>
      <c r="T1225" t="s">
        <v>40</v>
      </c>
      <c r="U1225">
        <f>+IF(Tabla1[[#This Row],[MONEDA]]="PEN",Tabla1[[#This Row],[MONTO]],Tabla1[[#This Row],[MONTO]]*3.56)</f>
        <v>214.6</v>
      </c>
      <c r="X1225" t="s">
        <v>41</v>
      </c>
      <c r="Y1225" t="s">
        <v>42</v>
      </c>
      <c r="Z1225" t="s">
        <v>82</v>
      </c>
      <c r="AA1225" t="s">
        <v>2307</v>
      </c>
      <c r="AB1225" t="s">
        <v>2308</v>
      </c>
      <c r="AC1225" t="s">
        <v>2309</v>
      </c>
      <c r="AD1225" t="s">
        <v>2310</v>
      </c>
      <c r="AE1225">
        <v>214.6</v>
      </c>
      <c r="AF1225" t="s">
        <v>87</v>
      </c>
      <c r="AG1225" t="s">
        <v>169</v>
      </c>
    </row>
    <row r="1226" spans="1:33" x14ac:dyDescent="0.25">
      <c r="A1226">
        <v>39390</v>
      </c>
      <c r="B1226" t="s">
        <v>32</v>
      </c>
      <c r="C1226">
        <v>1</v>
      </c>
      <c r="D1226" t="s">
        <v>2311</v>
      </c>
      <c r="E1226" t="s">
        <v>70</v>
      </c>
      <c r="F1226" t="s">
        <v>157</v>
      </c>
      <c r="G1226" t="s">
        <v>158</v>
      </c>
      <c r="H1226" t="s">
        <v>159</v>
      </c>
      <c r="I1226" t="s">
        <v>2312</v>
      </c>
      <c r="J1226" t="s">
        <v>2313</v>
      </c>
      <c r="K1226" t="s">
        <v>36</v>
      </c>
      <c r="L1226" t="s">
        <v>33</v>
      </c>
      <c r="M1226">
        <v>20456210229</v>
      </c>
      <c r="N1226" t="s">
        <v>650</v>
      </c>
      <c r="P1226" t="s">
        <v>38</v>
      </c>
      <c r="Q1226" t="s">
        <v>651</v>
      </c>
      <c r="R1226" t="s">
        <v>2314</v>
      </c>
      <c r="S1226">
        <v>200.6</v>
      </c>
      <c r="T1226" t="s">
        <v>40</v>
      </c>
      <c r="U1226">
        <f>+IF(Tabla1[[#This Row],[MONEDA]]="PEN",Tabla1[[#This Row],[MONTO]],Tabla1[[#This Row],[MONTO]]*3.56)</f>
        <v>200.6</v>
      </c>
      <c r="X1226" t="s">
        <v>41</v>
      </c>
      <c r="Y1226" t="s">
        <v>42</v>
      </c>
      <c r="Z1226" t="s">
        <v>82</v>
      </c>
      <c r="AA1226" t="s">
        <v>2315</v>
      </c>
      <c r="AB1226" t="s">
        <v>2316</v>
      </c>
      <c r="AC1226" t="s">
        <v>2317</v>
      </c>
      <c r="AD1226" t="s">
        <v>2318</v>
      </c>
      <c r="AE1226">
        <v>200.6</v>
      </c>
      <c r="AF1226" t="s">
        <v>87</v>
      </c>
      <c r="AG1226" t="s">
        <v>169</v>
      </c>
    </row>
    <row r="1227" spans="1:33" x14ac:dyDescent="0.25">
      <c r="A1227">
        <v>37473</v>
      </c>
      <c r="B1227" t="s">
        <v>32</v>
      </c>
      <c r="C1227">
        <v>1</v>
      </c>
      <c r="D1227" t="s">
        <v>3255</v>
      </c>
      <c r="E1227" t="s">
        <v>70</v>
      </c>
      <c r="F1227" t="s">
        <v>3256</v>
      </c>
      <c r="G1227" t="s">
        <v>3257</v>
      </c>
      <c r="H1227" t="s">
        <v>159</v>
      </c>
      <c r="I1227" t="s">
        <v>3258</v>
      </c>
      <c r="J1227" t="s">
        <v>3259</v>
      </c>
      <c r="K1227" t="s">
        <v>36</v>
      </c>
      <c r="L1227" t="s">
        <v>33</v>
      </c>
      <c r="M1227">
        <v>20456210229</v>
      </c>
      <c r="N1227" t="s">
        <v>650</v>
      </c>
      <c r="P1227" t="s">
        <v>38</v>
      </c>
      <c r="Q1227" t="s">
        <v>651</v>
      </c>
      <c r="R1227" t="s">
        <v>3260</v>
      </c>
      <c r="S1227">
        <v>200.6</v>
      </c>
      <c r="T1227" t="s">
        <v>40</v>
      </c>
      <c r="U1227">
        <f>+IF(Tabla1[[#This Row],[MONEDA]]="PEN",Tabla1[[#This Row],[MONTO]],Tabla1[[#This Row],[MONTO]]*3.56)</f>
        <v>200.6</v>
      </c>
      <c r="X1227" t="s">
        <v>41</v>
      </c>
      <c r="Y1227" t="s">
        <v>42</v>
      </c>
      <c r="Z1227" t="s">
        <v>82</v>
      </c>
      <c r="AA1227" t="s">
        <v>3261</v>
      </c>
      <c r="AB1227" t="s">
        <v>3262</v>
      </c>
      <c r="AC1227" t="s">
        <v>3263</v>
      </c>
      <c r="AD1227" t="s">
        <v>3264</v>
      </c>
      <c r="AE1227">
        <v>200.6</v>
      </c>
      <c r="AF1227" t="s">
        <v>87</v>
      </c>
      <c r="AG1227" t="s">
        <v>169</v>
      </c>
    </row>
    <row r="1228" spans="1:33" x14ac:dyDescent="0.25">
      <c r="A1228">
        <v>37144</v>
      </c>
      <c r="B1228" t="s">
        <v>32</v>
      </c>
      <c r="C1228">
        <v>1</v>
      </c>
      <c r="D1228" t="s">
        <v>3492</v>
      </c>
      <c r="E1228" t="s">
        <v>70</v>
      </c>
      <c r="F1228" t="s">
        <v>3256</v>
      </c>
      <c r="G1228" t="s">
        <v>3257</v>
      </c>
      <c r="H1228" t="s">
        <v>159</v>
      </c>
      <c r="I1228" t="s">
        <v>3479</v>
      </c>
      <c r="J1228" t="s">
        <v>3493</v>
      </c>
      <c r="K1228" t="s">
        <v>36</v>
      </c>
      <c r="L1228" t="s">
        <v>33</v>
      </c>
      <c r="M1228">
        <v>20456210229</v>
      </c>
      <c r="N1228" t="s">
        <v>650</v>
      </c>
      <c r="P1228" t="s">
        <v>38</v>
      </c>
      <c r="Q1228" t="s">
        <v>651</v>
      </c>
      <c r="R1228" t="s">
        <v>3494</v>
      </c>
      <c r="S1228">
        <v>200.6</v>
      </c>
      <c r="T1228" t="s">
        <v>40</v>
      </c>
      <c r="U1228">
        <f>+IF(Tabla1[[#This Row],[MONEDA]]="PEN",Tabla1[[#This Row],[MONTO]],Tabla1[[#This Row],[MONTO]]*3.56)</f>
        <v>200.6</v>
      </c>
      <c r="X1228" t="s">
        <v>41</v>
      </c>
      <c r="Y1228" t="s">
        <v>42</v>
      </c>
      <c r="Z1228" t="s">
        <v>82</v>
      </c>
      <c r="AA1228" t="s">
        <v>3495</v>
      </c>
      <c r="AB1228" t="s">
        <v>3496</v>
      </c>
      <c r="AC1228" t="s">
        <v>3497</v>
      </c>
      <c r="AD1228" t="s">
        <v>3498</v>
      </c>
      <c r="AE1228">
        <v>200.6</v>
      </c>
      <c r="AF1228" t="s">
        <v>87</v>
      </c>
      <c r="AG1228" t="s">
        <v>169</v>
      </c>
    </row>
    <row r="1229" spans="1:33" x14ac:dyDescent="0.25">
      <c r="A1229">
        <v>37033</v>
      </c>
      <c r="B1229" t="s">
        <v>32</v>
      </c>
      <c r="C1229">
        <v>1</v>
      </c>
      <c r="D1229" t="s">
        <v>3518</v>
      </c>
      <c r="E1229" t="s">
        <v>70</v>
      </c>
      <c r="F1229" t="s">
        <v>3256</v>
      </c>
      <c r="G1229" t="s">
        <v>3257</v>
      </c>
      <c r="H1229" t="s">
        <v>159</v>
      </c>
      <c r="I1229" t="s">
        <v>3519</v>
      </c>
      <c r="J1229" t="s">
        <v>3520</v>
      </c>
      <c r="K1229" t="s">
        <v>36</v>
      </c>
      <c r="L1229" t="s">
        <v>33</v>
      </c>
      <c r="M1229">
        <v>20456210229</v>
      </c>
      <c r="N1229" t="s">
        <v>650</v>
      </c>
      <c r="P1229" t="s">
        <v>38</v>
      </c>
      <c r="Q1229" t="s">
        <v>651</v>
      </c>
      <c r="R1229" t="s">
        <v>3521</v>
      </c>
      <c r="S1229">
        <v>401.2</v>
      </c>
      <c r="T1229" t="s">
        <v>40</v>
      </c>
      <c r="U1229">
        <f>+IF(Tabla1[[#This Row],[MONEDA]]="PEN",Tabla1[[#This Row],[MONTO]],Tabla1[[#This Row],[MONTO]]*3.56)</f>
        <v>401.2</v>
      </c>
      <c r="X1229" t="s">
        <v>41</v>
      </c>
      <c r="Y1229" t="s">
        <v>42</v>
      </c>
      <c r="Z1229" t="s">
        <v>82</v>
      </c>
      <c r="AA1229" t="s">
        <v>3522</v>
      </c>
      <c r="AB1229" t="s">
        <v>3523</v>
      </c>
      <c r="AC1229" t="s">
        <v>3524</v>
      </c>
      <c r="AD1229" t="s">
        <v>3525</v>
      </c>
      <c r="AE1229">
        <v>401.2</v>
      </c>
      <c r="AF1229" t="s">
        <v>87</v>
      </c>
      <c r="AG1229" t="s">
        <v>169</v>
      </c>
    </row>
    <row r="1230" spans="1:33" x14ac:dyDescent="0.25">
      <c r="A1230">
        <v>36831</v>
      </c>
      <c r="B1230" t="s">
        <v>32</v>
      </c>
      <c r="C1230">
        <v>1</v>
      </c>
      <c r="D1230" t="s">
        <v>3611</v>
      </c>
      <c r="E1230" t="s">
        <v>70</v>
      </c>
      <c r="F1230" t="s">
        <v>157</v>
      </c>
      <c r="G1230" t="s">
        <v>158</v>
      </c>
      <c r="H1230" t="s">
        <v>159</v>
      </c>
      <c r="I1230" t="s">
        <v>3612</v>
      </c>
      <c r="J1230" t="s">
        <v>3613</v>
      </c>
      <c r="K1230" t="s">
        <v>36</v>
      </c>
      <c r="L1230" t="s">
        <v>33</v>
      </c>
      <c r="M1230">
        <v>20456210229</v>
      </c>
      <c r="N1230" t="s">
        <v>650</v>
      </c>
      <c r="P1230" t="s">
        <v>38</v>
      </c>
      <c r="Q1230" t="s">
        <v>651</v>
      </c>
      <c r="R1230" t="s">
        <v>3614</v>
      </c>
      <c r="S1230">
        <v>200.6</v>
      </c>
      <c r="T1230" t="s">
        <v>40</v>
      </c>
      <c r="U1230">
        <f>+IF(Tabla1[[#This Row],[MONEDA]]="PEN",Tabla1[[#This Row],[MONTO]],Tabla1[[#This Row],[MONTO]]*3.56)</f>
        <v>200.6</v>
      </c>
      <c r="X1230" t="s">
        <v>41</v>
      </c>
      <c r="Y1230" t="s">
        <v>42</v>
      </c>
      <c r="Z1230" t="s">
        <v>82</v>
      </c>
      <c r="AA1230" t="s">
        <v>3615</v>
      </c>
      <c r="AB1230" t="s">
        <v>3616</v>
      </c>
      <c r="AC1230" t="s">
        <v>3617</v>
      </c>
      <c r="AD1230" t="s">
        <v>3618</v>
      </c>
      <c r="AE1230">
        <v>200.6</v>
      </c>
      <c r="AF1230" t="s">
        <v>87</v>
      </c>
      <c r="AG1230" t="s">
        <v>169</v>
      </c>
    </row>
    <row r="1231" spans="1:33" x14ac:dyDescent="0.25">
      <c r="A1231">
        <v>30665</v>
      </c>
      <c r="B1231" t="s">
        <v>32</v>
      </c>
      <c r="C1231">
        <v>1</v>
      </c>
      <c r="D1231" t="s">
        <v>6233</v>
      </c>
      <c r="E1231" t="s">
        <v>70</v>
      </c>
      <c r="F1231" t="s">
        <v>3256</v>
      </c>
      <c r="G1231" t="s">
        <v>3257</v>
      </c>
      <c r="H1231" t="s">
        <v>159</v>
      </c>
      <c r="I1231" t="s">
        <v>6234</v>
      </c>
      <c r="J1231" t="s">
        <v>6235</v>
      </c>
      <c r="K1231" t="s">
        <v>36</v>
      </c>
      <c r="L1231" t="s">
        <v>33</v>
      </c>
      <c r="M1231">
        <v>20456210229</v>
      </c>
      <c r="N1231" t="s">
        <v>650</v>
      </c>
      <c r="P1231" t="s">
        <v>38</v>
      </c>
      <c r="Q1231" t="s">
        <v>651</v>
      </c>
      <c r="R1231" t="s">
        <v>6236</v>
      </c>
      <c r="S1231">
        <v>401.2</v>
      </c>
      <c r="T1231" t="s">
        <v>40</v>
      </c>
      <c r="U1231">
        <f>+IF(Tabla1[[#This Row],[MONEDA]]="PEN",Tabla1[[#This Row],[MONTO]],Tabla1[[#This Row],[MONTO]]*3.56)</f>
        <v>401.2</v>
      </c>
      <c r="X1231" t="s">
        <v>41</v>
      </c>
      <c r="Y1231" t="s">
        <v>42</v>
      </c>
      <c r="Z1231" t="s">
        <v>82</v>
      </c>
      <c r="AA1231" t="s">
        <v>6237</v>
      </c>
      <c r="AB1231" t="s">
        <v>6238</v>
      </c>
      <c r="AC1231" t="s">
        <v>6239</v>
      </c>
      <c r="AD1231" t="s">
        <v>6240</v>
      </c>
      <c r="AE1231">
        <v>401.2</v>
      </c>
      <c r="AF1231" t="s">
        <v>87</v>
      </c>
      <c r="AG1231" t="s">
        <v>169</v>
      </c>
    </row>
    <row r="1232" spans="1:33" x14ac:dyDescent="0.25">
      <c r="A1232">
        <v>29952</v>
      </c>
      <c r="B1232" t="s">
        <v>32</v>
      </c>
      <c r="C1232">
        <v>1</v>
      </c>
      <c r="D1232" t="s">
        <v>6529</v>
      </c>
      <c r="E1232" t="s">
        <v>70</v>
      </c>
      <c r="F1232" t="s">
        <v>3256</v>
      </c>
      <c r="G1232" t="s">
        <v>3257</v>
      </c>
      <c r="H1232" t="s">
        <v>159</v>
      </c>
      <c r="I1232" t="s">
        <v>6522</v>
      </c>
      <c r="J1232" t="s">
        <v>6530</v>
      </c>
      <c r="K1232" t="s">
        <v>36</v>
      </c>
      <c r="L1232" t="s">
        <v>33</v>
      </c>
      <c r="M1232">
        <v>20456210229</v>
      </c>
      <c r="N1232" t="s">
        <v>650</v>
      </c>
      <c r="P1232" t="s">
        <v>38</v>
      </c>
      <c r="Q1232" t="s">
        <v>651</v>
      </c>
      <c r="R1232" t="s">
        <v>6531</v>
      </c>
      <c r="S1232">
        <v>601.79999999999995</v>
      </c>
      <c r="T1232" t="s">
        <v>40</v>
      </c>
      <c r="U1232">
        <f>+IF(Tabla1[[#This Row],[MONEDA]]="PEN",Tabla1[[#This Row],[MONTO]],Tabla1[[#This Row],[MONTO]]*3.56)</f>
        <v>601.79999999999995</v>
      </c>
      <c r="X1232" t="s">
        <v>41</v>
      </c>
      <c r="Y1232" t="s">
        <v>42</v>
      </c>
      <c r="Z1232" t="s">
        <v>82</v>
      </c>
      <c r="AA1232" t="s">
        <v>6532</v>
      </c>
      <c r="AB1232" t="s">
        <v>6533</v>
      </c>
      <c r="AC1232" t="s">
        <v>6534</v>
      </c>
      <c r="AD1232" t="s">
        <v>6535</v>
      </c>
      <c r="AE1232">
        <v>601.79999999999995</v>
      </c>
      <c r="AF1232" t="s">
        <v>87</v>
      </c>
      <c r="AG1232" t="s">
        <v>169</v>
      </c>
    </row>
    <row r="1233" spans="1:33" x14ac:dyDescent="0.25">
      <c r="A1233">
        <v>28516</v>
      </c>
      <c r="B1233" t="s">
        <v>32</v>
      </c>
      <c r="C1233">
        <v>1</v>
      </c>
      <c r="D1233" t="s">
        <v>7677</v>
      </c>
      <c r="E1233" t="s">
        <v>70</v>
      </c>
      <c r="F1233" t="s">
        <v>3256</v>
      </c>
      <c r="G1233" t="s">
        <v>3257</v>
      </c>
      <c r="H1233" t="s">
        <v>159</v>
      </c>
      <c r="I1233" t="s">
        <v>7670</v>
      </c>
      <c r="J1233" t="s">
        <v>7678</v>
      </c>
      <c r="K1233" t="s">
        <v>36</v>
      </c>
      <c r="L1233" t="s">
        <v>33</v>
      </c>
      <c r="M1233">
        <v>20456210229</v>
      </c>
      <c r="N1233" t="s">
        <v>650</v>
      </c>
      <c r="P1233" t="s">
        <v>38</v>
      </c>
      <c r="Q1233" t="s">
        <v>651</v>
      </c>
      <c r="R1233" t="s">
        <v>7679</v>
      </c>
      <c r="S1233">
        <v>214.6</v>
      </c>
      <c r="T1233" t="s">
        <v>40</v>
      </c>
      <c r="U1233">
        <f>+IF(Tabla1[[#This Row],[MONEDA]]="PEN",Tabla1[[#This Row],[MONTO]],Tabla1[[#This Row],[MONTO]]*3.56)</f>
        <v>214.6</v>
      </c>
      <c r="X1233" t="s">
        <v>41</v>
      </c>
      <c r="Y1233" t="s">
        <v>42</v>
      </c>
      <c r="Z1233" t="s">
        <v>82</v>
      </c>
      <c r="AA1233" t="s">
        <v>7680</v>
      </c>
      <c r="AB1233" t="s">
        <v>7681</v>
      </c>
      <c r="AC1233" t="s">
        <v>7682</v>
      </c>
      <c r="AD1233" t="s">
        <v>7683</v>
      </c>
      <c r="AE1233">
        <v>214.6</v>
      </c>
      <c r="AF1233" t="s">
        <v>87</v>
      </c>
      <c r="AG1233" t="s">
        <v>169</v>
      </c>
    </row>
    <row r="1234" spans="1:33" x14ac:dyDescent="0.25">
      <c r="A1234">
        <v>27222</v>
      </c>
      <c r="B1234" t="s">
        <v>32</v>
      </c>
      <c r="C1234">
        <v>1</v>
      </c>
      <c r="D1234" t="s">
        <v>8551</v>
      </c>
      <c r="E1234" t="s">
        <v>70</v>
      </c>
      <c r="F1234" t="s">
        <v>3256</v>
      </c>
      <c r="G1234" t="s">
        <v>3257</v>
      </c>
      <c r="H1234" t="s">
        <v>8233</v>
      </c>
      <c r="I1234" t="s">
        <v>8552</v>
      </c>
      <c r="J1234" t="s">
        <v>8553</v>
      </c>
      <c r="K1234" t="s">
        <v>36</v>
      </c>
      <c r="L1234" t="s">
        <v>33</v>
      </c>
      <c r="M1234">
        <v>20456210229</v>
      </c>
      <c r="N1234" t="s">
        <v>650</v>
      </c>
      <c r="P1234" t="s">
        <v>38</v>
      </c>
      <c r="Q1234" t="s">
        <v>651</v>
      </c>
      <c r="R1234" t="s">
        <v>8554</v>
      </c>
      <c r="S1234">
        <v>200.6</v>
      </c>
      <c r="T1234" t="s">
        <v>40</v>
      </c>
      <c r="U1234">
        <f>+IF(Tabla1[[#This Row],[MONEDA]]="PEN",Tabla1[[#This Row],[MONTO]],Tabla1[[#This Row],[MONTO]]*3.56)</f>
        <v>200.6</v>
      </c>
      <c r="X1234" t="s">
        <v>41</v>
      </c>
      <c r="Y1234" t="s">
        <v>42</v>
      </c>
      <c r="Z1234" t="s">
        <v>82</v>
      </c>
      <c r="AA1234" t="s">
        <v>8555</v>
      </c>
      <c r="AB1234" t="s">
        <v>8556</v>
      </c>
      <c r="AC1234" t="s">
        <v>8557</v>
      </c>
      <c r="AD1234" t="s">
        <v>8558</v>
      </c>
      <c r="AE1234">
        <v>200.6</v>
      </c>
      <c r="AF1234" t="s">
        <v>87</v>
      </c>
      <c r="AG1234" t="s">
        <v>169</v>
      </c>
    </row>
    <row r="1235" spans="1:33" x14ac:dyDescent="0.25">
      <c r="A1235">
        <v>25505</v>
      </c>
      <c r="B1235" t="s">
        <v>32</v>
      </c>
      <c r="C1235">
        <v>1</v>
      </c>
      <c r="D1235" t="s">
        <v>9712</v>
      </c>
      <c r="E1235" t="s">
        <v>70</v>
      </c>
      <c r="F1235" t="s">
        <v>3256</v>
      </c>
      <c r="G1235" t="s">
        <v>3257</v>
      </c>
      <c r="H1235" t="s">
        <v>8233</v>
      </c>
      <c r="I1235" t="s">
        <v>9713</v>
      </c>
      <c r="J1235" t="s">
        <v>9714</v>
      </c>
      <c r="K1235" t="s">
        <v>36</v>
      </c>
      <c r="L1235" t="s">
        <v>33</v>
      </c>
      <c r="M1235">
        <v>20456210229</v>
      </c>
      <c r="N1235" t="s">
        <v>650</v>
      </c>
      <c r="P1235" t="s">
        <v>38</v>
      </c>
      <c r="Q1235" t="s">
        <v>651</v>
      </c>
      <c r="R1235" t="s">
        <v>9715</v>
      </c>
      <c r="S1235">
        <v>259.60000000000002</v>
      </c>
      <c r="T1235" t="s">
        <v>40</v>
      </c>
      <c r="U1235">
        <f>+IF(Tabla1[[#This Row],[MONEDA]]="PEN",Tabla1[[#This Row],[MONTO]],Tabla1[[#This Row],[MONTO]]*3.56)</f>
        <v>259.60000000000002</v>
      </c>
      <c r="X1235" t="s">
        <v>41</v>
      </c>
      <c r="Y1235" t="s">
        <v>42</v>
      </c>
      <c r="Z1235" t="s">
        <v>82</v>
      </c>
      <c r="AA1235" t="s">
        <v>9716</v>
      </c>
      <c r="AB1235" t="s">
        <v>9717</v>
      </c>
      <c r="AC1235" t="s">
        <v>9718</v>
      </c>
      <c r="AD1235" t="s">
        <v>9719</v>
      </c>
      <c r="AE1235">
        <v>259.60000000000002</v>
      </c>
      <c r="AF1235" t="s">
        <v>87</v>
      </c>
      <c r="AG1235" t="s">
        <v>169</v>
      </c>
    </row>
    <row r="1236" spans="1:33" x14ac:dyDescent="0.25">
      <c r="A1236">
        <v>24698</v>
      </c>
      <c r="B1236" t="s">
        <v>32</v>
      </c>
      <c r="C1236">
        <v>1</v>
      </c>
      <c r="D1236" t="s">
        <v>10155</v>
      </c>
      <c r="E1236" t="s">
        <v>70</v>
      </c>
      <c r="F1236" t="s">
        <v>3256</v>
      </c>
      <c r="G1236" t="s">
        <v>3257</v>
      </c>
      <c r="H1236" t="s">
        <v>8233</v>
      </c>
      <c r="I1236" t="s">
        <v>10156</v>
      </c>
      <c r="J1236" t="s">
        <v>10157</v>
      </c>
      <c r="K1236" t="s">
        <v>36</v>
      </c>
      <c r="L1236" t="s">
        <v>33</v>
      </c>
      <c r="M1236">
        <v>20456210229</v>
      </c>
      <c r="N1236" t="s">
        <v>650</v>
      </c>
      <c r="P1236" t="s">
        <v>38</v>
      </c>
      <c r="Q1236" t="s">
        <v>651</v>
      </c>
      <c r="R1236" t="s">
        <v>10158</v>
      </c>
      <c r="S1236">
        <v>214.6</v>
      </c>
      <c r="T1236" t="s">
        <v>40</v>
      </c>
      <c r="U1236">
        <f>+IF(Tabla1[[#This Row],[MONEDA]]="PEN",Tabla1[[#This Row],[MONTO]],Tabla1[[#This Row],[MONTO]]*3.56)</f>
        <v>214.6</v>
      </c>
      <c r="X1236" t="s">
        <v>41</v>
      </c>
      <c r="Y1236" t="s">
        <v>42</v>
      </c>
      <c r="Z1236" t="s">
        <v>82</v>
      </c>
      <c r="AA1236" t="s">
        <v>10159</v>
      </c>
      <c r="AB1236" t="s">
        <v>10160</v>
      </c>
      <c r="AC1236" t="s">
        <v>10161</v>
      </c>
      <c r="AD1236" t="s">
        <v>10162</v>
      </c>
      <c r="AE1236">
        <v>214.6</v>
      </c>
      <c r="AF1236" t="s">
        <v>87</v>
      </c>
      <c r="AG1236" t="s">
        <v>169</v>
      </c>
    </row>
    <row r="1237" spans="1:33" x14ac:dyDescent="0.25">
      <c r="A1237">
        <v>23711</v>
      </c>
      <c r="B1237" t="s">
        <v>32</v>
      </c>
      <c r="C1237">
        <v>1</v>
      </c>
      <c r="D1237" t="s">
        <v>11000</v>
      </c>
      <c r="E1237" t="s">
        <v>70</v>
      </c>
      <c r="F1237" t="s">
        <v>3256</v>
      </c>
      <c r="G1237" t="s">
        <v>3257</v>
      </c>
      <c r="H1237" t="s">
        <v>8233</v>
      </c>
      <c r="I1237" t="s">
        <v>11001</v>
      </c>
      <c r="J1237" t="s">
        <v>11002</v>
      </c>
      <c r="K1237" t="s">
        <v>36</v>
      </c>
      <c r="L1237" t="s">
        <v>33</v>
      </c>
      <c r="M1237">
        <v>20456210229</v>
      </c>
      <c r="N1237" t="s">
        <v>650</v>
      </c>
      <c r="P1237" t="s">
        <v>38</v>
      </c>
      <c r="Q1237" t="s">
        <v>651</v>
      </c>
      <c r="R1237" t="s">
        <v>11003</v>
      </c>
      <c r="S1237">
        <v>214.6</v>
      </c>
      <c r="T1237" t="s">
        <v>40</v>
      </c>
      <c r="U1237">
        <f>+IF(Tabla1[[#This Row],[MONEDA]]="PEN",Tabla1[[#This Row],[MONTO]],Tabla1[[#This Row],[MONTO]]*3.56)</f>
        <v>214.6</v>
      </c>
      <c r="X1237" t="s">
        <v>41</v>
      </c>
      <c r="Y1237" t="s">
        <v>42</v>
      </c>
      <c r="Z1237" t="s">
        <v>82</v>
      </c>
      <c r="AA1237" t="s">
        <v>11004</v>
      </c>
      <c r="AB1237" t="s">
        <v>11005</v>
      </c>
      <c r="AC1237" t="s">
        <v>11006</v>
      </c>
      <c r="AD1237" t="s">
        <v>11007</v>
      </c>
      <c r="AE1237">
        <v>214.6</v>
      </c>
      <c r="AF1237" t="s">
        <v>87</v>
      </c>
      <c r="AG1237" t="s">
        <v>169</v>
      </c>
    </row>
    <row r="1238" spans="1:33" x14ac:dyDescent="0.25">
      <c r="A1238">
        <v>23517</v>
      </c>
      <c r="B1238" t="s">
        <v>32</v>
      </c>
      <c r="C1238">
        <v>1</v>
      </c>
      <c r="D1238" t="s">
        <v>11184</v>
      </c>
      <c r="E1238" t="s">
        <v>70</v>
      </c>
      <c r="F1238" t="s">
        <v>3256</v>
      </c>
      <c r="G1238" t="s">
        <v>3257</v>
      </c>
      <c r="H1238" t="s">
        <v>8233</v>
      </c>
      <c r="I1238" t="s">
        <v>11185</v>
      </c>
      <c r="J1238" t="s">
        <v>11186</v>
      </c>
      <c r="K1238" t="s">
        <v>36</v>
      </c>
      <c r="L1238" t="s">
        <v>33</v>
      </c>
      <c r="M1238">
        <v>20456210229</v>
      </c>
      <c r="N1238" t="s">
        <v>650</v>
      </c>
      <c r="P1238" t="s">
        <v>38</v>
      </c>
      <c r="Q1238" t="s">
        <v>651</v>
      </c>
      <c r="R1238" t="s">
        <v>11187</v>
      </c>
      <c r="S1238">
        <v>200.6</v>
      </c>
      <c r="T1238" t="s">
        <v>40</v>
      </c>
      <c r="U1238">
        <f>+IF(Tabla1[[#This Row],[MONEDA]]="PEN",Tabla1[[#This Row],[MONTO]],Tabla1[[#This Row],[MONTO]]*3.56)</f>
        <v>200.6</v>
      </c>
      <c r="X1238" t="s">
        <v>41</v>
      </c>
      <c r="Y1238" t="s">
        <v>42</v>
      </c>
      <c r="Z1238" t="s">
        <v>82</v>
      </c>
      <c r="AA1238" t="s">
        <v>11188</v>
      </c>
      <c r="AB1238" t="s">
        <v>11189</v>
      </c>
      <c r="AC1238" t="s">
        <v>11190</v>
      </c>
      <c r="AD1238" t="s">
        <v>11191</v>
      </c>
      <c r="AE1238">
        <v>200.6</v>
      </c>
      <c r="AF1238" t="s">
        <v>87</v>
      </c>
      <c r="AG1238" t="s">
        <v>169</v>
      </c>
    </row>
    <row r="1239" spans="1:33" x14ac:dyDescent="0.25">
      <c r="A1239">
        <v>22980</v>
      </c>
      <c r="B1239" t="s">
        <v>32</v>
      </c>
      <c r="C1239">
        <v>1</v>
      </c>
      <c r="D1239" t="s">
        <v>11645</v>
      </c>
      <c r="E1239" t="s">
        <v>70</v>
      </c>
      <c r="F1239" t="s">
        <v>3256</v>
      </c>
      <c r="G1239" t="s">
        <v>3257</v>
      </c>
      <c r="H1239" t="s">
        <v>8233</v>
      </c>
      <c r="I1239" t="s">
        <v>11646</v>
      </c>
      <c r="J1239" t="s">
        <v>11647</v>
      </c>
      <c r="K1239" t="s">
        <v>36</v>
      </c>
      <c r="L1239" t="s">
        <v>33</v>
      </c>
      <c r="M1239">
        <v>20456210229</v>
      </c>
      <c r="N1239" t="s">
        <v>650</v>
      </c>
      <c r="P1239" t="s">
        <v>38</v>
      </c>
      <c r="Q1239" t="s">
        <v>651</v>
      </c>
      <c r="R1239" t="s">
        <v>11648</v>
      </c>
      <c r="S1239">
        <v>214.6</v>
      </c>
      <c r="T1239" t="s">
        <v>40</v>
      </c>
      <c r="U1239">
        <f>+IF(Tabla1[[#This Row],[MONEDA]]="PEN",Tabla1[[#This Row],[MONTO]],Tabla1[[#This Row],[MONTO]]*3.56)</f>
        <v>214.6</v>
      </c>
      <c r="X1239" t="s">
        <v>41</v>
      </c>
      <c r="Y1239" t="s">
        <v>42</v>
      </c>
      <c r="Z1239" t="s">
        <v>82</v>
      </c>
      <c r="AA1239" t="s">
        <v>11649</v>
      </c>
      <c r="AB1239" t="s">
        <v>11650</v>
      </c>
      <c r="AC1239" t="s">
        <v>11651</v>
      </c>
      <c r="AD1239" t="s">
        <v>11652</v>
      </c>
      <c r="AE1239">
        <v>214.6</v>
      </c>
      <c r="AF1239" t="s">
        <v>87</v>
      </c>
      <c r="AG1239" t="s">
        <v>169</v>
      </c>
    </row>
    <row r="1240" spans="1:33" x14ac:dyDescent="0.25">
      <c r="A1240">
        <v>22380</v>
      </c>
      <c r="B1240" t="s">
        <v>32</v>
      </c>
      <c r="C1240">
        <v>1</v>
      </c>
      <c r="D1240" t="s">
        <v>11897</v>
      </c>
      <c r="E1240" t="s">
        <v>70</v>
      </c>
      <c r="F1240" t="s">
        <v>3256</v>
      </c>
      <c r="G1240" t="s">
        <v>3257</v>
      </c>
      <c r="H1240" t="s">
        <v>8233</v>
      </c>
      <c r="I1240" t="s">
        <v>11898</v>
      </c>
      <c r="J1240" t="s">
        <v>11899</v>
      </c>
      <c r="K1240" t="s">
        <v>36</v>
      </c>
      <c r="L1240" t="s">
        <v>33</v>
      </c>
      <c r="M1240">
        <v>20456210229</v>
      </c>
      <c r="N1240" t="s">
        <v>650</v>
      </c>
      <c r="P1240" t="s">
        <v>38</v>
      </c>
      <c r="Q1240" t="s">
        <v>651</v>
      </c>
      <c r="R1240" t="s">
        <v>11900</v>
      </c>
      <c r="S1240">
        <v>200.6</v>
      </c>
      <c r="T1240" t="s">
        <v>40</v>
      </c>
      <c r="U1240">
        <f>+IF(Tabla1[[#This Row],[MONEDA]]="PEN",Tabla1[[#This Row],[MONTO]],Tabla1[[#This Row],[MONTO]]*3.56)</f>
        <v>200.6</v>
      </c>
      <c r="X1240" t="s">
        <v>41</v>
      </c>
      <c r="Y1240" t="s">
        <v>42</v>
      </c>
      <c r="Z1240" t="s">
        <v>82</v>
      </c>
      <c r="AA1240" t="s">
        <v>11901</v>
      </c>
      <c r="AB1240" t="s">
        <v>11902</v>
      </c>
      <c r="AC1240" t="s">
        <v>11903</v>
      </c>
      <c r="AD1240" t="s">
        <v>11904</v>
      </c>
      <c r="AE1240">
        <v>200.6</v>
      </c>
      <c r="AF1240" t="s">
        <v>87</v>
      </c>
      <c r="AG1240" t="s">
        <v>169</v>
      </c>
    </row>
    <row r="1241" spans="1:33" x14ac:dyDescent="0.25">
      <c r="A1241">
        <v>21800</v>
      </c>
      <c r="B1241" t="s">
        <v>32</v>
      </c>
      <c r="C1241">
        <v>1</v>
      </c>
      <c r="D1241" t="s">
        <v>12185</v>
      </c>
      <c r="E1241" t="s">
        <v>70</v>
      </c>
      <c r="F1241" t="s">
        <v>3256</v>
      </c>
      <c r="G1241" t="s">
        <v>3257</v>
      </c>
      <c r="H1241" t="s">
        <v>8233</v>
      </c>
      <c r="I1241" t="s">
        <v>12186</v>
      </c>
      <c r="J1241" t="s">
        <v>12187</v>
      </c>
      <c r="K1241" t="s">
        <v>36</v>
      </c>
      <c r="L1241" t="s">
        <v>33</v>
      </c>
      <c r="M1241">
        <v>20456210229</v>
      </c>
      <c r="N1241" t="s">
        <v>650</v>
      </c>
      <c r="P1241" t="s">
        <v>38</v>
      </c>
      <c r="Q1241" t="s">
        <v>651</v>
      </c>
      <c r="R1241" t="s">
        <v>12188</v>
      </c>
      <c r="S1241">
        <v>200.6</v>
      </c>
      <c r="T1241" t="s">
        <v>40</v>
      </c>
      <c r="U1241">
        <f>+IF(Tabla1[[#This Row],[MONEDA]]="PEN",Tabla1[[#This Row],[MONTO]],Tabla1[[#This Row],[MONTO]]*3.56)</f>
        <v>200.6</v>
      </c>
      <c r="X1241" t="s">
        <v>41</v>
      </c>
      <c r="Y1241" t="s">
        <v>42</v>
      </c>
      <c r="Z1241" t="s">
        <v>511</v>
      </c>
      <c r="AA1241" t="s">
        <v>12189</v>
      </c>
      <c r="AB1241" t="s">
        <v>12190</v>
      </c>
      <c r="AC1241" t="s">
        <v>12191</v>
      </c>
      <c r="AD1241" t="s">
        <v>12192</v>
      </c>
      <c r="AE1241">
        <v>200.6</v>
      </c>
      <c r="AF1241" t="s">
        <v>87</v>
      </c>
      <c r="AG1241" t="s">
        <v>169</v>
      </c>
    </row>
    <row r="1242" spans="1:33" x14ac:dyDescent="0.25">
      <c r="A1242">
        <v>21663</v>
      </c>
      <c r="B1242" t="s">
        <v>32</v>
      </c>
      <c r="C1242">
        <v>1</v>
      </c>
      <c r="D1242" t="s">
        <v>12289</v>
      </c>
      <c r="E1242" t="s">
        <v>70</v>
      </c>
      <c r="F1242" t="s">
        <v>3256</v>
      </c>
      <c r="G1242" t="s">
        <v>3257</v>
      </c>
      <c r="H1242" t="s">
        <v>8233</v>
      </c>
      <c r="I1242" t="s">
        <v>12290</v>
      </c>
      <c r="J1242" t="s">
        <v>12291</v>
      </c>
      <c r="K1242" t="s">
        <v>36</v>
      </c>
      <c r="L1242" t="s">
        <v>33</v>
      </c>
      <c r="M1242">
        <v>20456210229</v>
      </c>
      <c r="N1242" t="s">
        <v>650</v>
      </c>
      <c r="P1242" t="s">
        <v>38</v>
      </c>
      <c r="Q1242" t="s">
        <v>651</v>
      </c>
      <c r="R1242" t="s">
        <v>12292</v>
      </c>
      <c r="S1242">
        <v>200.6</v>
      </c>
      <c r="T1242" t="s">
        <v>40</v>
      </c>
      <c r="U1242">
        <f>+IF(Tabla1[[#This Row],[MONEDA]]="PEN",Tabla1[[#This Row],[MONTO]],Tabla1[[#This Row],[MONTO]]*3.56)</f>
        <v>200.6</v>
      </c>
      <c r="X1242" t="s">
        <v>41</v>
      </c>
      <c r="Y1242" t="s">
        <v>42</v>
      </c>
      <c r="Z1242" t="s">
        <v>82</v>
      </c>
      <c r="AA1242" t="s">
        <v>12293</v>
      </c>
      <c r="AB1242" t="s">
        <v>12294</v>
      </c>
      <c r="AC1242" t="s">
        <v>12295</v>
      </c>
      <c r="AD1242" t="s">
        <v>12296</v>
      </c>
      <c r="AE1242">
        <v>200.6</v>
      </c>
      <c r="AF1242" t="s">
        <v>87</v>
      </c>
      <c r="AG1242" t="s">
        <v>169</v>
      </c>
    </row>
    <row r="1243" spans="1:33" x14ac:dyDescent="0.25">
      <c r="A1243">
        <v>21510</v>
      </c>
      <c r="B1243" t="s">
        <v>32</v>
      </c>
      <c r="C1243">
        <v>1</v>
      </c>
      <c r="D1243" t="s">
        <v>12391</v>
      </c>
      <c r="E1243" t="s">
        <v>70</v>
      </c>
      <c r="F1243" t="s">
        <v>3256</v>
      </c>
      <c r="G1243" t="s">
        <v>3257</v>
      </c>
      <c r="H1243" t="s">
        <v>8233</v>
      </c>
      <c r="I1243" t="s">
        <v>12375</v>
      </c>
      <c r="J1243" t="s">
        <v>12392</v>
      </c>
      <c r="K1243" t="s">
        <v>36</v>
      </c>
      <c r="L1243" t="s">
        <v>33</v>
      </c>
      <c r="M1243">
        <v>20456210229</v>
      </c>
      <c r="N1243" t="s">
        <v>650</v>
      </c>
      <c r="P1243" t="s">
        <v>38</v>
      </c>
      <c r="Q1243" t="s">
        <v>651</v>
      </c>
      <c r="R1243" t="s">
        <v>12393</v>
      </c>
      <c r="S1243">
        <v>200.6</v>
      </c>
      <c r="T1243" t="s">
        <v>40</v>
      </c>
      <c r="U1243">
        <f>+IF(Tabla1[[#This Row],[MONEDA]]="PEN",Tabla1[[#This Row],[MONTO]],Tabla1[[#This Row],[MONTO]]*3.56)</f>
        <v>200.6</v>
      </c>
      <c r="X1243" t="s">
        <v>41</v>
      </c>
      <c r="Y1243" t="s">
        <v>42</v>
      </c>
      <c r="Z1243" t="s">
        <v>82</v>
      </c>
      <c r="AA1243" t="s">
        <v>12394</v>
      </c>
      <c r="AB1243" t="s">
        <v>12395</v>
      </c>
      <c r="AC1243" t="s">
        <v>12396</v>
      </c>
      <c r="AD1243" t="s">
        <v>12397</v>
      </c>
      <c r="AE1243">
        <v>200.6</v>
      </c>
      <c r="AF1243" t="s">
        <v>87</v>
      </c>
      <c r="AG1243" t="s">
        <v>169</v>
      </c>
    </row>
    <row r="1244" spans="1:33" x14ac:dyDescent="0.25">
      <c r="A1244">
        <v>21328</v>
      </c>
      <c r="B1244" t="s">
        <v>32</v>
      </c>
      <c r="C1244">
        <v>1</v>
      </c>
      <c r="D1244" t="s">
        <v>12504</v>
      </c>
      <c r="E1244" t="s">
        <v>70</v>
      </c>
      <c r="F1244" t="s">
        <v>3256</v>
      </c>
      <c r="G1244" t="s">
        <v>3257</v>
      </c>
      <c r="H1244" t="s">
        <v>8233</v>
      </c>
      <c r="I1244" t="s">
        <v>12497</v>
      </c>
      <c r="J1244" t="s">
        <v>12505</v>
      </c>
      <c r="K1244" t="s">
        <v>36</v>
      </c>
      <c r="L1244" t="s">
        <v>33</v>
      </c>
      <c r="M1244">
        <v>20456210229</v>
      </c>
      <c r="N1244" t="s">
        <v>650</v>
      </c>
      <c r="P1244" t="s">
        <v>38</v>
      </c>
      <c r="Q1244" t="s">
        <v>651</v>
      </c>
      <c r="R1244" t="s">
        <v>12506</v>
      </c>
      <c r="S1244">
        <v>200.6</v>
      </c>
      <c r="T1244" t="s">
        <v>40</v>
      </c>
      <c r="U1244">
        <f>+IF(Tabla1[[#This Row],[MONEDA]]="PEN",Tabla1[[#This Row],[MONTO]],Tabla1[[#This Row],[MONTO]]*3.56)</f>
        <v>200.6</v>
      </c>
      <c r="X1244" t="s">
        <v>41</v>
      </c>
      <c r="Y1244" t="s">
        <v>42</v>
      </c>
      <c r="Z1244" t="s">
        <v>82</v>
      </c>
      <c r="AA1244" t="s">
        <v>12507</v>
      </c>
      <c r="AB1244" t="s">
        <v>12508</v>
      </c>
      <c r="AC1244" t="s">
        <v>12509</v>
      </c>
      <c r="AD1244" t="s">
        <v>12510</v>
      </c>
      <c r="AE1244">
        <v>200.6</v>
      </c>
      <c r="AF1244" t="s">
        <v>87</v>
      </c>
      <c r="AG1244" t="s">
        <v>169</v>
      </c>
    </row>
    <row r="1245" spans="1:33" x14ac:dyDescent="0.25">
      <c r="A1245">
        <v>21285</v>
      </c>
      <c r="B1245" t="s">
        <v>32</v>
      </c>
      <c r="C1245">
        <v>1</v>
      </c>
      <c r="D1245" t="s">
        <v>12545</v>
      </c>
      <c r="E1245" t="s">
        <v>70</v>
      </c>
      <c r="F1245" t="s">
        <v>3256</v>
      </c>
      <c r="G1245" t="s">
        <v>3257</v>
      </c>
      <c r="H1245" t="s">
        <v>8233</v>
      </c>
      <c r="I1245" t="s">
        <v>12546</v>
      </c>
      <c r="J1245" t="s">
        <v>12547</v>
      </c>
      <c r="K1245" t="s">
        <v>36</v>
      </c>
      <c r="L1245" t="s">
        <v>33</v>
      </c>
      <c r="M1245">
        <v>20456210229</v>
      </c>
      <c r="N1245" t="s">
        <v>650</v>
      </c>
      <c r="P1245" t="s">
        <v>38</v>
      </c>
      <c r="Q1245" t="s">
        <v>651</v>
      </c>
      <c r="R1245" t="s">
        <v>12548</v>
      </c>
      <c r="S1245">
        <v>415.2</v>
      </c>
      <c r="T1245" t="s">
        <v>40</v>
      </c>
      <c r="U1245">
        <f>+IF(Tabla1[[#This Row],[MONEDA]]="PEN",Tabla1[[#This Row],[MONTO]],Tabla1[[#This Row],[MONTO]]*3.56)</f>
        <v>415.2</v>
      </c>
      <c r="X1245" t="s">
        <v>41</v>
      </c>
      <c r="Y1245" t="s">
        <v>42</v>
      </c>
      <c r="Z1245" t="s">
        <v>82</v>
      </c>
      <c r="AA1245" t="s">
        <v>12549</v>
      </c>
      <c r="AB1245" t="s">
        <v>12550</v>
      </c>
      <c r="AC1245" t="s">
        <v>12551</v>
      </c>
      <c r="AD1245" t="s">
        <v>12552</v>
      </c>
      <c r="AE1245">
        <v>415.2</v>
      </c>
      <c r="AF1245" t="s">
        <v>87</v>
      </c>
      <c r="AG1245" t="s">
        <v>169</v>
      </c>
    </row>
    <row r="1246" spans="1:33" x14ac:dyDescent="0.25">
      <c r="A1246">
        <v>21181</v>
      </c>
      <c r="B1246" t="s">
        <v>32</v>
      </c>
      <c r="C1246">
        <v>1</v>
      </c>
      <c r="D1246" t="s">
        <v>12623</v>
      </c>
      <c r="E1246" t="s">
        <v>70</v>
      </c>
      <c r="F1246" t="s">
        <v>157</v>
      </c>
      <c r="G1246" t="s">
        <v>12377</v>
      </c>
      <c r="H1246" t="s">
        <v>8233</v>
      </c>
      <c r="I1246" t="s">
        <v>12624</v>
      </c>
      <c r="J1246" t="s">
        <v>12625</v>
      </c>
      <c r="K1246" t="s">
        <v>36</v>
      </c>
      <c r="L1246" t="s">
        <v>33</v>
      </c>
      <c r="M1246">
        <v>20456210229</v>
      </c>
      <c r="N1246" t="s">
        <v>650</v>
      </c>
      <c r="P1246" t="s">
        <v>38</v>
      </c>
      <c r="Q1246" t="s">
        <v>651</v>
      </c>
      <c r="R1246" t="s">
        <v>12626</v>
      </c>
      <c r="S1246">
        <v>200.6</v>
      </c>
      <c r="T1246" t="s">
        <v>40</v>
      </c>
      <c r="U1246">
        <f>+IF(Tabla1[[#This Row],[MONEDA]]="PEN",Tabla1[[#This Row],[MONTO]],Tabla1[[#This Row],[MONTO]]*3.56)</f>
        <v>200.6</v>
      </c>
      <c r="X1246" t="s">
        <v>41</v>
      </c>
      <c r="Y1246" t="s">
        <v>42</v>
      </c>
      <c r="Z1246" t="s">
        <v>82</v>
      </c>
      <c r="AA1246" t="s">
        <v>12627</v>
      </c>
      <c r="AB1246" t="s">
        <v>12628</v>
      </c>
      <c r="AC1246" t="s">
        <v>12629</v>
      </c>
      <c r="AD1246" t="s">
        <v>12630</v>
      </c>
      <c r="AE1246">
        <v>200.6</v>
      </c>
      <c r="AF1246" t="s">
        <v>87</v>
      </c>
      <c r="AG1246" t="s">
        <v>169</v>
      </c>
    </row>
    <row r="1247" spans="1:33" hidden="1" x14ac:dyDescent="0.25">
      <c r="A1247">
        <v>43945</v>
      </c>
      <c r="B1247" t="s">
        <v>32</v>
      </c>
      <c r="C1247">
        <v>1</v>
      </c>
      <c r="D1247" t="s">
        <v>617</v>
      </c>
      <c r="E1247" t="s">
        <v>70</v>
      </c>
      <c r="F1247" t="s">
        <v>33</v>
      </c>
      <c r="G1247" t="s">
        <v>71</v>
      </c>
      <c r="H1247" t="s">
        <v>35</v>
      </c>
      <c r="I1247" t="s">
        <v>618</v>
      </c>
      <c r="J1247" t="s">
        <v>619</v>
      </c>
      <c r="K1247" t="s">
        <v>36</v>
      </c>
      <c r="L1247" t="s">
        <v>33</v>
      </c>
      <c r="M1247">
        <v>20615112799</v>
      </c>
      <c r="N1247" t="s">
        <v>620</v>
      </c>
      <c r="O1247" t="s">
        <v>76</v>
      </c>
      <c r="P1247" t="s">
        <v>38</v>
      </c>
      <c r="Q1247" t="s">
        <v>621</v>
      </c>
      <c r="R1247" t="s">
        <v>622</v>
      </c>
      <c r="S1247">
        <v>1450</v>
      </c>
      <c r="T1247" t="s">
        <v>40</v>
      </c>
      <c r="U1247">
        <f>+IF(Tabla1[[#This Row],[MONEDA]]="PEN",Tabla1[[#This Row],[MONTO]],Tabla1[[#This Row],[MONTO]]*3.56)</f>
        <v>1450</v>
      </c>
      <c r="X1247" t="s">
        <v>81</v>
      </c>
      <c r="Y1247" t="s">
        <v>42</v>
      </c>
      <c r="Z1247" t="s">
        <v>82</v>
      </c>
      <c r="AA1247" t="s">
        <v>623</v>
      </c>
      <c r="AB1247" t="s">
        <v>624</v>
      </c>
      <c r="AC1247" t="s">
        <v>625</v>
      </c>
      <c r="AD1247" t="s">
        <v>626</v>
      </c>
      <c r="AE1247">
        <v>1406.5</v>
      </c>
      <c r="AF1247" t="s">
        <v>87</v>
      </c>
      <c r="AG1247" t="s">
        <v>169</v>
      </c>
    </row>
    <row r="1248" spans="1:33" hidden="1" x14ac:dyDescent="0.25">
      <c r="A1248">
        <v>43121</v>
      </c>
      <c r="B1248" t="s">
        <v>32</v>
      </c>
      <c r="C1248">
        <v>1</v>
      </c>
      <c r="D1248" t="s">
        <v>933</v>
      </c>
      <c r="E1248" t="s">
        <v>70</v>
      </c>
      <c r="F1248" t="s">
        <v>33</v>
      </c>
      <c r="G1248" t="s">
        <v>71</v>
      </c>
      <c r="H1248" t="s">
        <v>35</v>
      </c>
      <c r="I1248" t="s">
        <v>915</v>
      </c>
      <c r="J1248" t="s">
        <v>934</v>
      </c>
      <c r="K1248" t="s">
        <v>36</v>
      </c>
      <c r="L1248" t="s">
        <v>33</v>
      </c>
      <c r="M1248">
        <v>20615112799</v>
      </c>
      <c r="N1248" t="s">
        <v>620</v>
      </c>
      <c r="O1248" t="s">
        <v>76</v>
      </c>
      <c r="P1248" t="s">
        <v>38</v>
      </c>
      <c r="Q1248">
        <v>43099459124073</v>
      </c>
      <c r="R1248" t="s">
        <v>935</v>
      </c>
      <c r="S1248">
        <v>1450</v>
      </c>
      <c r="T1248" t="s">
        <v>40</v>
      </c>
      <c r="U1248">
        <f>+IF(Tabla1[[#This Row],[MONEDA]]="PEN",Tabla1[[#This Row],[MONTO]],Tabla1[[#This Row],[MONTO]]*3.56)</f>
        <v>1450</v>
      </c>
      <c r="X1248" t="s">
        <v>81</v>
      </c>
      <c r="Y1248" t="s">
        <v>42</v>
      </c>
      <c r="Z1248" t="s">
        <v>82</v>
      </c>
      <c r="AA1248" t="s">
        <v>936</v>
      </c>
      <c r="AB1248" t="s">
        <v>937</v>
      </c>
      <c r="AC1248" t="s">
        <v>938</v>
      </c>
      <c r="AD1248" t="s">
        <v>939</v>
      </c>
      <c r="AE1248">
        <v>1406.5</v>
      </c>
      <c r="AF1248" t="s">
        <v>87</v>
      </c>
      <c r="AG1248" t="s">
        <v>169</v>
      </c>
    </row>
    <row r="1249" spans="1:33" x14ac:dyDescent="0.25">
      <c r="A1249">
        <v>42477</v>
      </c>
      <c r="B1249" t="s">
        <v>32</v>
      </c>
      <c r="C1249">
        <v>1</v>
      </c>
      <c r="D1249" t="s">
        <v>1024</v>
      </c>
      <c r="E1249" t="s">
        <v>70</v>
      </c>
      <c r="F1249" t="s">
        <v>157</v>
      </c>
      <c r="G1249" t="s">
        <v>158</v>
      </c>
      <c r="H1249" t="s">
        <v>159</v>
      </c>
      <c r="I1249" t="s">
        <v>1025</v>
      </c>
      <c r="J1249" t="s">
        <v>1026</v>
      </c>
      <c r="K1249" t="s">
        <v>36</v>
      </c>
      <c r="L1249" t="s">
        <v>33</v>
      </c>
      <c r="M1249">
        <v>20605114980</v>
      </c>
      <c r="N1249" t="s">
        <v>1027</v>
      </c>
      <c r="P1249" t="s">
        <v>62</v>
      </c>
      <c r="Q1249" t="s">
        <v>1028</v>
      </c>
      <c r="R1249" t="s">
        <v>1029</v>
      </c>
      <c r="S1249">
        <v>180</v>
      </c>
      <c r="T1249" t="s">
        <v>40</v>
      </c>
      <c r="U1249">
        <f>+IF(Tabla1[[#This Row],[MONEDA]]="PEN",Tabla1[[#This Row],[MONTO]],Tabla1[[#This Row],[MONTO]]*3.56)</f>
        <v>180</v>
      </c>
      <c r="X1249" t="s">
        <v>41</v>
      </c>
      <c r="Y1249" t="s">
        <v>42</v>
      </c>
      <c r="Z1249" t="s">
        <v>82</v>
      </c>
      <c r="AA1249" t="s">
        <v>1030</v>
      </c>
      <c r="AB1249" t="s">
        <v>1031</v>
      </c>
      <c r="AC1249" t="s">
        <v>1032</v>
      </c>
      <c r="AD1249" t="s">
        <v>1033</v>
      </c>
      <c r="AE1249">
        <v>180</v>
      </c>
      <c r="AF1249" t="s">
        <v>87</v>
      </c>
      <c r="AG1249" t="s">
        <v>515</v>
      </c>
    </row>
    <row r="1250" spans="1:33" x14ac:dyDescent="0.25">
      <c r="A1250">
        <v>41661</v>
      </c>
      <c r="B1250" t="s">
        <v>32</v>
      </c>
      <c r="C1250">
        <v>1</v>
      </c>
      <c r="D1250" t="s">
        <v>1335</v>
      </c>
      <c r="E1250" t="s">
        <v>70</v>
      </c>
      <c r="F1250" t="s">
        <v>157</v>
      </c>
      <c r="G1250" t="s">
        <v>158</v>
      </c>
      <c r="H1250" t="s">
        <v>159</v>
      </c>
      <c r="I1250" t="s">
        <v>1328</v>
      </c>
      <c r="J1250" t="s">
        <v>1336</v>
      </c>
      <c r="K1250" t="s">
        <v>36</v>
      </c>
      <c r="L1250" t="s">
        <v>33</v>
      </c>
      <c r="M1250">
        <v>20605114980</v>
      </c>
      <c r="N1250" t="s">
        <v>1027</v>
      </c>
      <c r="P1250" t="s">
        <v>62</v>
      </c>
      <c r="Q1250" t="s">
        <v>1028</v>
      </c>
      <c r="R1250" t="s">
        <v>1337</v>
      </c>
      <c r="S1250">
        <v>180</v>
      </c>
      <c r="T1250" t="s">
        <v>40</v>
      </c>
      <c r="U1250">
        <f>+IF(Tabla1[[#This Row],[MONEDA]]="PEN",Tabla1[[#This Row],[MONTO]],Tabla1[[#This Row],[MONTO]]*3.56)</f>
        <v>180</v>
      </c>
      <c r="X1250" t="s">
        <v>41</v>
      </c>
      <c r="Y1250" t="s">
        <v>42</v>
      </c>
      <c r="Z1250" t="s">
        <v>82</v>
      </c>
      <c r="AA1250" t="s">
        <v>1338</v>
      </c>
      <c r="AB1250" t="s">
        <v>1339</v>
      </c>
      <c r="AC1250" t="s">
        <v>1340</v>
      </c>
      <c r="AD1250" t="s">
        <v>1341</v>
      </c>
      <c r="AE1250">
        <v>180</v>
      </c>
      <c r="AF1250" t="s">
        <v>87</v>
      </c>
      <c r="AG1250" t="s">
        <v>515</v>
      </c>
    </row>
    <row r="1251" spans="1:33" x14ac:dyDescent="0.25">
      <c r="A1251">
        <v>37623</v>
      </c>
      <c r="B1251" t="s">
        <v>32</v>
      </c>
      <c r="C1251">
        <v>1</v>
      </c>
      <c r="D1251" t="s">
        <v>3265</v>
      </c>
      <c r="E1251" t="s">
        <v>70</v>
      </c>
      <c r="F1251" t="s">
        <v>3256</v>
      </c>
      <c r="G1251" t="s">
        <v>3257</v>
      </c>
      <c r="H1251" t="s">
        <v>159</v>
      </c>
      <c r="I1251" t="s">
        <v>3258</v>
      </c>
      <c r="J1251" t="s">
        <v>3266</v>
      </c>
      <c r="K1251" t="s">
        <v>36</v>
      </c>
      <c r="L1251" t="s">
        <v>33</v>
      </c>
      <c r="M1251">
        <v>20605114980</v>
      </c>
      <c r="N1251" t="s">
        <v>1027</v>
      </c>
      <c r="P1251" t="s">
        <v>62</v>
      </c>
      <c r="Q1251" t="s">
        <v>3267</v>
      </c>
      <c r="R1251" t="s">
        <v>3268</v>
      </c>
      <c r="S1251">
        <v>180</v>
      </c>
      <c r="T1251" t="s">
        <v>40</v>
      </c>
      <c r="U1251">
        <f>+IF(Tabla1[[#This Row],[MONEDA]]="PEN",Tabla1[[#This Row],[MONTO]],Tabla1[[#This Row],[MONTO]]*3.56)</f>
        <v>180</v>
      </c>
      <c r="X1251" t="s">
        <v>41</v>
      </c>
      <c r="Y1251" t="s">
        <v>42</v>
      </c>
      <c r="Z1251" t="s">
        <v>82</v>
      </c>
      <c r="AA1251" t="s">
        <v>3269</v>
      </c>
      <c r="AB1251" t="s">
        <v>3270</v>
      </c>
      <c r="AC1251" t="s">
        <v>3271</v>
      </c>
      <c r="AD1251" t="s">
        <v>3272</v>
      </c>
      <c r="AE1251">
        <v>180</v>
      </c>
      <c r="AG1251" t="s">
        <v>515</v>
      </c>
    </row>
    <row r="1252" spans="1:33" x14ac:dyDescent="0.25">
      <c r="A1252">
        <v>37170</v>
      </c>
      <c r="B1252" t="s">
        <v>32</v>
      </c>
      <c r="C1252">
        <v>1</v>
      </c>
      <c r="D1252" t="s">
        <v>3463</v>
      </c>
      <c r="E1252" t="s">
        <v>70</v>
      </c>
      <c r="F1252" t="s">
        <v>3256</v>
      </c>
      <c r="G1252" t="s">
        <v>3257</v>
      </c>
      <c r="H1252" t="s">
        <v>159</v>
      </c>
      <c r="I1252" t="s">
        <v>3464</v>
      </c>
      <c r="J1252" t="s">
        <v>3465</v>
      </c>
      <c r="K1252" t="s">
        <v>36</v>
      </c>
      <c r="L1252" t="s">
        <v>33</v>
      </c>
      <c r="M1252">
        <v>20605114980</v>
      </c>
      <c r="N1252" t="s">
        <v>1027</v>
      </c>
      <c r="P1252" t="s">
        <v>62</v>
      </c>
      <c r="Q1252" t="s">
        <v>3267</v>
      </c>
      <c r="R1252" t="s">
        <v>3466</v>
      </c>
      <c r="S1252">
        <v>100</v>
      </c>
      <c r="T1252" t="s">
        <v>40</v>
      </c>
      <c r="U1252">
        <f>+IF(Tabla1[[#This Row],[MONEDA]]="PEN",Tabla1[[#This Row],[MONTO]],Tabla1[[#This Row],[MONTO]]*3.56)</f>
        <v>100</v>
      </c>
      <c r="X1252" t="s">
        <v>41</v>
      </c>
      <c r="Y1252" t="s">
        <v>42</v>
      </c>
      <c r="Z1252" t="s">
        <v>82</v>
      </c>
      <c r="AA1252" t="s">
        <v>3467</v>
      </c>
      <c r="AB1252" t="s">
        <v>3468</v>
      </c>
      <c r="AC1252" t="s">
        <v>3469</v>
      </c>
      <c r="AD1252" t="s">
        <v>3470</v>
      </c>
      <c r="AE1252">
        <v>100</v>
      </c>
      <c r="AG1252" t="s">
        <v>515</v>
      </c>
    </row>
    <row r="1253" spans="1:33" x14ac:dyDescent="0.25">
      <c r="A1253">
        <v>32368</v>
      </c>
      <c r="B1253" t="s">
        <v>32</v>
      </c>
      <c r="C1253">
        <v>1</v>
      </c>
      <c r="D1253" t="s">
        <v>5382</v>
      </c>
      <c r="E1253" t="s">
        <v>70</v>
      </c>
      <c r="F1253" t="s">
        <v>3256</v>
      </c>
      <c r="G1253" t="s">
        <v>3257</v>
      </c>
      <c r="H1253" t="s">
        <v>159</v>
      </c>
      <c r="I1253" t="s">
        <v>5383</v>
      </c>
      <c r="J1253" t="s">
        <v>5384</v>
      </c>
      <c r="K1253" t="s">
        <v>36</v>
      </c>
      <c r="L1253" t="s">
        <v>33</v>
      </c>
      <c r="M1253">
        <v>20605114980</v>
      </c>
      <c r="N1253" t="s">
        <v>1027</v>
      </c>
      <c r="P1253" t="s">
        <v>62</v>
      </c>
      <c r="Q1253" t="s">
        <v>3267</v>
      </c>
      <c r="R1253" t="s">
        <v>5385</v>
      </c>
      <c r="S1253">
        <v>180</v>
      </c>
      <c r="T1253" t="s">
        <v>40</v>
      </c>
      <c r="U1253">
        <f>+IF(Tabla1[[#This Row],[MONEDA]]="PEN",Tabla1[[#This Row],[MONTO]],Tabla1[[#This Row],[MONTO]]*3.56)</f>
        <v>180</v>
      </c>
      <c r="X1253" t="s">
        <v>41</v>
      </c>
      <c r="Y1253" t="s">
        <v>42</v>
      </c>
      <c r="Z1253" t="s">
        <v>82</v>
      </c>
      <c r="AA1253" t="s">
        <v>5386</v>
      </c>
      <c r="AB1253" t="s">
        <v>5387</v>
      </c>
      <c r="AC1253" t="s">
        <v>5388</v>
      </c>
      <c r="AD1253" t="s">
        <v>5389</v>
      </c>
      <c r="AE1253">
        <v>180</v>
      </c>
      <c r="AF1253" t="s">
        <v>87</v>
      </c>
      <c r="AG1253" t="s">
        <v>515</v>
      </c>
    </row>
    <row r="1254" spans="1:33" x14ac:dyDescent="0.25">
      <c r="A1254">
        <v>29913</v>
      </c>
      <c r="B1254" t="s">
        <v>32</v>
      </c>
      <c r="C1254">
        <v>1</v>
      </c>
      <c r="D1254" t="s">
        <v>6549</v>
      </c>
      <c r="E1254" t="s">
        <v>70</v>
      </c>
      <c r="F1254" t="s">
        <v>3256</v>
      </c>
      <c r="G1254" t="s">
        <v>3257</v>
      </c>
      <c r="H1254" t="s">
        <v>159</v>
      </c>
      <c r="I1254" t="s">
        <v>6550</v>
      </c>
      <c r="J1254" t="s">
        <v>6551</v>
      </c>
      <c r="K1254" t="s">
        <v>36</v>
      </c>
      <c r="L1254" t="s">
        <v>33</v>
      </c>
      <c r="M1254">
        <v>20605114980</v>
      </c>
      <c r="N1254" t="s">
        <v>1027</v>
      </c>
      <c r="P1254" t="s">
        <v>62</v>
      </c>
      <c r="Q1254" t="s">
        <v>3267</v>
      </c>
      <c r="R1254" t="s">
        <v>6552</v>
      </c>
      <c r="S1254">
        <v>180</v>
      </c>
      <c r="T1254" t="s">
        <v>40</v>
      </c>
      <c r="U1254">
        <f>+IF(Tabla1[[#This Row],[MONEDA]]="PEN",Tabla1[[#This Row],[MONTO]],Tabla1[[#This Row],[MONTO]]*3.56)</f>
        <v>180</v>
      </c>
      <c r="X1254" t="s">
        <v>41</v>
      </c>
      <c r="Y1254" t="s">
        <v>42</v>
      </c>
      <c r="Z1254" t="s">
        <v>82</v>
      </c>
      <c r="AA1254" t="s">
        <v>6553</v>
      </c>
      <c r="AB1254" t="s">
        <v>6554</v>
      </c>
      <c r="AC1254" t="s">
        <v>6555</v>
      </c>
      <c r="AD1254" t="s">
        <v>6556</v>
      </c>
      <c r="AE1254">
        <v>180</v>
      </c>
      <c r="AF1254" t="s">
        <v>87</v>
      </c>
      <c r="AG1254" t="s">
        <v>515</v>
      </c>
    </row>
    <row r="1255" spans="1:33" x14ac:dyDescent="0.25">
      <c r="A1255">
        <v>29794</v>
      </c>
      <c r="B1255" t="s">
        <v>32</v>
      </c>
      <c r="C1255">
        <v>1</v>
      </c>
      <c r="D1255" t="s">
        <v>6839</v>
      </c>
      <c r="E1255" t="s">
        <v>70</v>
      </c>
      <c r="F1255" t="s">
        <v>3256</v>
      </c>
      <c r="G1255" t="s">
        <v>3257</v>
      </c>
      <c r="H1255" t="s">
        <v>159</v>
      </c>
      <c r="I1255" t="s">
        <v>6840</v>
      </c>
      <c r="J1255" t="s">
        <v>6841</v>
      </c>
      <c r="K1255" t="s">
        <v>36</v>
      </c>
      <c r="L1255" t="s">
        <v>33</v>
      </c>
      <c r="M1255">
        <v>20605114980</v>
      </c>
      <c r="N1255" t="s">
        <v>1027</v>
      </c>
      <c r="P1255" t="s">
        <v>62</v>
      </c>
      <c r="Q1255" t="s">
        <v>3267</v>
      </c>
      <c r="R1255" t="s">
        <v>6842</v>
      </c>
      <c r="S1255">
        <v>360</v>
      </c>
      <c r="T1255" t="s">
        <v>40</v>
      </c>
      <c r="U1255">
        <f>+IF(Tabla1[[#This Row],[MONEDA]]="PEN",Tabla1[[#This Row],[MONTO]],Tabla1[[#This Row],[MONTO]]*3.56)</f>
        <v>360</v>
      </c>
      <c r="X1255" t="s">
        <v>41</v>
      </c>
      <c r="Y1255" t="s">
        <v>42</v>
      </c>
      <c r="Z1255" t="s">
        <v>82</v>
      </c>
      <c r="AA1255" t="s">
        <v>6843</v>
      </c>
      <c r="AB1255" t="s">
        <v>6844</v>
      </c>
      <c r="AC1255" t="s">
        <v>6845</v>
      </c>
      <c r="AD1255" t="s">
        <v>6846</v>
      </c>
      <c r="AE1255">
        <v>360</v>
      </c>
      <c r="AF1255" t="s">
        <v>87</v>
      </c>
      <c r="AG1255" t="s">
        <v>515</v>
      </c>
    </row>
    <row r="1256" spans="1:33" x14ac:dyDescent="0.25">
      <c r="A1256">
        <v>29622</v>
      </c>
      <c r="B1256" t="s">
        <v>32</v>
      </c>
      <c r="C1256">
        <v>1</v>
      </c>
      <c r="D1256" t="s">
        <v>6878</v>
      </c>
      <c r="E1256" t="s">
        <v>70</v>
      </c>
      <c r="F1256" t="s">
        <v>3256</v>
      </c>
      <c r="G1256" t="s">
        <v>3257</v>
      </c>
      <c r="H1256" t="s">
        <v>159</v>
      </c>
      <c r="I1256" t="s">
        <v>6871</v>
      </c>
      <c r="J1256" t="s">
        <v>6879</v>
      </c>
      <c r="K1256" t="s">
        <v>36</v>
      </c>
      <c r="L1256" t="s">
        <v>33</v>
      </c>
      <c r="M1256">
        <v>20605114980</v>
      </c>
      <c r="N1256" t="s">
        <v>1027</v>
      </c>
      <c r="P1256" t="s">
        <v>62</v>
      </c>
      <c r="Q1256" t="s">
        <v>3267</v>
      </c>
      <c r="R1256" t="s">
        <v>6880</v>
      </c>
      <c r="S1256">
        <v>180</v>
      </c>
      <c r="T1256" t="s">
        <v>40</v>
      </c>
      <c r="U1256">
        <f>+IF(Tabla1[[#This Row],[MONEDA]]="PEN",Tabla1[[#This Row],[MONTO]],Tabla1[[#This Row],[MONTO]]*3.56)</f>
        <v>180</v>
      </c>
      <c r="X1256" t="s">
        <v>41</v>
      </c>
      <c r="Y1256" t="s">
        <v>42</v>
      </c>
      <c r="Z1256" t="s">
        <v>82</v>
      </c>
      <c r="AA1256" t="s">
        <v>6881</v>
      </c>
      <c r="AB1256" t="s">
        <v>6882</v>
      </c>
      <c r="AC1256" t="s">
        <v>6883</v>
      </c>
      <c r="AD1256" t="s">
        <v>6884</v>
      </c>
      <c r="AE1256">
        <v>180</v>
      </c>
      <c r="AF1256" t="s">
        <v>87</v>
      </c>
      <c r="AG1256" t="s">
        <v>515</v>
      </c>
    </row>
    <row r="1257" spans="1:33" x14ac:dyDescent="0.25">
      <c r="A1257">
        <v>27588</v>
      </c>
      <c r="B1257" t="s">
        <v>32</v>
      </c>
      <c r="C1257">
        <v>1</v>
      </c>
      <c r="D1257" t="s">
        <v>8241</v>
      </c>
      <c r="E1257" t="s">
        <v>70</v>
      </c>
      <c r="F1257" t="s">
        <v>3256</v>
      </c>
      <c r="G1257" t="s">
        <v>3257</v>
      </c>
      <c r="H1257" t="s">
        <v>8233</v>
      </c>
      <c r="I1257" t="s">
        <v>8242</v>
      </c>
      <c r="J1257" t="s">
        <v>8243</v>
      </c>
      <c r="K1257" t="s">
        <v>36</v>
      </c>
      <c r="L1257" t="s">
        <v>33</v>
      </c>
      <c r="M1257">
        <v>20605114980</v>
      </c>
      <c r="N1257" t="s">
        <v>1027</v>
      </c>
      <c r="P1257" t="s">
        <v>62</v>
      </c>
      <c r="Q1257" t="s">
        <v>3267</v>
      </c>
      <c r="R1257" t="s">
        <v>8244</v>
      </c>
      <c r="S1257">
        <v>540</v>
      </c>
      <c r="T1257" t="s">
        <v>40</v>
      </c>
      <c r="U1257">
        <f>+IF(Tabla1[[#This Row],[MONEDA]]="PEN",Tabla1[[#This Row],[MONTO]],Tabla1[[#This Row],[MONTO]]*3.56)</f>
        <v>540</v>
      </c>
      <c r="X1257" t="s">
        <v>41</v>
      </c>
      <c r="Y1257" t="s">
        <v>42</v>
      </c>
      <c r="Z1257" t="s">
        <v>82</v>
      </c>
      <c r="AA1257" t="s">
        <v>8245</v>
      </c>
      <c r="AB1257" t="s">
        <v>8246</v>
      </c>
      <c r="AC1257" t="s">
        <v>8247</v>
      </c>
      <c r="AD1257" t="s">
        <v>8248</v>
      </c>
      <c r="AE1257">
        <v>540</v>
      </c>
      <c r="AF1257" t="s">
        <v>87</v>
      </c>
      <c r="AG1257" t="s">
        <v>515</v>
      </c>
    </row>
    <row r="1258" spans="1:33" x14ac:dyDescent="0.25">
      <c r="A1258">
        <v>25470</v>
      </c>
      <c r="B1258" t="s">
        <v>32</v>
      </c>
      <c r="C1258">
        <v>1</v>
      </c>
      <c r="D1258" t="s">
        <v>9728</v>
      </c>
      <c r="E1258" t="s">
        <v>70</v>
      </c>
      <c r="F1258" t="s">
        <v>3256</v>
      </c>
      <c r="G1258" t="s">
        <v>3257</v>
      </c>
      <c r="H1258" t="s">
        <v>8233</v>
      </c>
      <c r="I1258" t="s">
        <v>9729</v>
      </c>
      <c r="J1258" t="s">
        <v>9730</v>
      </c>
      <c r="K1258" t="s">
        <v>36</v>
      </c>
      <c r="L1258" t="s">
        <v>33</v>
      </c>
      <c r="M1258">
        <v>20605114980</v>
      </c>
      <c r="N1258" t="s">
        <v>1027</v>
      </c>
      <c r="P1258" t="s">
        <v>62</v>
      </c>
      <c r="Q1258" t="s">
        <v>3267</v>
      </c>
      <c r="R1258" t="s">
        <v>9731</v>
      </c>
      <c r="S1258">
        <v>170</v>
      </c>
      <c r="T1258" t="s">
        <v>40</v>
      </c>
      <c r="U1258">
        <f>+IF(Tabla1[[#This Row],[MONEDA]]="PEN",Tabla1[[#This Row],[MONTO]],Tabla1[[#This Row],[MONTO]]*3.56)</f>
        <v>170</v>
      </c>
      <c r="X1258" t="s">
        <v>41</v>
      </c>
      <c r="Y1258" t="s">
        <v>42</v>
      </c>
      <c r="Z1258" t="s">
        <v>82</v>
      </c>
      <c r="AA1258" t="s">
        <v>9732</v>
      </c>
      <c r="AB1258" t="s">
        <v>9733</v>
      </c>
      <c r="AC1258" t="s">
        <v>9734</v>
      </c>
      <c r="AD1258" t="s">
        <v>9735</v>
      </c>
      <c r="AE1258">
        <v>170</v>
      </c>
      <c r="AF1258" t="s">
        <v>87</v>
      </c>
      <c r="AG1258" t="s">
        <v>515</v>
      </c>
    </row>
    <row r="1259" spans="1:33" x14ac:dyDescent="0.25">
      <c r="A1259">
        <v>24512</v>
      </c>
      <c r="B1259" t="s">
        <v>32</v>
      </c>
      <c r="C1259">
        <v>1</v>
      </c>
      <c r="D1259" t="s">
        <v>10239</v>
      </c>
      <c r="E1259" t="s">
        <v>70</v>
      </c>
      <c r="F1259" t="s">
        <v>3256</v>
      </c>
      <c r="G1259" t="s">
        <v>3257</v>
      </c>
      <c r="H1259" t="s">
        <v>8233</v>
      </c>
      <c r="I1259" t="s">
        <v>10240</v>
      </c>
      <c r="J1259" t="s">
        <v>10241</v>
      </c>
      <c r="K1259" t="s">
        <v>36</v>
      </c>
      <c r="L1259" t="s">
        <v>33</v>
      </c>
      <c r="M1259">
        <v>20605114980</v>
      </c>
      <c r="N1259" t="s">
        <v>1027</v>
      </c>
      <c r="P1259" t="s">
        <v>62</v>
      </c>
      <c r="Q1259" t="s">
        <v>3267</v>
      </c>
      <c r="R1259" t="s">
        <v>10242</v>
      </c>
      <c r="S1259">
        <v>170</v>
      </c>
      <c r="T1259" t="s">
        <v>40</v>
      </c>
      <c r="U1259">
        <f>+IF(Tabla1[[#This Row],[MONEDA]]="PEN",Tabla1[[#This Row],[MONTO]],Tabla1[[#This Row],[MONTO]]*3.56)</f>
        <v>170</v>
      </c>
      <c r="X1259" t="s">
        <v>41</v>
      </c>
      <c r="Y1259" t="s">
        <v>42</v>
      </c>
      <c r="Z1259" t="s">
        <v>82</v>
      </c>
      <c r="AA1259" t="s">
        <v>10243</v>
      </c>
      <c r="AB1259" t="s">
        <v>10244</v>
      </c>
      <c r="AC1259" t="s">
        <v>10245</v>
      </c>
      <c r="AD1259" t="s">
        <v>10246</v>
      </c>
      <c r="AE1259">
        <v>170</v>
      </c>
      <c r="AF1259" t="s">
        <v>87</v>
      </c>
      <c r="AG1259" t="s">
        <v>515</v>
      </c>
    </row>
    <row r="1260" spans="1:33" x14ac:dyDescent="0.25">
      <c r="A1260">
        <v>24522</v>
      </c>
      <c r="B1260" t="s">
        <v>32</v>
      </c>
      <c r="C1260">
        <v>1</v>
      </c>
      <c r="D1260" t="s">
        <v>10247</v>
      </c>
      <c r="E1260" t="s">
        <v>70</v>
      </c>
      <c r="F1260" t="s">
        <v>3256</v>
      </c>
      <c r="G1260" t="s">
        <v>3257</v>
      </c>
      <c r="H1260" t="s">
        <v>8233</v>
      </c>
      <c r="I1260" t="s">
        <v>10240</v>
      </c>
      <c r="J1260" t="s">
        <v>10248</v>
      </c>
      <c r="K1260" t="s">
        <v>36</v>
      </c>
      <c r="L1260" t="s">
        <v>33</v>
      </c>
      <c r="M1260">
        <v>20605114980</v>
      </c>
      <c r="N1260" t="s">
        <v>1027</v>
      </c>
      <c r="P1260" t="s">
        <v>62</v>
      </c>
      <c r="Q1260" t="s">
        <v>3267</v>
      </c>
      <c r="R1260" t="s">
        <v>10249</v>
      </c>
      <c r="S1260">
        <v>170</v>
      </c>
      <c r="T1260" t="s">
        <v>40</v>
      </c>
      <c r="U1260">
        <f>+IF(Tabla1[[#This Row],[MONEDA]]="PEN",Tabla1[[#This Row],[MONTO]],Tabla1[[#This Row],[MONTO]]*3.56)</f>
        <v>170</v>
      </c>
      <c r="X1260" t="s">
        <v>41</v>
      </c>
      <c r="Y1260" t="s">
        <v>42</v>
      </c>
      <c r="Z1260" t="s">
        <v>43</v>
      </c>
      <c r="AA1260" t="s">
        <v>10243</v>
      </c>
      <c r="AB1260" t="s">
        <v>10250</v>
      </c>
      <c r="AC1260" t="s">
        <v>10251</v>
      </c>
      <c r="AD1260" t="s">
        <v>10252</v>
      </c>
      <c r="AE1260">
        <v>170</v>
      </c>
      <c r="AF1260" t="s">
        <v>87</v>
      </c>
      <c r="AG1260" t="s">
        <v>515</v>
      </c>
    </row>
    <row r="1261" spans="1:33" x14ac:dyDescent="0.25">
      <c r="A1261">
        <v>24391</v>
      </c>
      <c r="B1261" t="s">
        <v>32</v>
      </c>
      <c r="C1261">
        <v>1</v>
      </c>
      <c r="D1261" t="s">
        <v>10302</v>
      </c>
      <c r="E1261" t="s">
        <v>70</v>
      </c>
      <c r="F1261" t="s">
        <v>3256</v>
      </c>
      <c r="G1261" t="s">
        <v>3257</v>
      </c>
      <c r="H1261" t="s">
        <v>8233</v>
      </c>
      <c r="I1261" t="s">
        <v>10303</v>
      </c>
      <c r="J1261" t="s">
        <v>10304</v>
      </c>
      <c r="K1261" t="s">
        <v>36</v>
      </c>
      <c r="L1261" t="s">
        <v>33</v>
      </c>
      <c r="M1261">
        <v>20605114980</v>
      </c>
      <c r="N1261" t="s">
        <v>1027</v>
      </c>
      <c r="P1261" t="s">
        <v>62</v>
      </c>
      <c r="Q1261" t="s">
        <v>3267</v>
      </c>
      <c r="R1261" t="s">
        <v>10305</v>
      </c>
      <c r="S1261">
        <v>340</v>
      </c>
      <c r="T1261" t="s">
        <v>40</v>
      </c>
      <c r="U1261">
        <f>+IF(Tabla1[[#This Row],[MONEDA]]="PEN",Tabla1[[#This Row],[MONTO]],Tabla1[[#This Row],[MONTO]]*3.56)</f>
        <v>340</v>
      </c>
      <c r="X1261" t="s">
        <v>41</v>
      </c>
      <c r="Y1261" t="s">
        <v>42</v>
      </c>
      <c r="Z1261" t="s">
        <v>82</v>
      </c>
      <c r="AA1261" t="s">
        <v>10306</v>
      </c>
      <c r="AB1261" t="s">
        <v>10307</v>
      </c>
      <c r="AC1261" t="s">
        <v>10308</v>
      </c>
      <c r="AD1261" t="s">
        <v>10309</v>
      </c>
      <c r="AE1261">
        <v>340</v>
      </c>
      <c r="AF1261" t="s">
        <v>87</v>
      </c>
      <c r="AG1261" t="s">
        <v>515</v>
      </c>
    </row>
    <row r="1262" spans="1:33" x14ac:dyDescent="0.25">
      <c r="A1262">
        <v>23607</v>
      </c>
      <c r="B1262" t="s">
        <v>32</v>
      </c>
      <c r="C1262">
        <v>1</v>
      </c>
      <c r="D1262" t="s">
        <v>11068</v>
      </c>
      <c r="E1262" t="s">
        <v>70</v>
      </c>
      <c r="F1262" t="s">
        <v>3256</v>
      </c>
      <c r="G1262" t="s">
        <v>3257</v>
      </c>
      <c r="H1262" t="s">
        <v>8233</v>
      </c>
      <c r="I1262" t="s">
        <v>11069</v>
      </c>
      <c r="J1262" t="s">
        <v>11070</v>
      </c>
      <c r="K1262" t="s">
        <v>36</v>
      </c>
      <c r="L1262" t="s">
        <v>33</v>
      </c>
      <c r="M1262">
        <v>20605114980</v>
      </c>
      <c r="N1262" t="s">
        <v>1027</v>
      </c>
      <c r="P1262" t="s">
        <v>62</v>
      </c>
      <c r="Q1262" t="s">
        <v>3267</v>
      </c>
      <c r="R1262" t="s">
        <v>11071</v>
      </c>
      <c r="S1262">
        <v>170</v>
      </c>
      <c r="T1262" t="s">
        <v>40</v>
      </c>
      <c r="U1262">
        <f>+IF(Tabla1[[#This Row],[MONEDA]]="PEN",Tabla1[[#This Row],[MONTO]],Tabla1[[#This Row],[MONTO]]*3.56)</f>
        <v>170</v>
      </c>
      <c r="X1262" t="s">
        <v>41</v>
      </c>
      <c r="Y1262" t="s">
        <v>42</v>
      </c>
      <c r="Z1262" t="s">
        <v>82</v>
      </c>
      <c r="AA1262" t="s">
        <v>11072</v>
      </c>
      <c r="AB1262" t="s">
        <v>11073</v>
      </c>
      <c r="AC1262" t="s">
        <v>11074</v>
      </c>
      <c r="AD1262" t="s">
        <v>11075</v>
      </c>
      <c r="AE1262">
        <v>170</v>
      </c>
      <c r="AF1262" t="s">
        <v>87</v>
      </c>
      <c r="AG1262" t="s">
        <v>515</v>
      </c>
    </row>
    <row r="1263" spans="1:33" x14ac:dyDescent="0.25">
      <c r="A1263">
        <v>23531</v>
      </c>
      <c r="B1263" t="s">
        <v>32</v>
      </c>
      <c r="C1263">
        <v>1</v>
      </c>
      <c r="D1263" t="s">
        <v>11176</v>
      </c>
      <c r="E1263" t="s">
        <v>70</v>
      </c>
      <c r="F1263" t="s">
        <v>3256</v>
      </c>
      <c r="G1263" t="s">
        <v>3257</v>
      </c>
      <c r="H1263" t="s">
        <v>8233</v>
      </c>
      <c r="I1263" t="s">
        <v>11177</v>
      </c>
      <c r="J1263" t="s">
        <v>11178</v>
      </c>
      <c r="K1263" t="s">
        <v>36</v>
      </c>
      <c r="L1263" t="s">
        <v>33</v>
      </c>
      <c r="M1263">
        <v>20605114980</v>
      </c>
      <c r="N1263" t="s">
        <v>1027</v>
      </c>
      <c r="P1263" t="s">
        <v>62</v>
      </c>
      <c r="Q1263" t="s">
        <v>3267</v>
      </c>
      <c r="R1263" t="s">
        <v>11179</v>
      </c>
      <c r="S1263">
        <v>340</v>
      </c>
      <c r="T1263" t="s">
        <v>40</v>
      </c>
      <c r="U1263">
        <f>+IF(Tabla1[[#This Row],[MONEDA]]="PEN",Tabla1[[#This Row],[MONTO]],Tabla1[[#This Row],[MONTO]]*3.56)</f>
        <v>340</v>
      </c>
      <c r="X1263" t="s">
        <v>41</v>
      </c>
      <c r="Y1263" t="s">
        <v>42</v>
      </c>
      <c r="Z1263" t="s">
        <v>82</v>
      </c>
      <c r="AA1263" t="s">
        <v>11180</v>
      </c>
      <c r="AB1263" t="s">
        <v>11181</v>
      </c>
      <c r="AC1263" t="s">
        <v>11182</v>
      </c>
      <c r="AD1263" t="s">
        <v>11183</v>
      </c>
      <c r="AE1263">
        <v>340</v>
      </c>
      <c r="AF1263" t="s">
        <v>87</v>
      </c>
      <c r="AG1263" t="s">
        <v>515</v>
      </c>
    </row>
    <row r="1264" spans="1:33" x14ac:dyDescent="0.25">
      <c r="A1264">
        <v>22616</v>
      </c>
      <c r="B1264" t="s">
        <v>32</v>
      </c>
      <c r="C1264">
        <v>1</v>
      </c>
      <c r="D1264" t="s">
        <v>11748</v>
      </c>
      <c r="E1264" t="s">
        <v>70</v>
      </c>
      <c r="F1264" t="s">
        <v>3256</v>
      </c>
      <c r="G1264" t="s">
        <v>3257</v>
      </c>
      <c r="H1264" t="s">
        <v>8233</v>
      </c>
      <c r="I1264" t="s">
        <v>11749</v>
      </c>
      <c r="J1264" t="s">
        <v>11750</v>
      </c>
      <c r="K1264" t="s">
        <v>36</v>
      </c>
      <c r="L1264" t="s">
        <v>33</v>
      </c>
      <c r="M1264">
        <v>20605114980</v>
      </c>
      <c r="N1264" t="s">
        <v>1027</v>
      </c>
      <c r="P1264" t="s">
        <v>62</v>
      </c>
      <c r="Q1264" t="s">
        <v>3267</v>
      </c>
      <c r="R1264" t="s">
        <v>11751</v>
      </c>
      <c r="S1264">
        <v>510</v>
      </c>
      <c r="T1264" t="s">
        <v>40</v>
      </c>
      <c r="U1264">
        <f>+IF(Tabla1[[#This Row],[MONEDA]]="PEN",Tabla1[[#This Row],[MONTO]],Tabla1[[#This Row],[MONTO]]*3.56)</f>
        <v>510</v>
      </c>
      <c r="X1264" t="s">
        <v>41</v>
      </c>
      <c r="Y1264" t="s">
        <v>42</v>
      </c>
      <c r="Z1264" t="s">
        <v>82</v>
      </c>
      <c r="AA1264" t="s">
        <v>11752</v>
      </c>
      <c r="AB1264" t="s">
        <v>11753</v>
      </c>
      <c r="AC1264" t="s">
        <v>11754</v>
      </c>
      <c r="AD1264" t="s">
        <v>11755</v>
      </c>
      <c r="AE1264">
        <v>510</v>
      </c>
      <c r="AF1264" t="s">
        <v>87</v>
      </c>
      <c r="AG1264" t="s">
        <v>515</v>
      </c>
    </row>
    <row r="1265" spans="1:33" x14ac:dyDescent="0.25">
      <c r="A1265">
        <v>22341</v>
      </c>
      <c r="B1265" t="s">
        <v>32</v>
      </c>
      <c r="C1265">
        <v>1</v>
      </c>
      <c r="D1265" t="s">
        <v>11950</v>
      </c>
      <c r="E1265" t="s">
        <v>70</v>
      </c>
      <c r="F1265" t="s">
        <v>3256</v>
      </c>
      <c r="G1265" t="s">
        <v>3257</v>
      </c>
      <c r="H1265" t="s">
        <v>8233</v>
      </c>
      <c r="I1265" t="s">
        <v>11943</v>
      </c>
      <c r="J1265" t="s">
        <v>11951</v>
      </c>
      <c r="K1265" t="s">
        <v>36</v>
      </c>
      <c r="L1265" t="s">
        <v>33</v>
      </c>
      <c r="M1265">
        <v>20605114980</v>
      </c>
      <c r="N1265" t="s">
        <v>1027</v>
      </c>
      <c r="P1265" t="s">
        <v>62</v>
      </c>
      <c r="Q1265" t="s">
        <v>3267</v>
      </c>
      <c r="R1265" t="s">
        <v>11952</v>
      </c>
      <c r="S1265">
        <v>170</v>
      </c>
      <c r="T1265" t="s">
        <v>40</v>
      </c>
      <c r="U1265">
        <f>+IF(Tabla1[[#This Row],[MONEDA]]="PEN",Tabla1[[#This Row],[MONTO]],Tabla1[[#This Row],[MONTO]]*3.56)</f>
        <v>170</v>
      </c>
      <c r="X1265" t="s">
        <v>41</v>
      </c>
      <c r="Y1265" t="s">
        <v>42</v>
      </c>
      <c r="Z1265" t="s">
        <v>82</v>
      </c>
      <c r="AA1265" t="s">
        <v>11953</v>
      </c>
      <c r="AB1265" t="s">
        <v>11954</v>
      </c>
      <c r="AC1265" t="s">
        <v>11955</v>
      </c>
      <c r="AD1265" t="s">
        <v>11956</v>
      </c>
      <c r="AE1265">
        <v>170</v>
      </c>
      <c r="AF1265" t="s">
        <v>87</v>
      </c>
      <c r="AG1265" t="s">
        <v>515</v>
      </c>
    </row>
    <row r="1266" spans="1:33" x14ac:dyDescent="0.25">
      <c r="A1266">
        <v>22009</v>
      </c>
      <c r="B1266" t="s">
        <v>32</v>
      </c>
      <c r="C1266">
        <v>1</v>
      </c>
      <c r="D1266" t="s">
        <v>12075</v>
      </c>
      <c r="E1266" t="s">
        <v>70</v>
      </c>
      <c r="F1266" t="s">
        <v>3256</v>
      </c>
      <c r="G1266" t="s">
        <v>3257</v>
      </c>
      <c r="H1266" t="s">
        <v>8233</v>
      </c>
      <c r="I1266" t="s">
        <v>12076</v>
      </c>
      <c r="J1266" t="s">
        <v>12077</v>
      </c>
      <c r="K1266" t="s">
        <v>36</v>
      </c>
      <c r="L1266" t="s">
        <v>33</v>
      </c>
      <c r="M1266">
        <v>20605114980</v>
      </c>
      <c r="N1266" t="s">
        <v>1027</v>
      </c>
      <c r="P1266" t="s">
        <v>62</v>
      </c>
      <c r="Q1266" t="s">
        <v>3267</v>
      </c>
      <c r="R1266" t="s">
        <v>12078</v>
      </c>
      <c r="S1266">
        <v>170</v>
      </c>
      <c r="T1266" t="s">
        <v>40</v>
      </c>
      <c r="U1266">
        <f>+IF(Tabla1[[#This Row],[MONEDA]]="PEN",Tabla1[[#This Row],[MONTO]],Tabla1[[#This Row],[MONTO]]*3.56)</f>
        <v>170</v>
      </c>
      <c r="X1266" t="s">
        <v>41</v>
      </c>
      <c r="Y1266" t="s">
        <v>42</v>
      </c>
      <c r="Z1266" t="s">
        <v>82</v>
      </c>
      <c r="AA1266" t="s">
        <v>12079</v>
      </c>
      <c r="AB1266" t="s">
        <v>12080</v>
      </c>
      <c r="AC1266" t="s">
        <v>12081</v>
      </c>
      <c r="AD1266" t="s">
        <v>12082</v>
      </c>
      <c r="AE1266">
        <v>170</v>
      </c>
      <c r="AF1266" t="s">
        <v>87</v>
      </c>
      <c r="AG1266" t="s">
        <v>515</v>
      </c>
    </row>
    <row r="1267" spans="1:33" x14ac:dyDescent="0.25">
      <c r="A1267">
        <v>21720</v>
      </c>
      <c r="B1267" t="s">
        <v>32</v>
      </c>
      <c r="C1267">
        <v>1</v>
      </c>
      <c r="D1267" t="s">
        <v>12250</v>
      </c>
      <c r="E1267" t="s">
        <v>70</v>
      </c>
      <c r="F1267" t="s">
        <v>3256</v>
      </c>
      <c r="G1267" t="s">
        <v>3257</v>
      </c>
      <c r="H1267" t="s">
        <v>8233</v>
      </c>
      <c r="I1267" t="s">
        <v>12251</v>
      </c>
      <c r="J1267" t="s">
        <v>12252</v>
      </c>
      <c r="K1267" t="s">
        <v>36</v>
      </c>
      <c r="L1267" t="s">
        <v>33</v>
      </c>
      <c r="M1267">
        <v>20605114980</v>
      </c>
      <c r="N1267" t="s">
        <v>1027</v>
      </c>
      <c r="P1267" t="s">
        <v>62</v>
      </c>
      <c r="Q1267" t="s">
        <v>3267</v>
      </c>
      <c r="R1267" t="s">
        <v>12253</v>
      </c>
      <c r="S1267">
        <v>170</v>
      </c>
      <c r="T1267" t="s">
        <v>40</v>
      </c>
      <c r="U1267">
        <f>+IF(Tabla1[[#This Row],[MONEDA]]="PEN",Tabla1[[#This Row],[MONTO]],Tabla1[[#This Row],[MONTO]]*3.56)</f>
        <v>170</v>
      </c>
      <c r="X1267" t="s">
        <v>41</v>
      </c>
      <c r="Y1267" t="s">
        <v>42</v>
      </c>
      <c r="Z1267" t="s">
        <v>82</v>
      </c>
      <c r="AA1267" t="s">
        <v>12254</v>
      </c>
      <c r="AB1267" t="s">
        <v>12255</v>
      </c>
      <c r="AC1267" t="s">
        <v>12256</v>
      </c>
      <c r="AD1267" t="s">
        <v>12257</v>
      </c>
      <c r="AE1267">
        <v>170</v>
      </c>
      <c r="AF1267" t="s">
        <v>87</v>
      </c>
      <c r="AG1267" t="s">
        <v>515</v>
      </c>
    </row>
    <row r="1268" spans="1:33" x14ac:dyDescent="0.25">
      <c r="A1268">
        <v>21548</v>
      </c>
      <c r="B1268" t="s">
        <v>32</v>
      </c>
      <c r="C1268">
        <v>1</v>
      </c>
      <c r="D1268" t="s">
        <v>12297</v>
      </c>
      <c r="E1268" t="s">
        <v>70</v>
      </c>
      <c r="F1268" t="s">
        <v>3256</v>
      </c>
      <c r="G1268" t="s">
        <v>3257</v>
      </c>
      <c r="H1268" t="s">
        <v>8233</v>
      </c>
      <c r="I1268" t="s">
        <v>12298</v>
      </c>
      <c r="J1268" t="s">
        <v>12299</v>
      </c>
      <c r="K1268" t="s">
        <v>36</v>
      </c>
      <c r="L1268" t="s">
        <v>33</v>
      </c>
      <c r="M1268">
        <v>20605114980</v>
      </c>
      <c r="N1268" t="s">
        <v>1027</v>
      </c>
      <c r="P1268" t="s">
        <v>62</v>
      </c>
      <c r="Q1268" t="s">
        <v>3267</v>
      </c>
      <c r="R1268" t="s">
        <v>12300</v>
      </c>
      <c r="S1268">
        <v>340</v>
      </c>
      <c r="T1268" t="s">
        <v>40</v>
      </c>
      <c r="U1268">
        <f>+IF(Tabla1[[#This Row],[MONEDA]]="PEN",Tabla1[[#This Row],[MONTO]],Tabla1[[#This Row],[MONTO]]*3.56)</f>
        <v>340</v>
      </c>
      <c r="X1268" t="s">
        <v>41</v>
      </c>
      <c r="Y1268" t="s">
        <v>42</v>
      </c>
      <c r="Z1268" t="s">
        <v>82</v>
      </c>
      <c r="AA1268" t="s">
        <v>12301</v>
      </c>
      <c r="AB1268" t="s">
        <v>12302</v>
      </c>
      <c r="AC1268" t="s">
        <v>12303</v>
      </c>
      <c r="AD1268" t="s">
        <v>12304</v>
      </c>
      <c r="AE1268">
        <v>340</v>
      </c>
      <c r="AF1268" t="s">
        <v>87</v>
      </c>
      <c r="AG1268" t="s">
        <v>515</v>
      </c>
    </row>
    <row r="1269" spans="1:33" x14ac:dyDescent="0.25">
      <c r="A1269">
        <v>21317</v>
      </c>
      <c r="B1269" t="s">
        <v>32</v>
      </c>
      <c r="C1269">
        <v>1</v>
      </c>
      <c r="D1269" t="s">
        <v>12496</v>
      </c>
      <c r="E1269" t="s">
        <v>70</v>
      </c>
      <c r="F1269" t="s">
        <v>3256</v>
      </c>
      <c r="G1269" t="s">
        <v>3257</v>
      </c>
      <c r="H1269" t="s">
        <v>8233</v>
      </c>
      <c r="I1269" t="s">
        <v>12497</v>
      </c>
      <c r="J1269" t="s">
        <v>12498</v>
      </c>
      <c r="K1269" t="s">
        <v>36</v>
      </c>
      <c r="L1269" t="s">
        <v>33</v>
      </c>
      <c r="M1269">
        <v>20605114980</v>
      </c>
      <c r="N1269" t="s">
        <v>1027</v>
      </c>
      <c r="P1269" t="s">
        <v>62</v>
      </c>
      <c r="Q1269" t="s">
        <v>3267</v>
      </c>
      <c r="R1269" t="s">
        <v>12499</v>
      </c>
      <c r="S1269">
        <v>340</v>
      </c>
      <c r="T1269" t="s">
        <v>40</v>
      </c>
      <c r="U1269">
        <f>+IF(Tabla1[[#This Row],[MONEDA]]="PEN",Tabla1[[#This Row],[MONTO]],Tabla1[[#This Row],[MONTO]]*3.56)</f>
        <v>340</v>
      </c>
      <c r="X1269" t="s">
        <v>41</v>
      </c>
      <c r="Y1269" t="s">
        <v>42</v>
      </c>
      <c r="Z1269" t="s">
        <v>82</v>
      </c>
      <c r="AA1269" t="s">
        <v>12500</v>
      </c>
      <c r="AB1269" t="s">
        <v>12501</v>
      </c>
      <c r="AC1269" t="s">
        <v>12502</v>
      </c>
      <c r="AD1269" t="s">
        <v>12503</v>
      </c>
      <c r="AE1269">
        <v>340</v>
      </c>
      <c r="AF1269" t="s">
        <v>87</v>
      </c>
      <c r="AG1269" t="s">
        <v>515</v>
      </c>
    </row>
    <row r="1270" spans="1:33" x14ac:dyDescent="0.25">
      <c r="A1270">
        <v>21001</v>
      </c>
      <c r="B1270" t="s">
        <v>32</v>
      </c>
      <c r="C1270">
        <v>1</v>
      </c>
      <c r="D1270" t="s">
        <v>12742</v>
      </c>
      <c r="E1270" t="s">
        <v>70</v>
      </c>
      <c r="F1270" t="s">
        <v>157</v>
      </c>
      <c r="G1270" t="s">
        <v>12377</v>
      </c>
      <c r="H1270" t="s">
        <v>8233</v>
      </c>
      <c r="I1270" t="s">
        <v>12743</v>
      </c>
      <c r="J1270" t="s">
        <v>12744</v>
      </c>
      <c r="K1270" t="s">
        <v>36</v>
      </c>
      <c r="L1270" t="s">
        <v>33</v>
      </c>
      <c r="M1270">
        <v>20605114980</v>
      </c>
      <c r="N1270" t="s">
        <v>1027</v>
      </c>
      <c r="P1270" t="s">
        <v>62</v>
      </c>
      <c r="Q1270" t="s">
        <v>3267</v>
      </c>
      <c r="R1270" t="s">
        <v>12745</v>
      </c>
      <c r="S1270">
        <v>180</v>
      </c>
      <c r="T1270" t="s">
        <v>40</v>
      </c>
      <c r="U1270">
        <f>+IF(Tabla1[[#This Row],[MONEDA]]="PEN",Tabla1[[#This Row],[MONTO]],Tabla1[[#This Row],[MONTO]]*3.56)</f>
        <v>180</v>
      </c>
      <c r="X1270" t="s">
        <v>41</v>
      </c>
      <c r="Y1270" t="s">
        <v>42</v>
      </c>
      <c r="Z1270" t="s">
        <v>82</v>
      </c>
      <c r="AA1270" t="s">
        <v>12746</v>
      </c>
      <c r="AB1270" t="s">
        <v>12747</v>
      </c>
      <c r="AC1270" t="s">
        <v>12748</v>
      </c>
      <c r="AD1270" t="s">
        <v>12749</v>
      </c>
      <c r="AE1270">
        <v>180</v>
      </c>
      <c r="AF1270" t="s">
        <v>87</v>
      </c>
      <c r="AG1270" t="s">
        <v>515</v>
      </c>
    </row>
    <row r="1271" spans="1:33" x14ac:dyDescent="0.25">
      <c r="A1271">
        <v>20889</v>
      </c>
      <c r="B1271" t="s">
        <v>32</v>
      </c>
      <c r="C1271">
        <v>1</v>
      </c>
      <c r="D1271" t="s">
        <v>12790</v>
      </c>
      <c r="E1271" t="s">
        <v>70</v>
      </c>
      <c r="F1271" t="s">
        <v>157</v>
      </c>
      <c r="G1271" t="s">
        <v>12377</v>
      </c>
      <c r="H1271" t="s">
        <v>8233</v>
      </c>
      <c r="I1271" t="s">
        <v>12791</v>
      </c>
      <c r="J1271" t="s">
        <v>12792</v>
      </c>
      <c r="K1271" t="s">
        <v>36</v>
      </c>
      <c r="L1271" t="s">
        <v>33</v>
      </c>
      <c r="M1271">
        <v>20605114980</v>
      </c>
      <c r="N1271" t="s">
        <v>1027</v>
      </c>
      <c r="P1271" t="s">
        <v>62</v>
      </c>
      <c r="Q1271" t="s">
        <v>3267</v>
      </c>
      <c r="R1271" t="s">
        <v>12793</v>
      </c>
      <c r="S1271">
        <v>340</v>
      </c>
      <c r="T1271" t="s">
        <v>40</v>
      </c>
      <c r="U1271">
        <f>+IF(Tabla1[[#This Row],[MONEDA]]="PEN",Tabla1[[#This Row],[MONTO]],Tabla1[[#This Row],[MONTO]]*3.56)</f>
        <v>340</v>
      </c>
      <c r="X1271" t="s">
        <v>41</v>
      </c>
      <c r="Y1271" t="s">
        <v>42</v>
      </c>
      <c r="Z1271" t="s">
        <v>82</v>
      </c>
      <c r="AA1271" t="s">
        <v>12794</v>
      </c>
      <c r="AB1271" t="s">
        <v>12795</v>
      </c>
      <c r="AC1271" t="s">
        <v>12796</v>
      </c>
      <c r="AD1271" t="s">
        <v>12797</v>
      </c>
      <c r="AE1271">
        <v>340</v>
      </c>
      <c r="AF1271" t="s">
        <v>87</v>
      </c>
      <c r="AG1271" t="s">
        <v>515</v>
      </c>
    </row>
    <row r="1272" spans="1:33" x14ac:dyDescent="0.25">
      <c r="A1272">
        <v>20853</v>
      </c>
      <c r="B1272" t="s">
        <v>32</v>
      </c>
      <c r="C1272">
        <v>1</v>
      </c>
      <c r="D1272" t="s">
        <v>12806</v>
      </c>
      <c r="E1272" t="s">
        <v>70</v>
      </c>
      <c r="F1272" t="s">
        <v>157</v>
      </c>
      <c r="G1272" t="s">
        <v>12377</v>
      </c>
      <c r="H1272" t="s">
        <v>8233</v>
      </c>
      <c r="I1272" t="s">
        <v>12799</v>
      </c>
      <c r="J1272" t="s">
        <v>12807</v>
      </c>
      <c r="K1272" t="s">
        <v>36</v>
      </c>
      <c r="L1272" t="s">
        <v>33</v>
      </c>
      <c r="M1272">
        <v>20605114980</v>
      </c>
      <c r="N1272" t="s">
        <v>1027</v>
      </c>
      <c r="P1272" t="s">
        <v>62</v>
      </c>
      <c r="Q1272" t="s">
        <v>3267</v>
      </c>
      <c r="R1272" t="s">
        <v>12808</v>
      </c>
      <c r="S1272">
        <v>170</v>
      </c>
      <c r="T1272" t="s">
        <v>40</v>
      </c>
      <c r="U1272">
        <f>+IF(Tabla1[[#This Row],[MONEDA]]="PEN",Tabla1[[#This Row],[MONTO]],Tabla1[[#This Row],[MONTO]]*3.56)</f>
        <v>170</v>
      </c>
      <c r="X1272" t="s">
        <v>41</v>
      </c>
      <c r="Y1272" t="s">
        <v>42</v>
      </c>
      <c r="Z1272" t="s">
        <v>82</v>
      </c>
      <c r="AA1272" t="s">
        <v>12809</v>
      </c>
      <c r="AB1272" t="s">
        <v>12810</v>
      </c>
      <c r="AC1272" t="s">
        <v>12811</v>
      </c>
      <c r="AD1272" t="s">
        <v>12812</v>
      </c>
      <c r="AE1272">
        <v>170</v>
      </c>
      <c r="AF1272" t="s">
        <v>87</v>
      </c>
      <c r="AG1272" t="s">
        <v>515</v>
      </c>
    </row>
    <row r="1273" spans="1:33" x14ac:dyDescent="0.25">
      <c r="A1273">
        <v>20409</v>
      </c>
      <c r="B1273" t="s">
        <v>32</v>
      </c>
      <c r="C1273">
        <v>1</v>
      </c>
      <c r="D1273" t="s">
        <v>12844</v>
      </c>
      <c r="E1273" t="s">
        <v>70</v>
      </c>
      <c r="F1273" t="s">
        <v>157</v>
      </c>
      <c r="G1273" t="s">
        <v>12377</v>
      </c>
      <c r="H1273" t="s">
        <v>12845</v>
      </c>
      <c r="I1273" t="s">
        <v>12846</v>
      </c>
      <c r="J1273" t="s">
        <v>12847</v>
      </c>
      <c r="K1273" t="s">
        <v>36</v>
      </c>
      <c r="L1273" t="s">
        <v>33</v>
      </c>
      <c r="M1273">
        <v>20605114980</v>
      </c>
      <c r="N1273" t="s">
        <v>1027</v>
      </c>
      <c r="O1273" t="s">
        <v>9404</v>
      </c>
      <c r="P1273" t="s">
        <v>62</v>
      </c>
      <c r="Q1273" t="s">
        <v>1028</v>
      </c>
      <c r="R1273" t="s">
        <v>12848</v>
      </c>
      <c r="S1273">
        <v>170</v>
      </c>
      <c r="T1273" t="s">
        <v>40</v>
      </c>
      <c r="U1273">
        <f>+IF(Tabla1[[#This Row],[MONEDA]]="PEN",Tabla1[[#This Row],[MONTO]],Tabla1[[#This Row],[MONTO]]*3.56)</f>
        <v>170</v>
      </c>
      <c r="X1273" t="s">
        <v>41</v>
      </c>
      <c r="Y1273" t="s">
        <v>42</v>
      </c>
      <c r="Z1273" t="s">
        <v>82</v>
      </c>
      <c r="AA1273" t="s">
        <v>12849</v>
      </c>
      <c r="AB1273" t="s">
        <v>12850</v>
      </c>
      <c r="AC1273" t="s">
        <v>12851</v>
      </c>
      <c r="AD1273" t="s">
        <v>12852</v>
      </c>
      <c r="AE1273">
        <v>170</v>
      </c>
      <c r="AF1273" t="s">
        <v>87</v>
      </c>
      <c r="AG1273" t="s">
        <v>515</v>
      </c>
    </row>
    <row r="1274" spans="1:33" x14ac:dyDescent="0.25">
      <c r="A1274">
        <v>45877</v>
      </c>
      <c r="B1274" t="s">
        <v>32</v>
      </c>
      <c r="C1274">
        <v>1</v>
      </c>
      <c r="D1274" t="s">
        <v>170</v>
      </c>
      <c r="E1274" t="s">
        <v>70</v>
      </c>
      <c r="F1274" t="s">
        <v>157</v>
      </c>
      <c r="G1274" t="s">
        <v>158</v>
      </c>
      <c r="H1274" t="s">
        <v>159</v>
      </c>
      <c r="I1274" t="s">
        <v>160</v>
      </c>
      <c r="J1274" t="s">
        <v>171</v>
      </c>
      <c r="K1274" t="s">
        <v>36</v>
      </c>
      <c r="L1274" t="s">
        <v>33</v>
      </c>
      <c r="M1274">
        <v>20539477600</v>
      </c>
      <c r="N1274" t="s">
        <v>172</v>
      </c>
      <c r="P1274" t="s">
        <v>38</v>
      </c>
      <c r="Q1274" t="s">
        <v>173</v>
      </c>
      <c r="R1274" t="s">
        <v>174</v>
      </c>
      <c r="S1274">
        <v>213.04</v>
      </c>
      <c r="T1274" t="s">
        <v>40</v>
      </c>
      <c r="U1274">
        <f>+IF(Tabla1[[#This Row],[MONEDA]]="PEN",Tabla1[[#This Row],[MONTO]],Tabla1[[#This Row],[MONTO]]*3.56)</f>
        <v>213.04</v>
      </c>
      <c r="X1274" t="s">
        <v>41</v>
      </c>
      <c r="Y1274" t="s">
        <v>42</v>
      </c>
      <c r="Z1274" t="s">
        <v>82</v>
      </c>
      <c r="AA1274" t="s">
        <v>165</v>
      </c>
      <c r="AB1274" t="s">
        <v>175</v>
      </c>
      <c r="AC1274" t="s">
        <v>176</v>
      </c>
      <c r="AD1274" t="s">
        <v>177</v>
      </c>
      <c r="AE1274">
        <v>213.04</v>
      </c>
      <c r="AF1274" t="s">
        <v>87</v>
      </c>
      <c r="AG1274" t="s">
        <v>169</v>
      </c>
    </row>
    <row r="1275" spans="1:33" x14ac:dyDescent="0.25">
      <c r="A1275">
        <v>42926</v>
      </c>
      <c r="B1275" t="s">
        <v>32</v>
      </c>
      <c r="C1275">
        <v>1</v>
      </c>
      <c r="D1275" t="s">
        <v>940</v>
      </c>
      <c r="E1275" t="s">
        <v>70</v>
      </c>
      <c r="F1275" t="s">
        <v>157</v>
      </c>
      <c r="G1275" t="s">
        <v>158</v>
      </c>
      <c r="H1275" t="s">
        <v>159</v>
      </c>
      <c r="I1275" t="s">
        <v>941</v>
      </c>
      <c r="J1275" t="s">
        <v>942</v>
      </c>
      <c r="K1275" t="s">
        <v>36</v>
      </c>
      <c r="L1275" t="s">
        <v>33</v>
      </c>
      <c r="M1275">
        <v>20539477600</v>
      </c>
      <c r="N1275" t="s">
        <v>172</v>
      </c>
      <c r="P1275" t="s">
        <v>38</v>
      </c>
      <c r="Q1275" t="s">
        <v>173</v>
      </c>
      <c r="R1275" t="s">
        <v>943</v>
      </c>
      <c r="S1275">
        <v>193.04</v>
      </c>
      <c r="T1275" t="s">
        <v>40</v>
      </c>
      <c r="U1275">
        <f>+IF(Tabla1[[#This Row],[MONEDA]]="PEN",Tabla1[[#This Row],[MONTO]],Tabla1[[#This Row],[MONTO]]*3.56)</f>
        <v>193.04</v>
      </c>
      <c r="X1275" t="s">
        <v>41</v>
      </c>
      <c r="Y1275" t="s">
        <v>42</v>
      </c>
      <c r="Z1275" t="s">
        <v>82</v>
      </c>
      <c r="AA1275" t="s">
        <v>944</v>
      </c>
      <c r="AB1275" t="s">
        <v>945</v>
      </c>
      <c r="AC1275" t="s">
        <v>946</v>
      </c>
      <c r="AD1275" t="s">
        <v>947</v>
      </c>
      <c r="AE1275">
        <v>193.04</v>
      </c>
      <c r="AF1275" t="s">
        <v>87</v>
      </c>
      <c r="AG1275" t="s">
        <v>169</v>
      </c>
    </row>
    <row r="1276" spans="1:33" x14ac:dyDescent="0.25">
      <c r="A1276">
        <v>42958</v>
      </c>
      <c r="B1276" t="s">
        <v>32</v>
      </c>
      <c r="C1276">
        <v>1</v>
      </c>
      <c r="D1276" t="s">
        <v>948</v>
      </c>
      <c r="E1276" t="s">
        <v>70</v>
      </c>
      <c r="F1276" t="s">
        <v>157</v>
      </c>
      <c r="G1276" t="s">
        <v>158</v>
      </c>
      <c r="H1276" t="s">
        <v>159</v>
      </c>
      <c r="I1276" t="s">
        <v>941</v>
      </c>
      <c r="J1276" t="s">
        <v>949</v>
      </c>
      <c r="K1276" t="s">
        <v>36</v>
      </c>
      <c r="L1276" t="s">
        <v>33</v>
      </c>
      <c r="M1276">
        <v>20539477600</v>
      </c>
      <c r="N1276" t="s">
        <v>172</v>
      </c>
      <c r="P1276" t="s">
        <v>38</v>
      </c>
      <c r="Q1276" t="s">
        <v>173</v>
      </c>
      <c r="R1276" t="s">
        <v>950</v>
      </c>
      <c r="S1276">
        <v>386.08</v>
      </c>
      <c r="T1276" t="s">
        <v>40</v>
      </c>
      <c r="U1276">
        <f>+IF(Tabla1[[#This Row],[MONEDA]]="PEN",Tabla1[[#This Row],[MONTO]],Tabla1[[#This Row],[MONTO]]*3.56)</f>
        <v>386.08</v>
      </c>
      <c r="X1276" t="s">
        <v>41</v>
      </c>
      <c r="Y1276" t="s">
        <v>42</v>
      </c>
      <c r="Z1276" t="s">
        <v>82</v>
      </c>
      <c r="AA1276" t="s">
        <v>951</v>
      </c>
      <c r="AB1276" t="s">
        <v>952</v>
      </c>
      <c r="AC1276" t="s">
        <v>953</v>
      </c>
      <c r="AD1276" t="s">
        <v>954</v>
      </c>
      <c r="AE1276">
        <v>386.08</v>
      </c>
      <c r="AF1276" t="s">
        <v>87</v>
      </c>
      <c r="AG1276" t="s">
        <v>169</v>
      </c>
    </row>
    <row r="1277" spans="1:33" x14ac:dyDescent="0.25">
      <c r="A1277">
        <v>42485</v>
      </c>
      <c r="B1277" t="s">
        <v>32</v>
      </c>
      <c r="C1277">
        <v>1</v>
      </c>
      <c r="D1277" t="s">
        <v>1034</v>
      </c>
      <c r="E1277" t="s">
        <v>70</v>
      </c>
      <c r="F1277" t="s">
        <v>157</v>
      </c>
      <c r="G1277" t="s">
        <v>158</v>
      </c>
      <c r="H1277" t="s">
        <v>159</v>
      </c>
      <c r="I1277" t="s">
        <v>1025</v>
      </c>
      <c r="J1277" t="s">
        <v>1035</v>
      </c>
      <c r="K1277" t="s">
        <v>36</v>
      </c>
      <c r="L1277" t="s">
        <v>33</v>
      </c>
      <c r="M1277">
        <v>20539477600</v>
      </c>
      <c r="N1277" t="s">
        <v>172</v>
      </c>
      <c r="P1277" t="s">
        <v>38</v>
      </c>
      <c r="Q1277" t="s">
        <v>173</v>
      </c>
      <c r="R1277" t="s">
        <v>1036</v>
      </c>
      <c r="S1277">
        <v>193.04</v>
      </c>
      <c r="T1277" t="s">
        <v>40</v>
      </c>
      <c r="U1277">
        <f>+IF(Tabla1[[#This Row],[MONEDA]]="PEN",Tabla1[[#This Row],[MONTO]],Tabla1[[#This Row],[MONTO]]*3.56)</f>
        <v>193.04</v>
      </c>
      <c r="X1277" t="s">
        <v>41</v>
      </c>
      <c r="Y1277" t="s">
        <v>42</v>
      </c>
      <c r="Z1277" t="s">
        <v>82</v>
      </c>
      <c r="AA1277" t="s">
        <v>1037</v>
      </c>
      <c r="AB1277" t="s">
        <v>1038</v>
      </c>
      <c r="AC1277" t="s">
        <v>1039</v>
      </c>
      <c r="AD1277" t="s">
        <v>1040</v>
      </c>
      <c r="AE1277">
        <v>193.04</v>
      </c>
      <c r="AF1277" t="s">
        <v>87</v>
      </c>
      <c r="AG1277" t="s">
        <v>169</v>
      </c>
    </row>
    <row r="1278" spans="1:33" x14ac:dyDescent="0.25">
      <c r="A1278">
        <v>41666</v>
      </c>
      <c r="B1278" t="s">
        <v>32</v>
      </c>
      <c r="C1278">
        <v>1</v>
      </c>
      <c r="D1278" t="s">
        <v>1342</v>
      </c>
      <c r="E1278" t="s">
        <v>70</v>
      </c>
      <c r="F1278" t="s">
        <v>157</v>
      </c>
      <c r="G1278" t="s">
        <v>158</v>
      </c>
      <c r="H1278" t="s">
        <v>159</v>
      </c>
      <c r="I1278" t="s">
        <v>1328</v>
      </c>
      <c r="J1278" t="s">
        <v>1343</v>
      </c>
      <c r="K1278" t="s">
        <v>36</v>
      </c>
      <c r="L1278" t="s">
        <v>33</v>
      </c>
      <c r="M1278">
        <v>20539477600</v>
      </c>
      <c r="N1278" t="s">
        <v>172</v>
      </c>
      <c r="P1278" t="s">
        <v>38</v>
      </c>
      <c r="Q1278" t="s">
        <v>173</v>
      </c>
      <c r="R1278" t="s">
        <v>1344</v>
      </c>
      <c r="S1278">
        <v>436.07</v>
      </c>
      <c r="T1278" t="s">
        <v>40</v>
      </c>
      <c r="U1278">
        <f>+IF(Tabla1[[#This Row],[MONEDA]]="PEN",Tabla1[[#This Row],[MONTO]],Tabla1[[#This Row],[MONTO]]*3.56)</f>
        <v>436.07</v>
      </c>
      <c r="X1278" t="s">
        <v>41</v>
      </c>
      <c r="Y1278" t="s">
        <v>42</v>
      </c>
      <c r="Z1278" t="s">
        <v>82</v>
      </c>
      <c r="AA1278" t="s">
        <v>1345</v>
      </c>
      <c r="AB1278" t="s">
        <v>1346</v>
      </c>
      <c r="AC1278" t="s">
        <v>1347</v>
      </c>
      <c r="AD1278" t="s">
        <v>1348</v>
      </c>
      <c r="AE1278">
        <v>436.07</v>
      </c>
      <c r="AF1278" t="s">
        <v>87</v>
      </c>
      <c r="AG1278" t="s">
        <v>169</v>
      </c>
    </row>
    <row r="1279" spans="1:33" x14ac:dyDescent="0.25">
      <c r="A1279">
        <v>39391</v>
      </c>
      <c r="B1279" t="s">
        <v>32</v>
      </c>
      <c r="C1279">
        <v>1</v>
      </c>
      <c r="D1279" t="s">
        <v>2319</v>
      </c>
      <c r="E1279" t="s">
        <v>70</v>
      </c>
      <c r="F1279" t="s">
        <v>157</v>
      </c>
      <c r="G1279" t="s">
        <v>158</v>
      </c>
      <c r="H1279" t="s">
        <v>159</v>
      </c>
      <c r="I1279" t="s">
        <v>2312</v>
      </c>
      <c r="J1279" t="s">
        <v>2320</v>
      </c>
      <c r="K1279" t="s">
        <v>36</v>
      </c>
      <c r="L1279" t="s">
        <v>33</v>
      </c>
      <c r="M1279">
        <v>20539477600</v>
      </c>
      <c r="N1279" t="s">
        <v>172</v>
      </c>
      <c r="P1279" t="s">
        <v>38</v>
      </c>
      <c r="Q1279" t="s">
        <v>173</v>
      </c>
      <c r="R1279" t="s">
        <v>2321</v>
      </c>
      <c r="S1279">
        <v>614.05999999999995</v>
      </c>
      <c r="T1279" t="s">
        <v>40</v>
      </c>
      <c r="U1279">
        <f>+IF(Tabla1[[#This Row],[MONEDA]]="PEN",Tabla1[[#This Row],[MONTO]],Tabla1[[#This Row],[MONTO]]*3.56)</f>
        <v>614.05999999999995</v>
      </c>
      <c r="X1279" t="s">
        <v>41</v>
      </c>
      <c r="Y1279" t="s">
        <v>42</v>
      </c>
      <c r="Z1279" t="s">
        <v>82</v>
      </c>
      <c r="AA1279" t="s">
        <v>2322</v>
      </c>
      <c r="AB1279" t="s">
        <v>2323</v>
      </c>
      <c r="AC1279" t="s">
        <v>2324</v>
      </c>
      <c r="AD1279" t="s">
        <v>2325</v>
      </c>
      <c r="AE1279">
        <v>614.05999999999995</v>
      </c>
      <c r="AF1279" t="s">
        <v>87</v>
      </c>
      <c r="AG1279" t="s">
        <v>169</v>
      </c>
    </row>
    <row r="1280" spans="1:33" x14ac:dyDescent="0.25">
      <c r="A1280">
        <v>37171</v>
      </c>
      <c r="B1280" t="s">
        <v>32</v>
      </c>
      <c r="C1280">
        <v>1</v>
      </c>
      <c r="D1280" t="s">
        <v>3471</v>
      </c>
      <c r="E1280" t="s">
        <v>70</v>
      </c>
      <c r="F1280" t="s">
        <v>3256</v>
      </c>
      <c r="G1280" t="s">
        <v>3257</v>
      </c>
      <c r="H1280" t="s">
        <v>159</v>
      </c>
      <c r="I1280" t="s">
        <v>3464</v>
      </c>
      <c r="J1280" t="s">
        <v>3472</v>
      </c>
      <c r="K1280" t="s">
        <v>36</v>
      </c>
      <c r="L1280" t="s">
        <v>33</v>
      </c>
      <c r="M1280">
        <v>20539477600</v>
      </c>
      <c r="N1280" t="s">
        <v>172</v>
      </c>
      <c r="P1280" t="s">
        <v>38</v>
      </c>
      <c r="Q1280" t="s">
        <v>173</v>
      </c>
      <c r="R1280" t="s">
        <v>3473</v>
      </c>
      <c r="S1280">
        <v>193.04</v>
      </c>
      <c r="T1280" t="s">
        <v>40</v>
      </c>
      <c r="U1280">
        <f>+IF(Tabla1[[#This Row],[MONEDA]]="PEN",Tabla1[[#This Row],[MONTO]],Tabla1[[#This Row],[MONTO]]*3.56)</f>
        <v>193.04</v>
      </c>
      <c r="X1280" t="s">
        <v>41</v>
      </c>
      <c r="Y1280" t="s">
        <v>42</v>
      </c>
      <c r="Z1280" t="s">
        <v>82</v>
      </c>
      <c r="AA1280" t="s">
        <v>3474</v>
      </c>
      <c r="AB1280" t="s">
        <v>3475</v>
      </c>
      <c r="AC1280" t="s">
        <v>3476</v>
      </c>
      <c r="AD1280" t="s">
        <v>3477</v>
      </c>
      <c r="AE1280">
        <v>193.04</v>
      </c>
      <c r="AG1280" t="s">
        <v>169</v>
      </c>
    </row>
    <row r="1281" spans="1:33" x14ac:dyDescent="0.25">
      <c r="A1281">
        <v>37132</v>
      </c>
      <c r="B1281" t="s">
        <v>32</v>
      </c>
      <c r="C1281">
        <v>1</v>
      </c>
      <c r="D1281" t="s">
        <v>3478</v>
      </c>
      <c r="E1281" t="s">
        <v>70</v>
      </c>
      <c r="F1281" t="s">
        <v>157</v>
      </c>
      <c r="G1281" t="s">
        <v>158</v>
      </c>
      <c r="H1281" t="s">
        <v>159</v>
      </c>
      <c r="I1281" t="s">
        <v>3479</v>
      </c>
      <c r="J1281" t="s">
        <v>3480</v>
      </c>
      <c r="K1281" t="s">
        <v>36</v>
      </c>
      <c r="L1281" t="s">
        <v>33</v>
      </c>
      <c r="M1281">
        <v>20539477600</v>
      </c>
      <c r="N1281" t="s">
        <v>172</v>
      </c>
      <c r="P1281" t="s">
        <v>38</v>
      </c>
      <c r="Q1281" t="s">
        <v>173</v>
      </c>
      <c r="R1281" t="s">
        <v>3481</v>
      </c>
      <c r="S1281">
        <v>213.04</v>
      </c>
      <c r="T1281" t="s">
        <v>40</v>
      </c>
      <c r="U1281">
        <f>+IF(Tabla1[[#This Row],[MONEDA]]="PEN",Tabla1[[#This Row],[MONTO]],Tabla1[[#This Row],[MONTO]]*3.56)</f>
        <v>213.04</v>
      </c>
      <c r="X1281" t="s">
        <v>41</v>
      </c>
      <c r="Y1281" t="s">
        <v>42</v>
      </c>
      <c r="Z1281" t="s">
        <v>82</v>
      </c>
      <c r="AA1281" t="s">
        <v>3482</v>
      </c>
      <c r="AC1281" t="s">
        <v>3483</v>
      </c>
      <c r="AD1281" t="s">
        <v>3484</v>
      </c>
      <c r="AE1281">
        <v>213.04</v>
      </c>
      <c r="AG1281" t="s">
        <v>169</v>
      </c>
    </row>
    <row r="1282" spans="1:33" x14ac:dyDescent="0.25">
      <c r="A1282">
        <v>36794</v>
      </c>
      <c r="B1282" t="s">
        <v>32</v>
      </c>
      <c r="C1282">
        <v>1</v>
      </c>
      <c r="D1282" t="s">
        <v>3636</v>
      </c>
      <c r="E1282" t="s">
        <v>70</v>
      </c>
      <c r="F1282" t="s">
        <v>157</v>
      </c>
      <c r="G1282" t="s">
        <v>158</v>
      </c>
      <c r="H1282" t="s">
        <v>159</v>
      </c>
      <c r="I1282" t="s">
        <v>3637</v>
      </c>
      <c r="J1282" t="s">
        <v>3638</v>
      </c>
      <c r="K1282" t="s">
        <v>36</v>
      </c>
      <c r="L1282" t="s">
        <v>33</v>
      </c>
      <c r="M1282">
        <v>20539477600</v>
      </c>
      <c r="N1282" t="s">
        <v>172</v>
      </c>
      <c r="P1282" t="s">
        <v>38</v>
      </c>
      <c r="Q1282" t="s">
        <v>173</v>
      </c>
      <c r="R1282" t="s">
        <v>3639</v>
      </c>
      <c r="S1282">
        <v>198.02</v>
      </c>
      <c r="T1282" t="s">
        <v>40</v>
      </c>
      <c r="U1282">
        <f>+IF(Tabla1[[#This Row],[MONEDA]]="PEN",Tabla1[[#This Row],[MONTO]],Tabla1[[#This Row],[MONTO]]*3.56)</f>
        <v>198.02</v>
      </c>
      <c r="X1282" t="s">
        <v>41</v>
      </c>
      <c r="Y1282" t="s">
        <v>42</v>
      </c>
      <c r="Z1282" t="s">
        <v>82</v>
      </c>
      <c r="AA1282" t="s">
        <v>3640</v>
      </c>
      <c r="AB1282" t="s">
        <v>3641</v>
      </c>
      <c r="AC1282" t="s">
        <v>3642</v>
      </c>
      <c r="AD1282" t="s">
        <v>3643</v>
      </c>
      <c r="AE1282">
        <v>198.02</v>
      </c>
      <c r="AG1282" t="s">
        <v>169</v>
      </c>
    </row>
    <row r="1283" spans="1:33" x14ac:dyDescent="0.25">
      <c r="A1283">
        <v>36487</v>
      </c>
      <c r="B1283" t="s">
        <v>32</v>
      </c>
      <c r="C1283">
        <v>1</v>
      </c>
      <c r="D1283" t="s">
        <v>3884</v>
      </c>
      <c r="E1283" t="s">
        <v>70</v>
      </c>
      <c r="F1283" t="s">
        <v>157</v>
      </c>
      <c r="G1283" t="s">
        <v>158</v>
      </c>
      <c r="H1283" t="s">
        <v>159</v>
      </c>
      <c r="I1283" t="s">
        <v>3885</v>
      </c>
      <c r="J1283" t="s">
        <v>3886</v>
      </c>
      <c r="K1283" t="s">
        <v>36</v>
      </c>
      <c r="L1283" t="s">
        <v>33</v>
      </c>
      <c r="M1283">
        <v>20539477600</v>
      </c>
      <c r="N1283" t="s">
        <v>172</v>
      </c>
      <c r="P1283" t="s">
        <v>38</v>
      </c>
      <c r="Q1283" t="s">
        <v>173</v>
      </c>
      <c r="R1283" t="s">
        <v>3887</v>
      </c>
      <c r="S1283">
        <v>198.02</v>
      </c>
      <c r="T1283" t="s">
        <v>40</v>
      </c>
      <c r="U1283">
        <f>+IF(Tabla1[[#This Row],[MONEDA]]="PEN",Tabla1[[#This Row],[MONTO]],Tabla1[[#This Row],[MONTO]]*3.56)</f>
        <v>198.02</v>
      </c>
      <c r="X1283" t="s">
        <v>41</v>
      </c>
      <c r="Y1283" t="s">
        <v>42</v>
      </c>
      <c r="Z1283" t="s">
        <v>82</v>
      </c>
      <c r="AA1283" t="s">
        <v>3888</v>
      </c>
      <c r="AB1283" t="s">
        <v>3889</v>
      </c>
      <c r="AC1283" t="s">
        <v>3890</v>
      </c>
      <c r="AD1283" t="s">
        <v>3891</v>
      </c>
      <c r="AE1283">
        <v>198.02</v>
      </c>
      <c r="AF1283" t="s">
        <v>87</v>
      </c>
      <c r="AG1283" t="s">
        <v>169</v>
      </c>
    </row>
    <row r="1284" spans="1:33" x14ac:dyDescent="0.25">
      <c r="A1284">
        <v>35044</v>
      </c>
      <c r="B1284" t="s">
        <v>32</v>
      </c>
      <c r="C1284">
        <v>1</v>
      </c>
      <c r="D1284" t="s">
        <v>4471</v>
      </c>
      <c r="E1284" t="s">
        <v>70</v>
      </c>
      <c r="F1284" t="s">
        <v>3256</v>
      </c>
      <c r="G1284" t="s">
        <v>3257</v>
      </c>
      <c r="H1284" t="s">
        <v>159</v>
      </c>
      <c r="I1284" t="s">
        <v>4472</v>
      </c>
      <c r="J1284" t="s">
        <v>4473</v>
      </c>
      <c r="K1284" t="s">
        <v>36</v>
      </c>
      <c r="L1284" t="s">
        <v>33</v>
      </c>
      <c r="M1284">
        <v>20539477600</v>
      </c>
      <c r="N1284" t="s">
        <v>172</v>
      </c>
      <c r="P1284" t="s">
        <v>38</v>
      </c>
      <c r="Q1284" t="s">
        <v>173</v>
      </c>
      <c r="R1284" t="s">
        <v>4474</v>
      </c>
      <c r="S1284">
        <v>599.12</v>
      </c>
      <c r="T1284" t="s">
        <v>40</v>
      </c>
      <c r="U1284">
        <f>+IF(Tabla1[[#This Row],[MONEDA]]="PEN",Tabla1[[#This Row],[MONTO]],Tabla1[[#This Row],[MONTO]]*3.56)</f>
        <v>599.12</v>
      </c>
      <c r="X1284" t="s">
        <v>41</v>
      </c>
      <c r="Y1284" t="s">
        <v>42</v>
      </c>
      <c r="Z1284" t="s">
        <v>82</v>
      </c>
      <c r="AA1284" t="s">
        <v>4475</v>
      </c>
      <c r="AB1284" t="s">
        <v>4476</v>
      </c>
      <c r="AC1284" t="s">
        <v>4477</v>
      </c>
      <c r="AD1284" t="s">
        <v>4478</v>
      </c>
      <c r="AE1284">
        <v>599.12</v>
      </c>
      <c r="AG1284" t="s">
        <v>169</v>
      </c>
    </row>
    <row r="1285" spans="1:33" x14ac:dyDescent="0.25">
      <c r="A1285">
        <v>34670</v>
      </c>
      <c r="B1285" t="s">
        <v>32</v>
      </c>
      <c r="C1285">
        <v>1</v>
      </c>
      <c r="D1285" t="s">
        <v>4563</v>
      </c>
      <c r="E1285" t="s">
        <v>70</v>
      </c>
      <c r="F1285" t="s">
        <v>3256</v>
      </c>
      <c r="G1285" t="s">
        <v>3257</v>
      </c>
      <c r="H1285" t="s">
        <v>159</v>
      </c>
      <c r="I1285" t="s">
        <v>4564</v>
      </c>
      <c r="J1285" t="s">
        <v>4565</v>
      </c>
      <c r="K1285" t="s">
        <v>36</v>
      </c>
      <c r="L1285" t="s">
        <v>33</v>
      </c>
      <c r="M1285">
        <v>20539477600</v>
      </c>
      <c r="N1285" t="s">
        <v>172</v>
      </c>
      <c r="P1285" t="s">
        <v>38</v>
      </c>
      <c r="Q1285" t="s">
        <v>173</v>
      </c>
      <c r="R1285" t="s">
        <v>4566</v>
      </c>
      <c r="S1285">
        <v>193.04</v>
      </c>
      <c r="T1285" t="s">
        <v>40</v>
      </c>
      <c r="U1285">
        <f>+IF(Tabla1[[#This Row],[MONEDA]]="PEN",Tabla1[[#This Row],[MONTO]],Tabla1[[#This Row],[MONTO]]*3.56)</f>
        <v>193.04</v>
      </c>
      <c r="X1285" t="s">
        <v>41</v>
      </c>
      <c r="Y1285" t="s">
        <v>42</v>
      </c>
      <c r="Z1285" t="s">
        <v>82</v>
      </c>
      <c r="AA1285" t="s">
        <v>4567</v>
      </c>
      <c r="AB1285" t="s">
        <v>4568</v>
      </c>
      <c r="AC1285" t="s">
        <v>4569</v>
      </c>
      <c r="AD1285" t="s">
        <v>4570</v>
      </c>
      <c r="AE1285">
        <v>193.04</v>
      </c>
      <c r="AG1285" t="s">
        <v>169</v>
      </c>
    </row>
    <row r="1286" spans="1:33" x14ac:dyDescent="0.25">
      <c r="A1286">
        <v>29615</v>
      </c>
      <c r="B1286" t="s">
        <v>32</v>
      </c>
      <c r="C1286">
        <v>1</v>
      </c>
      <c r="D1286" t="s">
        <v>6870</v>
      </c>
      <c r="E1286" t="s">
        <v>70</v>
      </c>
      <c r="F1286" t="s">
        <v>3256</v>
      </c>
      <c r="G1286" t="s">
        <v>3257</v>
      </c>
      <c r="H1286" t="s">
        <v>159</v>
      </c>
      <c r="I1286" t="s">
        <v>6871</v>
      </c>
      <c r="J1286" t="s">
        <v>6872</v>
      </c>
      <c r="K1286" t="s">
        <v>36</v>
      </c>
      <c r="L1286" t="s">
        <v>33</v>
      </c>
      <c r="M1286">
        <v>20539477600</v>
      </c>
      <c r="N1286" t="s">
        <v>172</v>
      </c>
      <c r="P1286" t="s">
        <v>38</v>
      </c>
      <c r="Q1286" t="s">
        <v>173</v>
      </c>
      <c r="R1286" t="s">
        <v>6873</v>
      </c>
      <c r="S1286">
        <v>193.04</v>
      </c>
      <c r="T1286" t="s">
        <v>40</v>
      </c>
      <c r="U1286">
        <f>+IF(Tabla1[[#This Row],[MONEDA]]="PEN",Tabla1[[#This Row],[MONTO]],Tabla1[[#This Row],[MONTO]]*3.56)</f>
        <v>193.04</v>
      </c>
      <c r="X1286" t="s">
        <v>41</v>
      </c>
      <c r="Y1286" t="s">
        <v>42</v>
      </c>
      <c r="Z1286" t="s">
        <v>82</v>
      </c>
      <c r="AA1286" t="s">
        <v>6874</v>
      </c>
      <c r="AB1286" t="s">
        <v>6875</v>
      </c>
      <c r="AC1286" t="s">
        <v>6876</v>
      </c>
      <c r="AD1286" t="s">
        <v>6877</v>
      </c>
      <c r="AE1286">
        <v>193.04</v>
      </c>
      <c r="AF1286" t="s">
        <v>87</v>
      </c>
      <c r="AG1286" t="s">
        <v>169</v>
      </c>
    </row>
    <row r="1287" spans="1:33" x14ac:dyDescent="0.25">
      <c r="A1287">
        <v>27574</v>
      </c>
      <c r="B1287" t="s">
        <v>32</v>
      </c>
      <c r="C1287">
        <v>1</v>
      </c>
      <c r="D1287" t="s">
        <v>8249</v>
      </c>
      <c r="E1287" t="s">
        <v>70</v>
      </c>
      <c r="F1287" t="s">
        <v>3256</v>
      </c>
      <c r="G1287" t="s">
        <v>3257</v>
      </c>
      <c r="H1287" t="s">
        <v>8233</v>
      </c>
      <c r="I1287" t="s">
        <v>8250</v>
      </c>
      <c r="J1287" t="s">
        <v>8251</v>
      </c>
      <c r="K1287" t="s">
        <v>36</v>
      </c>
      <c r="L1287" t="s">
        <v>33</v>
      </c>
      <c r="M1287">
        <v>20539477600</v>
      </c>
      <c r="N1287" t="s">
        <v>172</v>
      </c>
      <c r="P1287" t="s">
        <v>38</v>
      </c>
      <c r="Q1287" t="s">
        <v>173</v>
      </c>
      <c r="R1287" t="s">
        <v>8252</v>
      </c>
      <c r="S1287">
        <v>193.04</v>
      </c>
      <c r="T1287" t="s">
        <v>40</v>
      </c>
      <c r="U1287">
        <f>+IF(Tabla1[[#This Row],[MONEDA]]="PEN",Tabla1[[#This Row],[MONTO]],Tabla1[[#This Row],[MONTO]]*3.56)</f>
        <v>193.04</v>
      </c>
      <c r="X1287" t="s">
        <v>41</v>
      </c>
      <c r="Y1287" t="s">
        <v>42</v>
      </c>
      <c r="Z1287" t="s">
        <v>82</v>
      </c>
      <c r="AA1287" t="s">
        <v>8253</v>
      </c>
      <c r="AB1287" t="s">
        <v>8254</v>
      </c>
      <c r="AC1287" t="s">
        <v>8255</v>
      </c>
      <c r="AD1287" t="s">
        <v>8256</v>
      </c>
      <c r="AE1287">
        <v>193.04</v>
      </c>
      <c r="AF1287" t="s">
        <v>87</v>
      </c>
      <c r="AG1287" t="s">
        <v>169</v>
      </c>
    </row>
    <row r="1288" spans="1:33" x14ac:dyDescent="0.25">
      <c r="A1288">
        <v>26218</v>
      </c>
      <c r="B1288" t="s">
        <v>32</v>
      </c>
      <c r="C1288">
        <v>1</v>
      </c>
      <c r="D1288" t="s">
        <v>9384</v>
      </c>
      <c r="E1288" t="s">
        <v>70</v>
      </c>
      <c r="F1288" t="s">
        <v>3256</v>
      </c>
      <c r="G1288" t="s">
        <v>3257</v>
      </c>
      <c r="H1288" t="s">
        <v>8233</v>
      </c>
      <c r="I1288" t="s">
        <v>9385</v>
      </c>
      <c r="J1288" t="s">
        <v>9386</v>
      </c>
      <c r="K1288" t="s">
        <v>36</v>
      </c>
      <c r="L1288" t="s">
        <v>33</v>
      </c>
      <c r="M1288">
        <v>20539477600</v>
      </c>
      <c r="N1288" t="s">
        <v>172</v>
      </c>
      <c r="P1288" t="s">
        <v>38</v>
      </c>
      <c r="Q1288" t="s">
        <v>173</v>
      </c>
      <c r="R1288" t="s">
        <v>9387</v>
      </c>
      <c r="S1288">
        <v>213.04</v>
      </c>
      <c r="T1288" t="s">
        <v>40</v>
      </c>
      <c r="U1288">
        <f>+IF(Tabla1[[#This Row],[MONEDA]]="PEN",Tabla1[[#This Row],[MONTO]],Tabla1[[#This Row],[MONTO]]*3.56)</f>
        <v>213.04</v>
      </c>
      <c r="X1288" t="s">
        <v>41</v>
      </c>
      <c r="Y1288" t="s">
        <v>42</v>
      </c>
      <c r="Z1288" t="s">
        <v>82</v>
      </c>
      <c r="AA1288" t="s">
        <v>9388</v>
      </c>
      <c r="AB1288" t="s">
        <v>9389</v>
      </c>
      <c r="AC1288" t="s">
        <v>9390</v>
      </c>
      <c r="AD1288" t="s">
        <v>9391</v>
      </c>
      <c r="AE1288">
        <v>213.04</v>
      </c>
      <c r="AF1288" t="s">
        <v>87</v>
      </c>
      <c r="AG1288" t="s">
        <v>169</v>
      </c>
    </row>
    <row r="1289" spans="1:33" x14ac:dyDescent="0.25">
      <c r="A1289">
        <v>25262</v>
      </c>
      <c r="B1289" t="s">
        <v>32</v>
      </c>
      <c r="C1289">
        <v>1</v>
      </c>
      <c r="D1289" t="s">
        <v>10059</v>
      </c>
      <c r="E1289" t="s">
        <v>70</v>
      </c>
      <c r="F1289" t="s">
        <v>3256</v>
      </c>
      <c r="G1289" t="s">
        <v>3257</v>
      </c>
      <c r="H1289" t="s">
        <v>8233</v>
      </c>
      <c r="I1289" t="s">
        <v>10060</v>
      </c>
      <c r="J1289" t="s">
        <v>10061</v>
      </c>
      <c r="K1289" t="s">
        <v>36</v>
      </c>
      <c r="L1289" t="s">
        <v>33</v>
      </c>
      <c r="M1289">
        <v>20539477600</v>
      </c>
      <c r="N1289" t="s">
        <v>172</v>
      </c>
      <c r="P1289" t="s">
        <v>38</v>
      </c>
      <c r="Q1289" t="s">
        <v>173</v>
      </c>
      <c r="R1289" t="s">
        <v>10062</v>
      </c>
      <c r="S1289">
        <v>213.04</v>
      </c>
      <c r="T1289" t="s">
        <v>40</v>
      </c>
      <c r="U1289">
        <f>+IF(Tabla1[[#This Row],[MONEDA]]="PEN",Tabla1[[#This Row],[MONTO]],Tabla1[[#This Row],[MONTO]]*3.56)</f>
        <v>213.04</v>
      </c>
      <c r="X1289" t="s">
        <v>41</v>
      </c>
      <c r="Y1289" t="s">
        <v>42</v>
      </c>
      <c r="Z1289" t="s">
        <v>82</v>
      </c>
      <c r="AA1289" t="s">
        <v>10063</v>
      </c>
      <c r="AB1289" t="s">
        <v>10064</v>
      </c>
      <c r="AC1289" t="s">
        <v>10065</v>
      </c>
      <c r="AD1289" t="s">
        <v>10066</v>
      </c>
      <c r="AE1289">
        <v>213.04</v>
      </c>
      <c r="AF1289" t="s">
        <v>87</v>
      </c>
      <c r="AG1289" t="s">
        <v>169</v>
      </c>
    </row>
    <row r="1290" spans="1:33" x14ac:dyDescent="0.25">
      <c r="A1290">
        <v>24261</v>
      </c>
      <c r="B1290" t="s">
        <v>32</v>
      </c>
      <c r="C1290">
        <v>1</v>
      </c>
      <c r="D1290" t="s">
        <v>10552</v>
      </c>
      <c r="E1290" t="s">
        <v>70</v>
      </c>
      <c r="F1290" t="s">
        <v>3256</v>
      </c>
      <c r="G1290" t="s">
        <v>3257</v>
      </c>
      <c r="H1290" t="s">
        <v>8233</v>
      </c>
      <c r="I1290" t="s">
        <v>10553</v>
      </c>
      <c r="J1290" t="s">
        <v>10554</v>
      </c>
      <c r="K1290" t="s">
        <v>36</v>
      </c>
      <c r="L1290" t="s">
        <v>33</v>
      </c>
      <c r="M1290">
        <v>20539477600</v>
      </c>
      <c r="N1290" t="s">
        <v>172</v>
      </c>
      <c r="P1290" t="s">
        <v>38</v>
      </c>
      <c r="Q1290" t="s">
        <v>173</v>
      </c>
      <c r="R1290" t="s">
        <v>10555</v>
      </c>
      <c r="S1290">
        <v>193.04</v>
      </c>
      <c r="T1290" t="s">
        <v>40</v>
      </c>
      <c r="U1290">
        <f>+IF(Tabla1[[#This Row],[MONEDA]]="PEN",Tabla1[[#This Row],[MONTO]],Tabla1[[#This Row],[MONTO]]*3.56)</f>
        <v>193.04</v>
      </c>
      <c r="X1290" t="s">
        <v>41</v>
      </c>
      <c r="Y1290" t="s">
        <v>42</v>
      </c>
      <c r="Z1290" t="s">
        <v>82</v>
      </c>
      <c r="AA1290" t="s">
        <v>10556</v>
      </c>
      <c r="AB1290" t="s">
        <v>10557</v>
      </c>
      <c r="AC1290" t="s">
        <v>10558</v>
      </c>
      <c r="AD1290" t="s">
        <v>10559</v>
      </c>
      <c r="AE1290">
        <v>193.04</v>
      </c>
      <c r="AF1290" t="s">
        <v>87</v>
      </c>
      <c r="AG1290" t="s">
        <v>169</v>
      </c>
    </row>
    <row r="1291" spans="1:33" x14ac:dyDescent="0.25">
      <c r="A1291">
        <v>24104</v>
      </c>
      <c r="B1291" t="s">
        <v>32</v>
      </c>
      <c r="C1291">
        <v>1</v>
      </c>
      <c r="D1291" t="s">
        <v>10766</v>
      </c>
      <c r="E1291" t="s">
        <v>70</v>
      </c>
      <c r="F1291" t="s">
        <v>3256</v>
      </c>
      <c r="G1291" t="s">
        <v>3257</v>
      </c>
      <c r="H1291" t="s">
        <v>8233</v>
      </c>
      <c r="I1291" t="s">
        <v>10767</v>
      </c>
      <c r="J1291" t="s">
        <v>10768</v>
      </c>
      <c r="K1291" t="s">
        <v>36</v>
      </c>
      <c r="L1291" t="s">
        <v>33</v>
      </c>
      <c r="M1291">
        <v>20539477600</v>
      </c>
      <c r="N1291" t="s">
        <v>172</v>
      </c>
      <c r="P1291" t="s">
        <v>38</v>
      </c>
      <c r="Q1291" t="s">
        <v>173</v>
      </c>
      <c r="R1291" t="s">
        <v>10769</v>
      </c>
      <c r="S1291">
        <v>213.04</v>
      </c>
      <c r="T1291" t="s">
        <v>40</v>
      </c>
      <c r="U1291">
        <f>+IF(Tabla1[[#This Row],[MONEDA]]="PEN",Tabla1[[#This Row],[MONTO]],Tabla1[[#This Row],[MONTO]]*3.56)</f>
        <v>213.04</v>
      </c>
      <c r="X1291" t="s">
        <v>41</v>
      </c>
      <c r="Y1291" t="s">
        <v>42</v>
      </c>
      <c r="Z1291" t="s">
        <v>82</v>
      </c>
      <c r="AA1291" t="s">
        <v>10770</v>
      </c>
      <c r="AB1291" t="s">
        <v>10771</v>
      </c>
      <c r="AC1291" t="s">
        <v>10772</v>
      </c>
      <c r="AD1291" t="s">
        <v>10773</v>
      </c>
      <c r="AE1291">
        <v>213.04</v>
      </c>
      <c r="AF1291" t="s">
        <v>87</v>
      </c>
      <c r="AG1291" t="s">
        <v>169</v>
      </c>
    </row>
    <row r="1292" spans="1:33" x14ac:dyDescent="0.25">
      <c r="A1292">
        <v>22606</v>
      </c>
      <c r="B1292" t="s">
        <v>32</v>
      </c>
      <c r="C1292">
        <v>1</v>
      </c>
      <c r="D1292" t="s">
        <v>11829</v>
      </c>
      <c r="E1292" t="s">
        <v>70</v>
      </c>
      <c r="F1292" t="s">
        <v>3256</v>
      </c>
      <c r="G1292" t="s">
        <v>3257</v>
      </c>
      <c r="H1292" t="s">
        <v>8233</v>
      </c>
      <c r="I1292" t="s">
        <v>11830</v>
      </c>
      <c r="J1292" t="s">
        <v>11831</v>
      </c>
      <c r="K1292" t="s">
        <v>36</v>
      </c>
      <c r="L1292" t="s">
        <v>33</v>
      </c>
      <c r="M1292">
        <v>20539477600</v>
      </c>
      <c r="N1292" t="s">
        <v>172</v>
      </c>
      <c r="P1292" t="s">
        <v>38</v>
      </c>
      <c r="Q1292" t="s">
        <v>173</v>
      </c>
      <c r="R1292" t="s">
        <v>11832</v>
      </c>
      <c r="S1292">
        <v>193.04</v>
      </c>
      <c r="T1292" t="s">
        <v>40</v>
      </c>
      <c r="U1292">
        <f>+IF(Tabla1[[#This Row],[MONEDA]]="PEN",Tabla1[[#This Row],[MONTO]],Tabla1[[#This Row],[MONTO]]*3.56)</f>
        <v>193.04</v>
      </c>
      <c r="X1292" t="s">
        <v>41</v>
      </c>
      <c r="Y1292" t="s">
        <v>42</v>
      </c>
      <c r="Z1292" t="s">
        <v>82</v>
      </c>
      <c r="AA1292" t="s">
        <v>11833</v>
      </c>
      <c r="AB1292" t="s">
        <v>11834</v>
      </c>
      <c r="AC1292" t="s">
        <v>11835</v>
      </c>
      <c r="AD1292" t="s">
        <v>11836</v>
      </c>
      <c r="AE1292">
        <v>193.04</v>
      </c>
      <c r="AF1292" t="s">
        <v>87</v>
      </c>
      <c r="AG1292" t="s">
        <v>169</v>
      </c>
    </row>
    <row r="1293" spans="1:33" x14ac:dyDescent="0.25">
      <c r="A1293">
        <v>22298</v>
      </c>
      <c r="B1293" t="s">
        <v>32</v>
      </c>
      <c r="C1293">
        <v>1</v>
      </c>
      <c r="D1293" t="s">
        <v>11957</v>
      </c>
      <c r="E1293" t="s">
        <v>70</v>
      </c>
      <c r="F1293" t="s">
        <v>3256</v>
      </c>
      <c r="G1293" t="s">
        <v>3257</v>
      </c>
      <c r="H1293" t="s">
        <v>8233</v>
      </c>
      <c r="I1293" t="s">
        <v>11958</v>
      </c>
      <c r="J1293" t="s">
        <v>11959</v>
      </c>
      <c r="K1293" t="s">
        <v>36</v>
      </c>
      <c r="L1293" t="s">
        <v>33</v>
      </c>
      <c r="M1293">
        <v>20539477600</v>
      </c>
      <c r="N1293" t="s">
        <v>172</v>
      </c>
      <c r="P1293" t="s">
        <v>38</v>
      </c>
      <c r="Q1293" t="s">
        <v>173</v>
      </c>
      <c r="R1293" t="s">
        <v>11960</v>
      </c>
      <c r="S1293">
        <v>213.04</v>
      </c>
      <c r="T1293" t="s">
        <v>40</v>
      </c>
      <c r="U1293">
        <f>+IF(Tabla1[[#This Row],[MONEDA]]="PEN",Tabla1[[#This Row],[MONTO]],Tabla1[[#This Row],[MONTO]]*3.56)</f>
        <v>213.04</v>
      </c>
      <c r="X1293" t="s">
        <v>41</v>
      </c>
      <c r="Y1293" t="s">
        <v>42</v>
      </c>
      <c r="Z1293" t="s">
        <v>82</v>
      </c>
      <c r="AA1293" t="s">
        <v>11961</v>
      </c>
      <c r="AB1293" t="s">
        <v>11962</v>
      </c>
      <c r="AC1293" t="s">
        <v>11963</v>
      </c>
      <c r="AD1293" t="s">
        <v>11964</v>
      </c>
      <c r="AE1293">
        <v>213.04</v>
      </c>
      <c r="AF1293" t="s">
        <v>87</v>
      </c>
      <c r="AG1293" t="s">
        <v>169</v>
      </c>
    </row>
    <row r="1294" spans="1:33" x14ac:dyDescent="0.25">
      <c r="A1294">
        <v>22060</v>
      </c>
      <c r="B1294" t="s">
        <v>32</v>
      </c>
      <c r="C1294">
        <v>1</v>
      </c>
      <c r="D1294" t="s">
        <v>12009</v>
      </c>
      <c r="E1294" t="s">
        <v>70</v>
      </c>
      <c r="F1294" t="s">
        <v>3256</v>
      </c>
      <c r="G1294" t="s">
        <v>3257</v>
      </c>
      <c r="H1294" t="s">
        <v>8233</v>
      </c>
      <c r="I1294" t="s">
        <v>12010</v>
      </c>
      <c r="J1294" t="s">
        <v>12011</v>
      </c>
      <c r="K1294" t="s">
        <v>36</v>
      </c>
      <c r="L1294" t="s">
        <v>33</v>
      </c>
      <c r="M1294">
        <v>20539477600</v>
      </c>
      <c r="N1294" t="s">
        <v>172</v>
      </c>
      <c r="P1294" t="s">
        <v>38</v>
      </c>
      <c r="Q1294" t="s">
        <v>173</v>
      </c>
      <c r="R1294" t="s">
        <v>12012</v>
      </c>
      <c r="S1294">
        <v>213.04</v>
      </c>
      <c r="T1294" t="s">
        <v>40</v>
      </c>
      <c r="U1294">
        <f>+IF(Tabla1[[#This Row],[MONEDA]]="PEN",Tabla1[[#This Row],[MONTO]],Tabla1[[#This Row],[MONTO]]*3.56)</f>
        <v>213.04</v>
      </c>
      <c r="X1294" t="s">
        <v>41</v>
      </c>
      <c r="Y1294" t="s">
        <v>42</v>
      </c>
      <c r="Z1294" t="s">
        <v>82</v>
      </c>
      <c r="AA1294" t="s">
        <v>12013</v>
      </c>
      <c r="AB1294" t="s">
        <v>12014</v>
      </c>
      <c r="AC1294" t="s">
        <v>12015</v>
      </c>
      <c r="AD1294" t="s">
        <v>12016</v>
      </c>
      <c r="AE1294">
        <v>213.04</v>
      </c>
      <c r="AF1294" t="s">
        <v>87</v>
      </c>
      <c r="AG1294" t="s">
        <v>169</v>
      </c>
    </row>
    <row r="1295" spans="1:33" x14ac:dyDescent="0.25">
      <c r="A1295">
        <v>21600</v>
      </c>
      <c r="B1295" t="s">
        <v>32</v>
      </c>
      <c r="C1295">
        <v>1</v>
      </c>
      <c r="D1295" t="s">
        <v>12312</v>
      </c>
      <c r="E1295" t="s">
        <v>70</v>
      </c>
      <c r="F1295" t="s">
        <v>3256</v>
      </c>
      <c r="G1295" t="s">
        <v>3257</v>
      </c>
      <c r="H1295" t="s">
        <v>8233</v>
      </c>
      <c r="I1295" t="s">
        <v>12298</v>
      </c>
      <c r="J1295" t="s">
        <v>12313</v>
      </c>
      <c r="K1295" t="s">
        <v>36</v>
      </c>
      <c r="L1295" t="s">
        <v>33</v>
      </c>
      <c r="M1295">
        <v>20539477600</v>
      </c>
      <c r="N1295" t="s">
        <v>172</v>
      </c>
      <c r="P1295" t="s">
        <v>38</v>
      </c>
      <c r="Q1295" t="s">
        <v>173</v>
      </c>
      <c r="R1295" t="s">
        <v>12314</v>
      </c>
      <c r="S1295">
        <v>406.08</v>
      </c>
      <c r="T1295" t="s">
        <v>40</v>
      </c>
      <c r="U1295">
        <f>+IF(Tabla1[[#This Row],[MONEDA]]="PEN",Tabla1[[#This Row],[MONTO]],Tabla1[[#This Row],[MONTO]]*3.56)</f>
        <v>406.08</v>
      </c>
      <c r="X1295" t="s">
        <v>41</v>
      </c>
      <c r="Y1295" t="s">
        <v>42</v>
      </c>
      <c r="Z1295" t="s">
        <v>82</v>
      </c>
      <c r="AA1295" t="s">
        <v>12315</v>
      </c>
      <c r="AB1295" t="s">
        <v>12316</v>
      </c>
      <c r="AC1295" t="s">
        <v>12317</v>
      </c>
      <c r="AD1295" t="s">
        <v>12318</v>
      </c>
      <c r="AE1295">
        <v>406.08</v>
      </c>
      <c r="AF1295" t="s">
        <v>87</v>
      </c>
      <c r="AG1295" t="s">
        <v>169</v>
      </c>
    </row>
    <row r="1296" spans="1:33" x14ac:dyDescent="0.25">
      <c r="A1296">
        <v>21472</v>
      </c>
      <c r="B1296" t="s">
        <v>32</v>
      </c>
      <c r="C1296">
        <v>1</v>
      </c>
      <c r="D1296" t="s">
        <v>12376</v>
      </c>
      <c r="E1296" t="s">
        <v>70</v>
      </c>
      <c r="F1296" t="s">
        <v>157</v>
      </c>
      <c r="G1296" t="s">
        <v>12377</v>
      </c>
      <c r="H1296" t="s">
        <v>8233</v>
      </c>
      <c r="I1296" t="s">
        <v>12375</v>
      </c>
      <c r="J1296" t="s">
        <v>12378</v>
      </c>
      <c r="K1296" t="s">
        <v>36</v>
      </c>
      <c r="L1296" t="s">
        <v>33</v>
      </c>
      <c r="M1296">
        <v>20539477600</v>
      </c>
      <c r="N1296" t="s">
        <v>172</v>
      </c>
      <c r="P1296" t="s">
        <v>38</v>
      </c>
      <c r="Q1296" t="s">
        <v>173</v>
      </c>
      <c r="R1296" t="s">
        <v>12379</v>
      </c>
      <c r="S1296">
        <v>193</v>
      </c>
      <c r="T1296" t="s">
        <v>40</v>
      </c>
      <c r="U1296">
        <f>+IF(Tabla1[[#This Row],[MONEDA]]="PEN",Tabla1[[#This Row],[MONTO]],Tabla1[[#This Row],[MONTO]]*3.56)</f>
        <v>193</v>
      </c>
      <c r="X1296" t="s">
        <v>41</v>
      </c>
      <c r="Y1296" t="s">
        <v>42</v>
      </c>
      <c r="Z1296" t="s">
        <v>82</v>
      </c>
      <c r="AA1296" t="s">
        <v>12380</v>
      </c>
      <c r="AB1296" t="s">
        <v>12381</v>
      </c>
      <c r="AC1296" t="s">
        <v>12382</v>
      </c>
      <c r="AD1296" t="s">
        <v>12383</v>
      </c>
      <c r="AE1296">
        <v>193</v>
      </c>
      <c r="AF1296" t="s">
        <v>87</v>
      </c>
      <c r="AG1296" t="s">
        <v>169</v>
      </c>
    </row>
    <row r="1297" spans="1:33" x14ac:dyDescent="0.25">
      <c r="A1297">
        <v>21293</v>
      </c>
      <c r="B1297" t="s">
        <v>32</v>
      </c>
      <c r="C1297">
        <v>1</v>
      </c>
      <c r="D1297" t="s">
        <v>12553</v>
      </c>
      <c r="E1297" t="s">
        <v>70</v>
      </c>
      <c r="F1297" t="s">
        <v>3256</v>
      </c>
      <c r="G1297" t="s">
        <v>3257</v>
      </c>
      <c r="H1297" t="s">
        <v>8233</v>
      </c>
      <c r="I1297" t="s">
        <v>12546</v>
      </c>
      <c r="J1297" t="s">
        <v>12554</v>
      </c>
      <c r="K1297" t="s">
        <v>36</v>
      </c>
      <c r="L1297" t="s">
        <v>33</v>
      </c>
      <c r="M1297">
        <v>20539477600</v>
      </c>
      <c r="N1297" t="s">
        <v>172</v>
      </c>
      <c r="P1297" t="s">
        <v>38</v>
      </c>
      <c r="Q1297" t="s">
        <v>173</v>
      </c>
      <c r="R1297" t="s">
        <v>12555</v>
      </c>
      <c r="S1297">
        <v>193</v>
      </c>
      <c r="T1297" t="s">
        <v>40</v>
      </c>
      <c r="U1297">
        <f>+IF(Tabla1[[#This Row],[MONEDA]]="PEN",Tabla1[[#This Row],[MONTO]],Tabla1[[#This Row],[MONTO]]*3.56)</f>
        <v>193</v>
      </c>
      <c r="X1297" t="s">
        <v>41</v>
      </c>
      <c r="Y1297" t="s">
        <v>42</v>
      </c>
      <c r="Z1297" t="s">
        <v>82</v>
      </c>
      <c r="AA1297" t="s">
        <v>12556</v>
      </c>
      <c r="AB1297" t="s">
        <v>12557</v>
      </c>
      <c r="AC1297" t="s">
        <v>12558</v>
      </c>
      <c r="AD1297" t="s">
        <v>12559</v>
      </c>
      <c r="AE1297">
        <v>193</v>
      </c>
      <c r="AF1297" t="s">
        <v>87</v>
      </c>
      <c r="AG1297" t="s">
        <v>169</v>
      </c>
    </row>
    <row r="1298" spans="1:33" x14ac:dyDescent="0.25">
      <c r="A1298">
        <v>21298</v>
      </c>
      <c r="B1298" t="s">
        <v>32</v>
      </c>
      <c r="C1298">
        <v>1</v>
      </c>
      <c r="D1298" t="s">
        <v>12569</v>
      </c>
      <c r="E1298" t="s">
        <v>70</v>
      </c>
      <c r="F1298" t="s">
        <v>157</v>
      </c>
      <c r="G1298" t="s">
        <v>12377</v>
      </c>
      <c r="H1298" t="s">
        <v>8233</v>
      </c>
      <c r="I1298" t="s">
        <v>12546</v>
      </c>
      <c r="J1298" t="s">
        <v>12570</v>
      </c>
      <c r="K1298" t="s">
        <v>36</v>
      </c>
      <c r="L1298" t="s">
        <v>33</v>
      </c>
      <c r="M1298">
        <v>20539477600</v>
      </c>
      <c r="N1298" t="s">
        <v>172</v>
      </c>
      <c r="P1298" t="s">
        <v>38</v>
      </c>
      <c r="Q1298" t="s">
        <v>173</v>
      </c>
      <c r="R1298" t="s">
        <v>12571</v>
      </c>
      <c r="S1298">
        <v>213</v>
      </c>
      <c r="T1298" t="s">
        <v>40</v>
      </c>
      <c r="U1298">
        <f>+IF(Tabla1[[#This Row],[MONEDA]]="PEN",Tabla1[[#This Row],[MONTO]],Tabla1[[#This Row],[MONTO]]*3.56)</f>
        <v>213</v>
      </c>
      <c r="X1298" t="s">
        <v>41</v>
      </c>
      <c r="Y1298" t="s">
        <v>42</v>
      </c>
      <c r="Z1298" t="s">
        <v>82</v>
      </c>
      <c r="AA1298" t="s">
        <v>12572</v>
      </c>
      <c r="AB1298" t="s">
        <v>12573</v>
      </c>
      <c r="AC1298" t="s">
        <v>12574</v>
      </c>
      <c r="AD1298" t="s">
        <v>12575</v>
      </c>
      <c r="AE1298">
        <v>213</v>
      </c>
      <c r="AF1298" t="s">
        <v>87</v>
      </c>
      <c r="AG1298" t="s">
        <v>169</v>
      </c>
    </row>
    <row r="1299" spans="1:33" x14ac:dyDescent="0.25">
      <c r="A1299">
        <v>21299</v>
      </c>
      <c r="B1299" t="s">
        <v>32</v>
      </c>
      <c r="C1299">
        <v>1</v>
      </c>
      <c r="D1299" t="s">
        <v>12576</v>
      </c>
      <c r="E1299" t="s">
        <v>70</v>
      </c>
      <c r="F1299" t="s">
        <v>157</v>
      </c>
      <c r="G1299" t="s">
        <v>12377</v>
      </c>
      <c r="H1299" t="s">
        <v>8233</v>
      </c>
      <c r="I1299" t="s">
        <v>12546</v>
      </c>
      <c r="J1299" t="s">
        <v>12577</v>
      </c>
      <c r="K1299" t="s">
        <v>36</v>
      </c>
      <c r="L1299" t="s">
        <v>33</v>
      </c>
      <c r="M1299">
        <v>20539477600</v>
      </c>
      <c r="N1299" t="s">
        <v>172</v>
      </c>
      <c r="P1299" t="s">
        <v>38</v>
      </c>
      <c r="Q1299" t="s">
        <v>173</v>
      </c>
      <c r="R1299" t="s">
        <v>12578</v>
      </c>
      <c r="S1299">
        <v>193</v>
      </c>
      <c r="T1299" t="s">
        <v>40</v>
      </c>
      <c r="U1299">
        <f>+IF(Tabla1[[#This Row],[MONEDA]]="PEN",Tabla1[[#This Row],[MONTO]],Tabla1[[#This Row],[MONTO]]*3.56)</f>
        <v>193</v>
      </c>
      <c r="X1299" t="s">
        <v>41</v>
      </c>
      <c r="Y1299" t="s">
        <v>42</v>
      </c>
      <c r="Z1299" t="s">
        <v>82</v>
      </c>
      <c r="AA1299" t="s">
        <v>12579</v>
      </c>
      <c r="AB1299" t="s">
        <v>12580</v>
      </c>
      <c r="AC1299" t="s">
        <v>12581</v>
      </c>
      <c r="AD1299" t="s">
        <v>12582</v>
      </c>
      <c r="AE1299">
        <v>193</v>
      </c>
      <c r="AF1299" t="s">
        <v>87</v>
      </c>
      <c r="AG1299" t="s">
        <v>169</v>
      </c>
    </row>
    <row r="1300" spans="1:33" x14ac:dyDescent="0.25">
      <c r="A1300">
        <v>20882</v>
      </c>
      <c r="B1300" t="s">
        <v>32</v>
      </c>
      <c r="C1300">
        <v>1</v>
      </c>
      <c r="D1300" t="s">
        <v>12813</v>
      </c>
      <c r="E1300" t="s">
        <v>70</v>
      </c>
      <c r="F1300" t="s">
        <v>157</v>
      </c>
      <c r="G1300" t="s">
        <v>12377</v>
      </c>
      <c r="H1300" t="s">
        <v>8233</v>
      </c>
      <c r="I1300" t="s">
        <v>12799</v>
      </c>
      <c r="J1300" t="s">
        <v>12814</v>
      </c>
      <c r="K1300" t="s">
        <v>36</v>
      </c>
      <c r="L1300" t="s">
        <v>33</v>
      </c>
      <c r="M1300">
        <v>20539477600</v>
      </c>
      <c r="N1300" t="s">
        <v>172</v>
      </c>
      <c r="P1300" t="s">
        <v>38</v>
      </c>
      <c r="Q1300" t="s">
        <v>173</v>
      </c>
      <c r="R1300" t="s">
        <v>12815</v>
      </c>
      <c r="S1300">
        <v>386.08</v>
      </c>
      <c r="T1300" t="s">
        <v>40</v>
      </c>
      <c r="U1300">
        <f>+IF(Tabla1[[#This Row],[MONEDA]]="PEN",Tabla1[[#This Row],[MONTO]],Tabla1[[#This Row],[MONTO]]*3.56)</f>
        <v>386.08</v>
      </c>
      <c r="X1300" t="s">
        <v>41</v>
      </c>
      <c r="Y1300" t="s">
        <v>42</v>
      </c>
      <c r="Z1300" t="s">
        <v>82</v>
      </c>
      <c r="AA1300" t="s">
        <v>12816</v>
      </c>
      <c r="AB1300" t="s">
        <v>12817</v>
      </c>
      <c r="AC1300" t="s">
        <v>12818</v>
      </c>
      <c r="AD1300" t="s">
        <v>12819</v>
      </c>
      <c r="AE1300">
        <v>386.08</v>
      </c>
      <c r="AF1300" t="s">
        <v>87</v>
      </c>
      <c r="AG1300" t="s">
        <v>169</v>
      </c>
    </row>
    <row r="1301" spans="1:33" x14ac:dyDescent="0.25">
      <c r="A1301">
        <v>20589</v>
      </c>
      <c r="B1301" t="s">
        <v>32</v>
      </c>
      <c r="C1301">
        <v>1</v>
      </c>
      <c r="D1301" t="s">
        <v>12828</v>
      </c>
      <c r="E1301" t="s">
        <v>70</v>
      </c>
      <c r="F1301" t="s">
        <v>157</v>
      </c>
      <c r="G1301" t="s">
        <v>12377</v>
      </c>
      <c r="H1301" t="s">
        <v>8233</v>
      </c>
      <c r="I1301" t="s">
        <v>12829</v>
      </c>
      <c r="J1301" t="s">
        <v>12830</v>
      </c>
      <c r="K1301" t="s">
        <v>36</v>
      </c>
      <c r="L1301" t="s">
        <v>33</v>
      </c>
      <c r="M1301">
        <v>20539477600</v>
      </c>
      <c r="N1301" t="s">
        <v>172</v>
      </c>
      <c r="O1301" t="s">
        <v>10150</v>
      </c>
      <c r="P1301" t="s">
        <v>38</v>
      </c>
      <c r="Q1301" t="s">
        <v>173</v>
      </c>
      <c r="R1301" t="s">
        <v>12831</v>
      </c>
      <c r="S1301">
        <v>193</v>
      </c>
      <c r="T1301" t="s">
        <v>40</v>
      </c>
      <c r="U1301">
        <f>+IF(Tabla1[[#This Row],[MONEDA]]="PEN",Tabla1[[#This Row],[MONTO]],Tabla1[[#This Row],[MONTO]]*3.56)</f>
        <v>193</v>
      </c>
      <c r="X1301" t="s">
        <v>41</v>
      </c>
      <c r="Y1301" t="s">
        <v>42</v>
      </c>
      <c r="Z1301" t="s">
        <v>82</v>
      </c>
      <c r="AA1301" t="s">
        <v>12832</v>
      </c>
      <c r="AB1301" t="s">
        <v>12833</v>
      </c>
      <c r="AC1301" t="s">
        <v>12834</v>
      </c>
      <c r="AD1301" t="s">
        <v>12835</v>
      </c>
      <c r="AE1301">
        <v>193</v>
      </c>
      <c r="AF1301" t="s">
        <v>87</v>
      </c>
      <c r="AG1301" t="s">
        <v>169</v>
      </c>
    </row>
    <row r="1302" spans="1:33" x14ac:dyDescent="0.25">
      <c r="A1302">
        <v>34964</v>
      </c>
      <c r="B1302" t="s">
        <v>32</v>
      </c>
      <c r="C1302">
        <v>1</v>
      </c>
      <c r="D1302" t="s">
        <v>4485</v>
      </c>
      <c r="E1302" t="s">
        <v>70</v>
      </c>
      <c r="F1302" t="s">
        <v>3256</v>
      </c>
      <c r="G1302" t="s">
        <v>3257</v>
      </c>
      <c r="H1302" t="s">
        <v>159</v>
      </c>
      <c r="I1302" t="s">
        <v>4486</v>
      </c>
      <c r="J1302" t="s">
        <v>4487</v>
      </c>
      <c r="K1302" t="s">
        <v>36</v>
      </c>
      <c r="L1302" t="s">
        <v>33</v>
      </c>
      <c r="M1302">
        <v>20512609458</v>
      </c>
      <c r="N1302" t="s">
        <v>4488</v>
      </c>
      <c r="P1302" t="s">
        <v>38</v>
      </c>
      <c r="Q1302" t="s">
        <v>4489</v>
      </c>
      <c r="R1302" t="s">
        <v>4490</v>
      </c>
      <c r="S1302">
        <v>382.32</v>
      </c>
      <c r="T1302" t="s">
        <v>40</v>
      </c>
      <c r="U1302">
        <f>+IF(Tabla1[[#This Row],[MONEDA]]="PEN",Tabla1[[#This Row],[MONTO]],Tabla1[[#This Row],[MONTO]]*3.56)</f>
        <v>382.32</v>
      </c>
      <c r="X1302" t="s">
        <v>41</v>
      </c>
      <c r="Y1302" t="s">
        <v>42</v>
      </c>
      <c r="Z1302" t="s">
        <v>82</v>
      </c>
      <c r="AA1302" t="s">
        <v>4491</v>
      </c>
      <c r="AB1302" t="s">
        <v>4492</v>
      </c>
      <c r="AC1302" t="s">
        <v>4493</v>
      </c>
      <c r="AD1302" t="s">
        <v>4494</v>
      </c>
      <c r="AE1302">
        <v>382.32</v>
      </c>
      <c r="AG1302" t="s">
        <v>169</v>
      </c>
    </row>
    <row r="1303" spans="1:33" hidden="1" x14ac:dyDescent="0.25">
      <c r="A1303">
        <v>31702</v>
      </c>
      <c r="B1303" t="s">
        <v>32</v>
      </c>
      <c r="C1303">
        <v>1</v>
      </c>
      <c r="D1303" t="s">
        <v>5737</v>
      </c>
      <c r="E1303" t="s">
        <v>70</v>
      </c>
      <c r="F1303" t="s">
        <v>33</v>
      </c>
      <c r="G1303" t="s">
        <v>71</v>
      </c>
      <c r="H1303" t="s">
        <v>72</v>
      </c>
      <c r="I1303" t="s">
        <v>5709</v>
      </c>
      <c r="J1303" t="s">
        <v>5738</v>
      </c>
      <c r="K1303" t="s">
        <v>36</v>
      </c>
      <c r="L1303" t="s">
        <v>33</v>
      </c>
      <c r="M1303">
        <v>20602718973</v>
      </c>
      <c r="N1303" t="s">
        <v>5739</v>
      </c>
      <c r="O1303" t="s">
        <v>76</v>
      </c>
      <c r="P1303" t="s">
        <v>38</v>
      </c>
      <c r="Q1303">
        <v>1912566981099</v>
      </c>
      <c r="R1303" t="s">
        <v>5740</v>
      </c>
      <c r="S1303">
        <v>4704.67</v>
      </c>
      <c r="T1303" t="s">
        <v>40</v>
      </c>
      <c r="U1303">
        <f>+IF(Tabla1[[#This Row],[MONEDA]]="PEN",Tabla1[[#This Row],[MONTO]],Tabla1[[#This Row],[MONTO]]*3.56)</f>
        <v>4704.67</v>
      </c>
      <c r="X1303" t="s">
        <v>81</v>
      </c>
      <c r="Y1303" t="s">
        <v>42</v>
      </c>
      <c r="Z1303" t="s">
        <v>43</v>
      </c>
      <c r="AA1303" t="s">
        <v>5741</v>
      </c>
      <c r="AB1303" t="s">
        <v>5742</v>
      </c>
      <c r="AC1303" t="s">
        <v>5743</v>
      </c>
      <c r="AD1303" t="s">
        <v>5744</v>
      </c>
      <c r="AE1303">
        <v>4563.53</v>
      </c>
      <c r="AF1303" t="s">
        <v>87</v>
      </c>
      <c r="AG1303" t="s">
        <v>169</v>
      </c>
    </row>
    <row r="1304" spans="1:33" hidden="1" x14ac:dyDescent="0.25">
      <c r="A1304">
        <v>27191</v>
      </c>
      <c r="B1304" t="s">
        <v>32</v>
      </c>
      <c r="C1304">
        <v>3</v>
      </c>
      <c r="D1304" t="s">
        <v>8369</v>
      </c>
      <c r="E1304" t="s">
        <v>70</v>
      </c>
      <c r="F1304" t="s">
        <v>33</v>
      </c>
      <c r="G1304" t="s">
        <v>71</v>
      </c>
      <c r="H1304" t="s">
        <v>72</v>
      </c>
      <c r="I1304" t="s">
        <v>8362</v>
      </c>
      <c r="J1304" t="s">
        <v>8370</v>
      </c>
      <c r="K1304" t="s">
        <v>36</v>
      </c>
      <c r="L1304" t="s">
        <v>33</v>
      </c>
      <c r="M1304">
        <v>20613784307</v>
      </c>
      <c r="N1304" t="s">
        <v>8371</v>
      </c>
      <c r="O1304" t="s">
        <v>76</v>
      </c>
      <c r="P1304" t="s">
        <v>101</v>
      </c>
      <c r="Q1304" t="s">
        <v>8372</v>
      </c>
      <c r="R1304" t="s">
        <v>8373</v>
      </c>
      <c r="S1304">
        <v>3451.5</v>
      </c>
      <c r="T1304" t="s">
        <v>40</v>
      </c>
      <c r="U1304">
        <f>+IF(Tabla1[[#This Row],[MONEDA]]="PEN",Tabla1[[#This Row],[MONTO]],Tabla1[[#This Row],[MONTO]]*3.56)</f>
        <v>3451.5</v>
      </c>
      <c r="X1304" t="s">
        <v>41</v>
      </c>
      <c r="Y1304" t="s">
        <v>42</v>
      </c>
      <c r="Z1304" t="s">
        <v>43</v>
      </c>
      <c r="AA1304" t="s">
        <v>8024</v>
      </c>
      <c r="AB1304" t="s">
        <v>8374</v>
      </c>
      <c r="AC1304" t="s">
        <v>8375</v>
      </c>
      <c r="AD1304" t="s">
        <v>8376</v>
      </c>
      <c r="AE1304">
        <v>3106.35</v>
      </c>
      <c r="AF1304" t="s">
        <v>87</v>
      </c>
      <c r="AG1304" t="s">
        <v>666</v>
      </c>
    </row>
    <row r="1305" spans="1:33" hidden="1" x14ac:dyDescent="0.25">
      <c r="A1305">
        <v>27190</v>
      </c>
      <c r="B1305" t="s">
        <v>32</v>
      </c>
      <c r="C1305">
        <v>1</v>
      </c>
      <c r="D1305" t="s">
        <v>8369</v>
      </c>
      <c r="E1305" t="s">
        <v>70</v>
      </c>
      <c r="F1305" t="s">
        <v>33</v>
      </c>
      <c r="G1305" t="s">
        <v>71</v>
      </c>
      <c r="H1305" t="s">
        <v>72</v>
      </c>
      <c r="I1305" t="s">
        <v>8664</v>
      </c>
      <c r="J1305" t="s">
        <v>8690</v>
      </c>
      <c r="K1305" t="s">
        <v>36</v>
      </c>
      <c r="L1305" t="s">
        <v>33</v>
      </c>
      <c r="M1305">
        <v>20613784307</v>
      </c>
      <c r="N1305" t="s">
        <v>8371</v>
      </c>
      <c r="O1305" t="s">
        <v>76</v>
      </c>
      <c r="P1305" t="s">
        <v>101</v>
      </c>
      <c r="Q1305" t="s">
        <v>8372</v>
      </c>
      <c r="R1305" t="s">
        <v>8691</v>
      </c>
      <c r="S1305">
        <v>3451.5</v>
      </c>
      <c r="T1305" t="s">
        <v>40</v>
      </c>
      <c r="U1305">
        <f>+IF(Tabla1[[#This Row],[MONEDA]]="PEN",Tabla1[[#This Row],[MONTO]],Tabla1[[#This Row],[MONTO]]*3.56)</f>
        <v>3451.5</v>
      </c>
      <c r="X1305" t="s">
        <v>41</v>
      </c>
      <c r="Y1305" t="s">
        <v>42</v>
      </c>
      <c r="Z1305" t="s">
        <v>43</v>
      </c>
      <c r="AA1305" t="s">
        <v>8692</v>
      </c>
      <c r="AB1305" t="s">
        <v>8374</v>
      </c>
      <c r="AC1305" t="s">
        <v>8693</v>
      </c>
      <c r="AD1305" t="s">
        <v>8694</v>
      </c>
      <c r="AE1305">
        <v>3106.35</v>
      </c>
      <c r="AF1305" t="s">
        <v>87</v>
      </c>
      <c r="AG1305" t="s">
        <v>666</v>
      </c>
    </row>
    <row r="1306" spans="1:33" hidden="1" x14ac:dyDescent="0.25">
      <c r="A1306">
        <v>21889</v>
      </c>
      <c r="B1306" t="s">
        <v>32</v>
      </c>
      <c r="C1306">
        <v>1</v>
      </c>
      <c r="D1306" t="s">
        <v>12136</v>
      </c>
      <c r="E1306" t="s">
        <v>70</v>
      </c>
      <c r="F1306" t="s">
        <v>33</v>
      </c>
      <c r="G1306" t="s">
        <v>71</v>
      </c>
      <c r="H1306" t="s">
        <v>72</v>
      </c>
      <c r="I1306" t="s">
        <v>12122</v>
      </c>
      <c r="J1306" t="s">
        <v>12137</v>
      </c>
      <c r="K1306" t="s">
        <v>36</v>
      </c>
      <c r="L1306" t="s">
        <v>33</v>
      </c>
      <c r="M1306">
        <v>20519878969</v>
      </c>
      <c r="N1306" t="s">
        <v>12138</v>
      </c>
      <c r="O1306" t="s">
        <v>76</v>
      </c>
      <c r="P1306" t="s">
        <v>38</v>
      </c>
      <c r="Q1306" t="s">
        <v>12139</v>
      </c>
      <c r="R1306" t="s">
        <v>12140</v>
      </c>
      <c r="S1306">
        <v>460</v>
      </c>
      <c r="T1306" t="s">
        <v>40</v>
      </c>
      <c r="U1306">
        <f>+IF(Tabla1[[#This Row],[MONEDA]]="PEN",Tabla1[[#This Row],[MONTO]],Tabla1[[#This Row],[MONTO]]*3.56)</f>
        <v>460</v>
      </c>
      <c r="X1306" t="s">
        <v>81</v>
      </c>
      <c r="Y1306" t="s">
        <v>42</v>
      </c>
      <c r="Z1306" t="s">
        <v>43</v>
      </c>
      <c r="AA1306" t="s">
        <v>12141</v>
      </c>
      <c r="AB1306" t="s">
        <v>12142</v>
      </c>
      <c r="AC1306" t="s">
        <v>12143</v>
      </c>
      <c r="AD1306" t="s">
        <v>12144</v>
      </c>
      <c r="AE1306">
        <v>460</v>
      </c>
      <c r="AF1306" t="s">
        <v>87</v>
      </c>
      <c r="AG1306" t="s">
        <v>169</v>
      </c>
    </row>
    <row r="1307" spans="1:33" hidden="1" x14ac:dyDescent="0.25">
      <c r="A1307">
        <v>42783</v>
      </c>
      <c r="B1307" t="s">
        <v>32</v>
      </c>
      <c r="C1307">
        <v>4</v>
      </c>
      <c r="D1307" t="s">
        <v>979</v>
      </c>
      <c r="E1307" t="s">
        <v>70</v>
      </c>
      <c r="F1307" t="s">
        <v>33</v>
      </c>
      <c r="G1307" t="s">
        <v>34</v>
      </c>
      <c r="H1307" t="s">
        <v>35</v>
      </c>
      <c r="I1307" t="s">
        <v>975</v>
      </c>
      <c r="J1307" t="s">
        <v>980</v>
      </c>
      <c r="K1307" t="s">
        <v>36</v>
      </c>
      <c r="L1307" t="s">
        <v>33</v>
      </c>
      <c r="M1307">
        <v>20533202366</v>
      </c>
      <c r="N1307" t="s">
        <v>37</v>
      </c>
      <c r="P1307" t="s">
        <v>38</v>
      </c>
      <c r="Q1307" t="s">
        <v>39</v>
      </c>
      <c r="S1307">
        <v>47679.08</v>
      </c>
      <c r="T1307" t="s">
        <v>40</v>
      </c>
      <c r="U1307">
        <f>+IF(Tabla1[[#This Row],[MONEDA]]="PEN",Tabla1[[#This Row],[MONTO]],Tabla1[[#This Row],[MONTO]]*3.56)</f>
        <v>47679.08</v>
      </c>
      <c r="X1307" t="s">
        <v>41</v>
      </c>
      <c r="Y1307" t="s">
        <v>42</v>
      </c>
      <c r="Z1307" t="s">
        <v>43</v>
      </c>
      <c r="AA1307" t="s">
        <v>981</v>
      </c>
      <c r="AB1307" t="s">
        <v>982</v>
      </c>
      <c r="AC1307" t="s">
        <v>983</v>
      </c>
      <c r="AD1307" t="s">
        <v>984</v>
      </c>
      <c r="AE1307">
        <v>41957.59</v>
      </c>
      <c r="AF1307" t="s">
        <v>87</v>
      </c>
      <c r="AG1307" t="s">
        <v>169</v>
      </c>
    </row>
    <row r="1308" spans="1:33" x14ac:dyDescent="0.25">
      <c r="A1308">
        <v>39778</v>
      </c>
      <c r="B1308" t="s">
        <v>32</v>
      </c>
      <c r="C1308">
        <v>5</v>
      </c>
      <c r="D1308" t="s">
        <v>2237</v>
      </c>
      <c r="E1308" t="s">
        <v>70</v>
      </c>
      <c r="F1308" t="s">
        <v>90</v>
      </c>
      <c r="G1308" t="s">
        <v>91</v>
      </c>
      <c r="H1308" t="s">
        <v>35</v>
      </c>
      <c r="I1308" t="s">
        <v>2222</v>
      </c>
      <c r="J1308" t="s">
        <v>2238</v>
      </c>
      <c r="K1308" t="s">
        <v>36</v>
      </c>
      <c r="L1308" t="s">
        <v>33</v>
      </c>
      <c r="M1308">
        <v>20533202366</v>
      </c>
      <c r="N1308" t="s">
        <v>37</v>
      </c>
      <c r="P1308" t="s">
        <v>38</v>
      </c>
      <c r="Q1308" t="s">
        <v>39</v>
      </c>
      <c r="R1308" t="s">
        <v>2239</v>
      </c>
      <c r="S1308">
        <v>32924.949999999997</v>
      </c>
      <c r="T1308" t="s">
        <v>40</v>
      </c>
      <c r="U1308">
        <f>+IF(Tabla1[[#This Row],[MONEDA]]="PEN",Tabla1[[#This Row],[MONTO]],Tabla1[[#This Row],[MONTO]]*3.56)</f>
        <v>32924.949999999997</v>
      </c>
      <c r="X1308" t="s">
        <v>41</v>
      </c>
      <c r="Y1308" t="s">
        <v>42</v>
      </c>
      <c r="Z1308" t="s">
        <v>82</v>
      </c>
      <c r="AA1308" t="s">
        <v>2240</v>
      </c>
      <c r="AB1308" t="s">
        <v>2241</v>
      </c>
      <c r="AC1308" t="s">
        <v>2242</v>
      </c>
      <c r="AD1308" t="s">
        <v>2243</v>
      </c>
      <c r="AE1308">
        <v>28973.96</v>
      </c>
      <c r="AF1308" t="s">
        <v>87</v>
      </c>
      <c r="AG1308" t="s">
        <v>169</v>
      </c>
    </row>
    <row r="1309" spans="1:33" x14ac:dyDescent="0.25">
      <c r="A1309">
        <v>37309</v>
      </c>
      <c r="B1309" t="s">
        <v>32</v>
      </c>
      <c r="C1309">
        <v>1</v>
      </c>
      <c r="D1309" t="s">
        <v>3310</v>
      </c>
      <c r="E1309" t="s">
        <v>70</v>
      </c>
      <c r="F1309" t="s">
        <v>90</v>
      </c>
      <c r="G1309" t="s">
        <v>91</v>
      </c>
      <c r="H1309" t="s">
        <v>35</v>
      </c>
      <c r="I1309" t="s">
        <v>3311</v>
      </c>
      <c r="J1309" t="s">
        <v>3312</v>
      </c>
      <c r="K1309" t="s">
        <v>36</v>
      </c>
      <c r="L1309" t="s">
        <v>33</v>
      </c>
      <c r="M1309">
        <v>20533202366</v>
      </c>
      <c r="N1309" t="s">
        <v>37</v>
      </c>
      <c r="P1309" t="s">
        <v>38</v>
      </c>
      <c r="Q1309" t="s">
        <v>39</v>
      </c>
      <c r="R1309" t="s">
        <v>3313</v>
      </c>
      <c r="S1309">
        <v>31780.94</v>
      </c>
      <c r="T1309" t="s">
        <v>40</v>
      </c>
      <c r="U1309">
        <f>+IF(Tabla1[[#This Row],[MONEDA]]="PEN",Tabla1[[#This Row],[MONTO]],Tabla1[[#This Row],[MONTO]]*3.56)</f>
        <v>31780.94</v>
      </c>
      <c r="X1309" t="s">
        <v>41</v>
      </c>
      <c r="Y1309" t="s">
        <v>42</v>
      </c>
      <c r="Z1309" t="s">
        <v>82</v>
      </c>
      <c r="AA1309" t="s">
        <v>3314</v>
      </c>
      <c r="AB1309" t="s">
        <v>3315</v>
      </c>
      <c r="AC1309" t="s">
        <v>3316</v>
      </c>
      <c r="AD1309" t="s">
        <v>3317</v>
      </c>
      <c r="AE1309">
        <v>27967.23</v>
      </c>
      <c r="AF1309" t="s">
        <v>87</v>
      </c>
      <c r="AG1309" t="s">
        <v>169</v>
      </c>
    </row>
    <row r="1310" spans="1:33" x14ac:dyDescent="0.25">
      <c r="A1310">
        <v>37303</v>
      </c>
      <c r="B1310" t="s">
        <v>32</v>
      </c>
      <c r="C1310">
        <v>1</v>
      </c>
      <c r="D1310" t="s">
        <v>3338</v>
      </c>
      <c r="E1310" t="s">
        <v>70</v>
      </c>
      <c r="F1310" t="s">
        <v>90</v>
      </c>
      <c r="G1310" t="s">
        <v>91</v>
      </c>
      <c r="H1310" t="s">
        <v>35</v>
      </c>
      <c r="I1310" t="s">
        <v>3330</v>
      </c>
      <c r="J1310" t="s">
        <v>3339</v>
      </c>
      <c r="K1310" t="s">
        <v>36</v>
      </c>
      <c r="L1310" t="s">
        <v>33</v>
      </c>
      <c r="M1310">
        <v>20533202366</v>
      </c>
      <c r="N1310" t="s">
        <v>37</v>
      </c>
      <c r="P1310" t="s">
        <v>38</v>
      </c>
      <c r="Q1310" t="s">
        <v>39</v>
      </c>
      <c r="R1310" t="s">
        <v>1813</v>
      </c>
      <c r="S1310">
        <v>30568.49</v>
      </c>
      <c r="T1310" t="s">
        <v>40</v>
      </c>
      <c r="U1310">
        <f>+IF(Tabla1[[#This Row],[MONEDA]]="PEN",Tabla1[[#This Row],[MONTO]],Tabla1[[#This Row],[MONTO]]*3.56)</f>
        <v>30568.49</v>
      </c>
      <c r="X1310" t="s">
        <v>41</v>
      </c>
      <c r="Y1310" t="s">
        <v>42</v>
      </c>
      <c r="Z1310" t="s">
        <v>43</v>
      </c>
      <c r="AA1310" t="s">
        <v>3340</v>
      </c>
      <c r="AB1310" t="s">
        <v>3341</v>
      </c>
      <c r="AC1310" t="s">
        <v>3342</v>
      </c>
      <c r="AD1310" t="s">
        <v>3343</v>
      </c>
      <c r="AE1310">
        <v>26900.27</v>
      </c>
      <c r="AF1310" t="s">
        <v>87</v>
      </c>
      <c r="AG1310" t="s">
        <v>169</v>
      </c>
    </row>
    <row r="1311" spans="1:33" x14ac:dyDescent="0.25">
      <c r="A1311">
        <v>29782</v>
      </c>
      <c r="B1311" t="s">
        <v>32</v>
      </c>
      <c r="C1311">
        <v>5</v>
      </c>
      <c r="D1311" t="s">
        <v>6824</v>
      </c>
      <c r="E1311" t="s">
        <v>70</v>
      </c>
      <c r="F1311" t="s">
        <v>90</v>
      </c>
      <c r="G1311" t="s">
        <v>91</v>
      </c>
      <c r="H1311" t="s">
        <v>72</v>
      </c>
      <c r="I1311" t="s">
        <v>6768</v>
      </c>
      <c r="J1311" t="s">
        <v>6825</v>
      </c>
      <c r="K1311" t="s">
        <v>36</v>
      </c>
      <c r="L1311" t="s">
        <v>33</v>
      </c>
      <c r="M1311">
        <v>20533202366</v>
      </c>
      <c r="N1311" t="s">
        <v>37</v>
      </c>
      <c r="P1311" t="s">
        <v>38</v>
      </c>
      <c r="Q1311" t="s">
        <v>39</v>
      </c>
      <c r="R1311" t="s">
        <v>6826</v>
      </c>
      <c r="S1311">
        <v>25114</v>
      </c>
      <c r="T1311" t="s">
        <v>40</v>
      </c>
      <c r="U1311">
        <f>+IF(Tabla1[[#This Row],[MONEDA]]="PEN",Tabla1[[#This Row],[MONTO]],Tabla1[[#This Row],[MONTO]]*3.56)</f>
        <v>25114</v>
      </c>
      <c r="X1311" t="s">
        <v>41</v>
      </c>
      <c r="Y1311" t="s">
        <v>42</v>
      </c>
      <c r="Z1311" t="s">
        <v>43</v>
      </c>
      <c r="AA1311" t="s">
        <v>6827</v>
      </c>
      <c r="AB1311" t="s">
        <v>6828</v>
      </c>
      <c r="AC1311" t="s">
        <v>6829</v>
      </c>
      <c r="AD1311" t="s">
        <v>6830</v>
      </c>
      <c r="AE1311">
        <v>26078.38</v>
      </c>
      <c r="AG1311" t="s">
        <v>169</v>
      </c>
    </row>
    <row r="1312" spans="1:33" x14ac:dyDescent="0.25">
      <c r="A1312">
        <v>28333</v>
      </c>
      <c r="B1312" t="s">
        <v>32</v>
      </c>
      <c r="C1312">
        <v>5</v>
      </c>
      <c r="D1312" t="s">
        <v>6990</v>
      </c>
      <c r="E1312" t="s">
        <v>70</v>
      </c>
      <c r="F1312" t="s">
        <v>90</v>
      </c>
      <c r="G1312" t="s">
        <v>91</v>
      </c>
      <c r="H1312" t="s">
        <v>72</v>
      </c>
      <c r="I1312" t="s">
        <v>6972</v>
      </c>
      <c r="J1312" t="s">
        <v>6991</v>
      </c>
      <c r="K1312" t="s">
        <v>36</v>
      </c>
      <c r="L1312" t="s">
        <v>33</v>
      </c>
      <c r="M1312">
        <v>20533202366</v>
      </c>
      <c r="N1312" t="s">
        <v>37</v>
      </c>
      <c r="P1312" t="s">
        <v>38</v>
      </c>
      <c r="Q1312" t="s">
        <v>39</v>
      </c>
      <c r="R1312" t="s">
        <v>6992</v>
      </c>
      <c r="S1312">
        <v>29707.09</v>
      </c>
      <c r="T1312" t="s">
        <v>40</v>
      </c>
      <c r="U1312">
        <f>+IF(Tabla1[[#This Row],[MONEDA]]="PEN",Tabla1[[#This Row],[MONTO]],Tabla1[[#This Row],[MONTO]]*3.56)</f>
        <v>29707.09</v>
      </c>
      <c r="X1312" t="s">
        <v>41</v>
      </c>
      <c r="Y1312" t="s">
        <v>42</v>
      </c>
      <c r="Z1312" t="s">
        <v>43</v>
      </c>
      <c r="AA1312" t="s">
        <v>6993</v>
      </c>
      <c r="AB1312" t="s">
        <v>6994</v>
      </c>
      <c r="AC1312" t="s">
        <v>6995</v>
      </c>
      <c r="AD1312" t="s">
        <v>6996</v>
      </c>
      <c r="AE1312">
        <v>26142.240000000002</v>
      </c>
      <c r="AF1312" t="s">
        <v>87</v>
      </c>
      <c r="AG1312" t="s">
        <v>169</v>
      </c>
    </row>
    <row r="1313" spans="1:33" x14ac:dyDescent="0.25">
      <c r="A1313">
        <v>26406</v>
      </c>
      <c r="B1313" t="s">
        <v>32</v>
      </c>
      <c r="C1313">
        <v>3</v>
      </c>
      <c r="D1313" t="s">
        <v>9279</v>
      </c>
      <c r="E1313" t="s">
        <v>70</v>
      </c>
      <c r="F1313" t="s">
        <v>90</v>
      </c>
      <c r="G1313" t="s">
        <v>91</v>
      </c>
      <c r="H1313" t="s">
        <v>72</v>
      </c>
      <c r="I1313" t="s">
        <v>9250</v>
      </c>
      <c r="J1313" t="s">
        <v>9280</v>
      </c>
      <c r="K1313" t="s">
        <v>36</v>
      </c>
      <c r="L1313" t="s">
        <v>33</v>
      </c>
      <c r="M1313">
        <v>20533202366</v>
      </c>
      <c r="N1313" t="s">
        <v>37</v>
      </c>
      <c r="P1313" t="s">
        <v>38</v>
      </c>
      <c r="Q1313" t="s">
        <v>39</v>
      </c>
      <c r="R1313" t="s">
        <v>9281</v>
      </c>
      <c r="S1313">
        <v>24866.73</v>
      </c>
      <c r="T1313" t="s">
        <v>40</v>
      </c>
      <c r="U1313">
        <f>+IF(Tabla1[[#This Row],[MONEDA]]="PEN",Tabla1[[#This Row],[MONTO]],Tabla1[[#This Row],[MONTO]]*3.56)</f>
        <v>24866.73</v>
      </c>
      <c r="X1313" t="s">
        <v>41</v>
      </c>
      <c r="Y1313" t="s">
        <v>42</v>
      </c>
      <c r="Z1313" t="s">
        <v>43</v>
      </c>
      <c r="AA1313" t="s">
        <v>9282</v>
      </c>
      <c r="AB1313" t="s">
        <v>9283</v>
      </c>
      <c r="AC1313" t="s">
        <v>9284</v>
      </c>
      <c r="AD1313" t="s">
        <v>9285</v>
      </c>
      <c r="AE1313">
        <v>21882.720000000001</v>
      </c>
      <c r="AF1313" t="s">
        <v>87</v>
      </c>
      <c r="AG1313" t="s">
        <v>169</v>
      </c>
    </row>
    <row r="1314" spans="1:33" x14ac:dyDescent="0.25">
      <c r="A1314">
        <v>23198</v>
      </c>
      <c r="B1314" t="s">
        <v>32</v>
      </c>
      <c r="C1314">
        <v>3</v>
      </c>
      <c r="D1314" t="s">
        <v>11303</v>
      </c>
      <c r="E1314" t="s">
        <v>70</v>
      </c>
      <c r="F1314" t="s">
        <v>90</v>
      </c>
      <c r="G1314" t="s">
        <v>91</v>
      </c>
      <c r="H1314" t="s">
        <v>72</v>
      </c>
      <c r="I1314" t="s">
        <v>11296</v>
      </c>
      <c r="J1314" t="s">
        <v>11304</v>
      </c>
      <c r="K1314" t="s">
        <v>36</v>
      </c>
      <c r="L1314" t="s">
        <v>33</v>
      </c>
      <c r="M1314">
        <v>20533202366</v>
      </c>
      <c r="N1314" t="s">
        <v>37</v>
      </c>
      <c r="O1314" t="s">
        <v>1747</v>
      </c>
      <c r="P1314" t="s">
        <v>38</v>
      </c>
      <c r="Q1314" t="s">
        <v>39</v>
      </c>
      <c r="R1314" t="s">
        <v>11305</v>
      </c>
      <c r="S1314">
        <v>12152.23</v>
      </c>
      <c r="T1314" t="s">
        <v>40</v>
      </c>
      <c r="U1314">
        <f>+IF(Tabla1[[#This Row],[MONEDA]]="PEN",Tabla1[[#This Row],[MONTO]],Tabla1[[#This Row],[MONTO]]*3.56)</f>
        <v>12152.23</v>
      </c>
      <c r="X1314" t="s">
        <v>41</v>
      </c>
      <c r="Y1314" t="s">
        <v>42</v>
      </c>
      <c r="Z1314" t="s">
        <v>43</v>
      </c>
      <c r="AA1314" t="s">
        <v>11306</v>
      </c>
      <c r="AB1314" t="s">
        <v>11307</v>
      </c>
      <c r="AC1314" t="s">
        <v>11308</v>
      </c>
      <c r="AD1314" t="s">
        <v>11309</v>
      </c>
      <c r="AE1314">
        <v>10693.96</v>
      </c>
      <c r="AF1314" t="s">
        <v>87</v>
      </c>
      <c r="AG1314" t="s">
        <v>169</v>
      </c>
    </row>
    <row r="1315" spans="1:33" hidden="1" x14ac:dyDescent="0.25">
      <c r="A1315">
        <v>24511</v>
      </c>
      <c r="B1315" t="s">
        <v>32</v>
      </c>
      <c r="C1315">
        <v>1</v>
      </c>
      <c r="D1315" t="s">
        <v>10290</v>
      </c>
      <c r="E1315" t="s">
        <v>45</v>
      </c>
      <c r="F1315" t="s">
        <v>90</v>
      </c>
      <c r="G1315" t="s">
        <v>91</v>
      </c>
      <c r="H1315" t="s">
        <v>72</v>
      </c>
      <c r="I1315" t="s">
        <v>10291</v>
      </c>
      <c r="J1315" t="s">
        <v>10292</v>
      </c>
      <c r="K1315" t="s">
        <v>36</v>
      </c>
      <c r="L1315" t="s">
        <v>33</v>
      </c>
      <c r="M1315">
        <v>20533202366</v>
      </c>
      <c r="N1315" t="s">
        <v>37</v>
      </c>
      <c r="R1315" t="s">
        <v>10293</v>
      </c>
      <c r="S1315">
        <v>174</v>
      </c>
      <c r="T1315" t="s">
        <v>40</v>
      </c>
      <c r="U1315">
        <f>+IF(Tabla1[[#This Row],[MONEDA]]="PEN",Tabla1[[#This Row],[MONTO]],Tabla1[[#This Row],[MONTO]]*3.56)</f>
        <v>174</v>
      </c>
      <c r="V1315" t="s">
        <v>190</v>
      </c>
      <c r="W1315">
        <v>21301</v>
      </c>
      <c r="X1315" t="s">
        <v>41</v>
      </c>
      <c r="Y1315" t="s">
        <v>42</v>
      </c>
      <c r="Z1315" t="s">
        <v>43</v>
      </c>
      <c r="AC1315" t="s">
        <v>10294</v>
      </c>
      <c r="AD1315" t="s">
        <v>10295</v>
      </c>
    </row>
    <row r="1316" spans="1:33" hidden="1" x14ac:dyDescent="0.25">
      <c r="A1316">
        <v>25394</v>
      </c>
      <c r="B1316" t="s">
        <v>32</v>
      </c>
      <c r="C1316">
        <v>1</v>
      </c>
      <c r="D1316" t="s">
        <v>9806</v>
      </c>
      <c r="E1316" t="s">
        <v>70</v>
      </c>
      <c r="F1316" t="s">
        <v>33</v>
      </c>
      <c r="G1316" t="s">
        <v>71</v>
      </c>
      <c r="H1316" t="s">
        <v>72</v>
      </c>
      <c r="I1316" t="s">
        <v>9807</v>
      </c>
      <c r="J1316" t="s">
        <v>9808</v>
      </c>
      <c r="K1316" t="s">
        <v>36</v>
      </c>
      <c r="L1316" t="s">
        <v>33</v>
      </c>
      <c r="M1316">
        <v>20321656219</v>
      </c>
      <c r="N1316" t="s">
        <v>9809</v>
      </c>
      <c r="O1316" t="s">
        <v>76</v>
      </c>
      <c r="R1316" t="s">
        <v>9810</v>
      </c>
      <c r="S1316">
        <v>60</v>
      </c>
      <c r="T1316" t="s">
        <v>40</v>
      </c>
      <c r="U1316">
        <f>+IF(Tabla1[[#This Row],[MONEDA]]="PEN",Tabla1[[#This Row],[MONTO]],Tabla1[[#This Row],[MONTO]]*3.56)</f>
        <v>60</v>
      </c>
      <c r="V1316" t="s">
        <v>190</v>
      </c>
      <c r="W1316">
        <v>25256</v>
      </c>
      <c r="X1316" t="s">
        <v>81</v>
      </c>
      <c r="Y1316" t="s">
        <v>42</v>
      </c>
      <c r="Z1316" t="s">
        <v>82</v>
      </c>
      <c r="AA1316" t="s">
        <v>9811</v>
      </c>
      <c r="AC1316" t="s">
        <v>9812</v>
      </c>
      <c r="AD1316" t="s">
        <v>9813</v>
      </c>
    </row>
    <row r="1317" spans="1:33" hidden="1" x14ac:dyDescent="0.25">
      <c r="A1317">
        <v>32057</v>
      </c>
      <c r="B1317" t="s">
        <v>32</v>
      </c>
      <c r="C1317">
        <v>1</v>
      </c>
      <c r="D1317" t="s">
        <v>5502</v>
      </c>
      <c r="E1317" t="s">
        <v>70</v>
      </c>
      <c r="F1317" t="s">
        <v>33</v>
      </c>
      <c r="G1317" t="s">
        <v>71</v>
      </c>
      <c r="H1317" t="s">
        <v>72</v>
      </c>
      <c r="I1317" t="s">
        <v>5502</v>
      </c>
      <c r="J1317" t="s">
        <v>5530</v>
      </c>
      <c r="K1317" t="s">
        <v>36</v>
      </c>
      <c r="L1317" t="s">
        <v>33</v>
      </c>
      <c r="M1317">
        <v>20601380316</v>
      </c>
      <c r="N1317" t="s">
        <v>5531</v>
      </c>
      <c r="O1317" t="s">
        <v>76</v>
      </c>
      <c r="R1317" t="s">
        <v>5532</v>
      </c>
      <c r="S1317">
        <v>70</v>
      </c>
      <c r="T1317" t="s">
        <v>40</v>
      </c>
      <c r="U1317">
        <f>+IF(Tabla1[[#This Row],[MONEDA]]="PEN",Tabla1[[#This Row],[MONTO]],Tabla1[[#This Row],[MONTO]]*3.56)</f>
        <v>70</v>
      </c>
      <c r="V1317" t="s">
        <v>190</v>
      </c>
      <c r="W1317">
        <v>29730</v>
      </c>
      <c r="X1317" t="s">
        <v>81</v>
      </c>
      <c r="Y1317" t="s">
        <v>42</v>
      </c>
      <c r="Z1317" t="s">
        <v>43</v>
      </c>
      <c r="AA1317" t="s">
        <v>5533</v>
      </c>
      <c r="AC1317" t="s">
        <v>5534</v>
      </c>
      <c r="AD1317" t="s">
        <v>5535</v>
      </c>
    </row>
    <row r="1318" spans="1:33" x14ac:dyDescent="0.25">
      <c r="A1318">
        <v>27053</v>
      </c>
      <c r="B1318" t="s">
        <v>32</v>
      </c>
      <c r="C1318">
        <v>2</v>
      </c>
      <c r="D1318" t="s">
        <v>8747</v>
      </c>
      <c r="E1318" t="s">
        <v>70</v>
      </c>
      <c r="F1318" t="s">
        <v>4599</v>
      </c>
      <c r="G1318" t="s">
        <v>4600</v>
      </c>
      <c r="H1318" t="s">
        <v>4601</v>
      </c>
      <c r="I1318" t="s">
        <v>8748</v>
      </c>
      <c r="J1318" t="s">
        <v>8749</v>
      </c>
      <c r="K1318" t="s">
        <v>36</v>
      </c>
      <c r="L1318" t="s">
        <v>33</v>
      </c>
      <c r="M1318">
        <v>20605927450</v>
      </c>
      <c r="N1318" t="s">
        <v>8750</v>
      </c>
      <c r="O1318" t="s">
        <v>4605</v>
      </c>
      <c r="P1318" t="s">
        <v>38</v>
      </c>
      <c r="Q1318" t="s">
        <v>8751</v>
      </c>
      <c r="R1318" t="s">
        <v>8752</v>
      </c>
      <c r="S1318">
        <v>59</v>
      </c>
      <c r="T1318" t="s">
        <v>40</v>
      </c>
      <c r="U1318">
        <f>+IF(Tabla1[[#This Row],[MONEDA]]="PEN",Tabla1[[#This Row],[MONTO]],Tabla1[[#This Row],[MONTO]]*3.56)</f>
        <v>59</v>
      </c>
      <c r="X1318" t="s">
        <v>41</v>
      </c>
      <c r="Y1318" t="s">
        <v>42</v>
      </c>
      <c r="Z1318" t="s">
        <v>82</v>
      </c>
      <c r="AA1318" t="s">
        <v>8753</v>
      </c>
      <c r="AB1318" t="s">
        <v>8754</v>
      </c>
      <c r="AC1318" t="s">
        <v>8755</v>
      </c>
      <c r="AD1318" t="s">
        <v>8756</v>
      </c>
      <c r="AE1318">
        <v>59</v>
      </c>
      <c r="AF1318" t="s">
        <v>87</v>
      </c>
      <c r="AG1318" t="s">
        <v>169</v>
      </c>
    </row>
    <row r="1319" spans="1:33" hidden="1" x14ac:dyDescent="0.25">
      <c r="A1319">
        <v>26038</v>
      </c>
      <c r="B1319" t="s">
        <v>32</v>
      </c>
      <c r="C1319">
        <v>1</v>
      </c>
      <c r="D1319" t="s">
        <v>9448</v>
      </c>
      <c r="E1319" t="s">
        <v>70</v>
      </c>
      <c r="F1319" t="s">
        <v>33</v>
      </c>
      <c r="G1319" t="s">
        <v>71</v>
      </c>
      <c r="H1319" t="s">
        <v>72</v>
      </c>
      <c r="I1319" t="s">
        <v>9433</v>
      </c>
      <c r="J1319" t="s">
        <v>9449</v>
      </c>
      <c r="K1319" t="s">
        <v>36</v>
      </c>
      <c r="L1319" t="s">
        <v>33</v>
      </c>
      <c r="M1319">
        <v>20605927450</v>
      </c>
      <c r="N1319" t="s">
        <v>8750</v>
      </c>
      <c r="O1319" t="s">
        <v>76</v>
      </c>
      <c r="P1319" t="s">
        <v>38</v>
      </c>
      <c r="Q1319" t="s">
        <v>8751</v>
      </c>
      <c r="R1319" t="s">
        <v>9450</v>
      </c>
      <c r="S1319">
        <v>188.8</v>
      </c>
      <c r="T1319" t="s">
        <v>40</v>
      </c>
      <c r="U1319">
        <f>+IF(Tabla1[[#This Row],[MONEDA]]="PEN",Tabla1[[#This Row],[MONTO]],Tabla1[[#This Row],[MONTO]]*3.56)</f>
        <v>188.8</v>
      </c>
      <c r="X1319" t="s">
        <v>81</v>
      </c>
      <c r="Y1319" t="s">
        <v>42</v>
      </c>
      <c r="Z1319" t="s">
        <v>82</v>
      </c>
      <c r="AA1319" t="s">
        <v>9451</v>
      </c>
      <c r="AB1319" t="s">
        <v>9452</v>
      </c>
      <c r="AC1319" t="s">
        <v>9453</v>
      </c>
      <c r="AD1319" t="s">
        <v>9454</v>
      </c>
      <c r="AE1319">
        <v>188.8</v>
      </c>
      <c r="AF1319" t="s">
        <v>87</v>
      </c>
      <c r="AG1319" t="s">
        <v>169</v>
      </c>
    </row>
    <row r="1320" spans="1:33" x14ac:dyDescent="0.25">
      <c r="A1320">
        <v>22828</v>
      </c>
      <c r="B1320" t="s">
        <v>32</v>
      </c>
      <c r="C1320">
        <v>1</v>
      </c>
      <c r="D1320" t="s">
        <v>11739</v>
      </c>
      <c r="E1320" t="s">
        <v>70</v>
      </c>
      <c r="F1320" t="s">
        <v>3256</v>
      </c>
      <c r="G1320" t="s">
        <v>3257</v>
      </c>
      <c r="H1320" t="s">
        <v>8233</v>
      </c>
      <c r="I1320" t="s">
        <v>11730</v>
      </c>
      <c r="J1320" t="s">
        <v>11740</v>
      </c>
      <c r="K1320" t="s">
        <v>36</v>
      </c>
      <c r="L1320" t="s">
        <v>33</v>
      </c>
      <c r="M1320">
        <v>20600043341</v>
      </c>
      <c r="N1320" t="s">
        <v>11741</v>
      </c>
      <c r="P1320" t="s">
        <v>38</v>
      </c>
      <c r="Q1320" t="s">
        <v>11742</v>
      </c>
      <c r="R1320" t="s">
        <v>11743</v>
      </c>
      <c r="S1320">
        <v>164.02</v>
      </c>
      <c r="T1320" t="s">
        <v>40</v>
      </c>
      <c r="U1320">
        <f>+IF(Tabla1[[#This Row],[MONEDA]]="PEN",Tabla1[[#This Row],[MONTO]],Tabla1[[#This Row],[MONTO]]*3.56)</f>
        <v>164.02</v>
      </c>
      <c r="X1320" t="s">
        <v>41</v>
      </c>
      <c r="Y1320" t="s">
        <v>42</v>
      </c>
      <c r="Z1320" t="s">
        <v>82</v>
      </c>
      <c r="AA1320" t="s">
        <v>11744</v>
      </c>
      <c r="AB1320" t="s">
        <v>11745</v>
      </c>
      <c r="AC1320" t="s">
        <v>11746</v>
      </c>
      <c r="AD1320" t="s">
        <v>11747</v>
      </c>
      <c r="AE1320">
        <v>164.02</v>
      </c>
      <c r="AF1320" t="s">
        <v>87</v>
      </c>
      <c r="AG1320" t="s">
        <v>169</v>
      </c>
    </row>
    <row r="1321" spans="1:33" hidden="1" x14ac:dyDescent="0.25">
      <c r="A1321">
        <v>33272</v>
      </c>
      <c r="B1321" t="s">
        <v>32</v>
      </c>
      <c r="C1321">
        <v>1</v>
      </c>
      <c r="D1321" t="s">
        <v>4913</v>
      </c>
      <c r="E1321" t="s">
        <v>70</v>
      </c>
      <c r="F1321" t="s">
        <v>33</v>
      </c>
      <c r="G1321" t="s">
        <v>71</v>
      </c>
      <c r="H1321" t="s">
        <v>72</v>
      </c>
      <c r="I1321" t="s">
        <v>4897</v>
      </c>
      <c r="J1321" t="s">
        <v>4914</v>
      </c>
      <c r="K1321" t="s">
        <v>36</v>
      </c>
      <c r="L1321" t="s">
        <v>33</v>
      </c>
      <c r="M1321">
        <v>20607499315</v>
      </c>
      <c r="N1321" t="s">
        <v>4915</v>
      </c>
      <c r="O1321" t="s">
        <v>76</v>
      </c>
      <c r="P1321" t="s">
        <v>38</v>
      </c>
      <c r="Q1321" t="s">
        <v>4916</v>
      </c>
      <c r="R1321" t="s">
        <v>4917</v>
      </c>
      <c r="S1321">
        <v>2693.2</v>
      </c>
      <c r="T1321" t="s">
        <v>40</v>
      </c>
      <c r="U1321">
        <f>+IF(Tabla1[[#This Row],[MONEDA]]="PEN",Tabla1[[#This Row],[MONTO]],Tabla1[[#This Row],[MONTO]]*3.56)</f>
        <v>2693.2</v>
      </c>
      <c r="X1321" t="s">
        <v>81</v>
      </c>
      <c r="Y1321" t="s">
        <v>42</v>
      </c>
      <c r="Z1321" t="s">
        <v>82</v>
      </c>
      <c r="AA1321" t="s">
        <v>4918</v>
      </c>
      <c r="AB1321" t="s">
        <v>4919</v>
      </c>
      <c r="AC1321" t="s">
        <v>4920</v>
      </c>
      <c r="AD1321" t="s">
        <v>4921</v>
      </c>
      <c r="AE1321">
        <v>2612.4</v>
      </c>
      <c r="AF1321" t="s">
        <v>87</v>
      </c>
      <c r="AG1321" t="s">
        <v>169</v>
      </c>
    </row>
    <row r="1322" spans="1:33" hidden="1" x14ac:dyDescent="0.25">
      <c r="A1322">
        <v>42524</v>
      </c>
      <c r="B1322" t="s">
        <v>32</v>
      </c>
      <c r="C1322">
        <v>1</v>
      </c>
      <c r="D1322" t="s">
        <v>1063</v>
      </c>
      <c r="E1322" t="s">
        <v>70</v>
      </c>
      <c r="F1322" t="s">
        <v>33</v>
      </c>
      <c r="G1322" t="s">
        <v>71</v>
      </c>
      <c r="H1322" t="s">
        <v>72</v>
      </c>
      <c r="I1322" t="s">
        <v>1042</v>
      </c>
      <c r="J1322" t="s">
        <v>1064</v>
      </c>
      <c r="K1322" t="s">
        <v>36</v>
      </c>
      <c r="L1322" t="s">
        <v>33</v>
      </c>
      <c r="M1322">
        <v>20611140305</v>
      </c>
      <c r="N1322" t="s">
        <v>1065</v>
      </c>
      <c r="O1322" t="s">
        <v>76</v>
      </c>
      <c r="P1322" t="s">
        <v>38</v>
      </c>
      <c r="Q1322" t="s">
        <v>1066</v>
      </c>
      <c r="R1322" t="s">
        <v>1067</v>
      </c>
      <c r="S1322">
        <v>472</v>
      </c>
      <c r="T1322" t="s">
        <v>80</v>
      </c>
      <c r="U1322">
        <f>+IF(Tabla1[[#This Row],[MONEDA]]="PEN",Tabla1[[#This Row],[MONTO]],Tabla1[[#This Row],[MONTO]]*3.56)</f>
        <v>1680.32</v>
      </c>
      <c r="X1322" t="s">
        <v>81</v>
      </c>
      <c r="Y1322" t="s">
        <v>42</v>
      </c>
      <c r="Z1322" t="s">
        <v>82</v>
      </c>
      <c r="AA1322" t="s">
        <v>1068</v>
      </c>
      <c r="AB1322" t="s">
        <v>1069</v>
      </c>
      <c r="AC1322" t="s">
        <v>1070</v>
      </c>
      <c r="AD1322" t="s">
        <v>1071</v>
      </c>
      <c r="AE1322">
        <v>457.84</v>
      </c>
      <c r="AF1322" t="s">
        <v>87</v>
      </c>
      <c r="AG1322" t="s">
        <v>88</v>
      </c>
    </row>
    <row r="1323" spans="1:33" hidden="1" x14ac:dyDescent="0.25">
      <c r="A1323">
        <v>43187</v>
      </c>
      <c r="B1323" t="s">
        <v>32</v>
      </c>
      <c r="C1323">
        <v>1</v>
      </c>
      <c r="D1323" t="s">
        <v>367</v>
      </c>
      <c r="E1323" t="s">
        <v>70</v>
      </c>
      <c r="F1323" t="s">
        <v>33</v>
      </c>
      <c r="G1323" t="s">
        <v>71</v>
      </c>
      <c r="H1323" t="s">
        <v>35</v>
      </c>
      <c r="I1323" t="s">
        <v>368</v>
      </c>
      <c r="J1323" t="s">
        <v>369</v>
      </c>
      <c r="K1323" t="s">
        <v>36</v>
      </c>
      <c r="L1323" t="s">
        <v>33</v>
      </c>
      <c r="M1323">
        <v>20519775051</v>
      </c>
      <c r="N1323" t="s">
        <v>365</v>
      </c>
      <c r="O1323" t="s">
        <v>76</v>
      </c>
      <c r="P1323" t="s">
        <v>38</v>
      </c>
      <c r="Q1323" t="s">
        <v>366</v>
      </c>
      <c r="R1323" t="s">
        <v>370</v>
      </c>
      <c r="S1323">
        <v>8665.92</v>
      </c>
      <c r="T1323" t="s">
        <v>40</v>
      </c>
      <c r="U1323">
        <f>+IF(Tabla1[[#This Row],[MONEDA]]="PEN",Tabla1[[#This Row],[MONTO]],Tabla1[[#This Row],[MONTO]]*3.56)</f>
        <v>8665.92</v>
      </c>
      <c r="X1323" t="s">
        <v>41</v>
      </c>
      <c r="Y1323" t="s">
        <v>51</v>
      </c>
      <c r="Z1323" t="s">
        <v>43</v>
      </c>
      <c r="AA1323" t="s">
        <v>371</v>
      </c>
      <c r="AB1323" t="s">
        <v>372</v>
      </c>
      <c r="AC1323" t="s">
        <v>373</v>
      </c>
      <c r="AE1323">
        <v>7799.33</v>
      </c>
      <c r="AF1323" t="s">
        <v>87</v>
      </c>
      <c r="AG1323" t="s">
        <v>169</v>
      </c>
    </row>
    <row r="1324" spans="1:33" hidden="1" x14ac:dyDescent="0.25">
      <c r="A1324">
        <v>40944</v>
      </c>
      <c r="B1324" t="s">
        <v>32</v>
      </c>
      <c r="C1324">
        <v>1</v>
      </c>
      <c r="D1324" t="s">
        <v>1737</v>
      </c>
      <c r="E1324" t="s">
        <v>70</v>
      </c>
      <c r="F1324" t="s">
        <v>33</v>
      </c>
      <c r="G1324" t="s">
        <v>71</v>
      </c>
      <c r="H1324" t="s">
        <v>35</v>
      </c>
      <c r="I1324" t="s">
        <v>1738</v>
      </c>
      <c r="J1324" t="s">
        <v>1739</v>
      </c>
      <c r="K1324" t="s">
        <v>36</v>
      </c>
      <c r="L1324" t="s">
        <v>33</v>
      </c>
      <c r="M1324">
        <v>20519775051</v>
      </c>
      <c r="N1324" t="s">
        <v>365</v>
      </c>
      <c r="O1324" t="s">
        <v>76</v>
      </c>
      <c r="P1324" t="s">
        <v>38</v>
      </c>
      <c r="Q1324" t="s">
        <v>366</v>
      </c>
      <c r="R1324" t="s">
        <v>1740</v>
      </c>
      <c r="S1324">
        <v>4385.9799999999996</v>
      </c>
      <c r="T1324" t="s">
        <v>40</v>
      </c>
      <c r="U1324">
        <f>+IF(Tabla1[[#This Row],[MONEDA]]="PEN",Tabla1[[#This Row],[MONTO]],Tabla1[[#This Row],[MONTO]]*3.56)</f>
        <v>4385.9799999999996</v>
      </c>
      <c r="X1324" t="s">
        <v>81</v>
      </c>
      <c r="Y1324" t="s">
        <v>42</v>
      </c>
      <c r="Z1324" t="s">
        <v>82</v>
      </c>
      <c r="AA1324" t="s">
        <v>1741</v>
      </c>
      <c r="AB1324" t="s">
        <v>1742</v>
      </c>
      <c r="AC1324" t="s">
        <v>1743</v>
      </c>
      <c r="AD1324" t="s">
        <v>1744</v>
      </c>
      <c r="AE1324">
        <v>4385.9799999999996</v>
      </c>
      <c r="AF1324" t="s">
        <v>87</v>
      </c>
      <c r="AG1324" t="s">
        <v>169</v>
      </c>
    </row>
    <row r="1325" spans="1:33" hidden="1" x14ac:dyDescent="0.25">
      <c r="A1325">
        <v>40421</v>
      </c>
      <c r="B1325" t="s">
        <v>32</v>
      </c>
      <c r="C1325">
        <v>1</v>
      </c>
      <c r="D1325" t="s">
        <v>2043</v>
      </c>
      <c r="E1325" t="s">
        <v>70</v>
      </c>
      <c r="F1325" t="s">
        <v>33</v>
      </c>
      <c r="G1325" t="s">
        <v>71</v>
      </c>
      <c r="H1325" t="s">
        <v>35</v>
      </c>
      <c r="I1325" t="s">
        <v>2024</v>
      </c>
      <c r="J1325" t="s">
        <v>2044</v>
      </c>
      <c r="K1325" t="s">
        <v>36</v>
      </c>
      <c r="L1325" t="s">
        <v>33</v>
      </c>
      <c r="M1325">
        <v>20519775051</v>
      </c>
      <c r="N1325" t="s">
        <v>365</v>
      </c>
      <c r="O1325" t="s">
        <v>76</v>
      </c>
      <c r="P1325" t="s">
        <v>38</v>
      </c>
      <c r="Q1325" t="s">
        <v>366</v>
      </c>
      <c r="R1325" t="s">
        <v>2045</v>
      </c>
      <c r="S1325">
        <v>8665.92</v>
      </c>
      <c r="T1325" t="s">
        <v>40</v>
      </c>
      <c r="U1325">
        <f>+IF(Tabla1[[#This Row],[MONEDA]]="PEN",Tabla1[[#This Row],[MONTO]],Tabla1[[#This Row],[MONTO]]*3.56)</f>
        <v>8665.92</v>
      </c>
      <c r="X1325" t="s">
        <v>41</v>
      </c>
      <c r="Y1325" t="s">
        <v>42</v>
      </c>
      <c r="Z1325" t="s">
        <v>82</v>
      </c>
      <c r="AA1325" t="s">
        <v>2046</v>
      </c>
      <c r="AB1325" t="s">
        <v>2047</v>
      </c>
      <c r="AC1325" t="s">
        <v>2048</v>
      </c>
      <c r="AD1325" t="s">
        <v>2049</v>
      </c>
      <c r="AE1325">
        <v>7799.33</v>
      </c>
      <c r="AG1325" t="s">
        <v>169</v>
      </c>
    </row>
    <row r="1326" spans="1:33" hidden="1" x14ac:dyDescent="0.25">
      <c r="A1326">
        <v>37793</v>
      </c>
      <c r="B1326" t="s">
        <v>32</v>
      </c>
      <c r="C1326">
        <v>2</v>
      </c>
      <c r="D1326" t="s">
        <v>3188</v>
      </c>
      <c r="E1326" t="s">
        <v>70</v>
      </c>
      <c r="F1326" t="s">
        <v>33</v>
      </c>
      <c r="G1326" t="s">
        <v>71</v>
      </c>
      <c r="H1326" t="s">
        <v>35</v>
      </c>
      <c r="I1326" t="s">
        <v>3134</v>
      </c>
      <c r="J1326" t="s">
        <v>3189</v>
      </c>
      <c r="K1326" t="s">
        <v>36</v>
      </c>
      <c r="L1326" t="s">
        <v>33</v>
      </c>
      <c r="M1326">
        <v>20519775051</v>
      </c>
      <c r="N1326" t="s">
        <v>365</v>
      </c>
      <c r="O1326" t="s">
        <v>76</v>
      </c>
      <c r="P1326" t="s">
        <v>38</v>
      </c>
      <c r="Q1326" t="s">
        <v>366</v>
      </c>
      <c r="S1326">
        <v>8665.92</v>
      </c>
      <c r="T1326" t="s">
        <v>40</v>
      </c>
      <c r="U1326">
        <f>+IF(Tabla1[[#This Row],[MONEDA]]="PEN",Tabla1[[#This Row],[MONTO]],Tabla1[[#This Row],[MONTO]]*3.56)</f>
        <v>8665.92</v>
      </c>
      <c r="X1326" t="s">
        <v>41</v>
      </c>
      <c r="Y1326" t="s">
        <v>42</v>
      </c>
      <c r="Z1326" t="s">
        <v>43</v>
      </c>
      <c r="AA1326" t="s">
        <v>3190</v>
      </c>
      <c r="AB1326" t="s">
        <v>3191</v>
      </c>
      <c r="AC1326" t="s">
        <v>3192</v>
      </c>
      <c r="AD1326" t="s">
        <v>3193</v>
      </c>
      <c r="AE1326">
        <v>7799.33</v>
      </c>
      <c r="AF1326" t="s">
        <v>87</v>
      </c>
      <c r="AG1326" t="s">
        <v>169</v>
      </c>
    </row>
    <row r="1327" spans="1:33" hidden="1" x14ac:dyDescent="0.25">
      <c r="A1327">
        <v>31938</v>
      </c>
      <c r="B1327" t="s">
        <v>32</v>
      </c>
      <c r="C1327">
        <v>1</v>
      </c>
      <c r="D1327" t="s">
        <v>5624</v>
      </c>
      <c r="E1327" t="s">
        <v>70</v>
      </c>
      <c r="F1327" t="s">
        <v>33</v>
      </c>
      <c r="G1327" t="s">
        <v>71</v>
      </c>
      <c r="H1327" t="s">
        <v>72</v>
      </c>
      <c r="I1327" t="s">
        <v>5601</v>
      </c>
      <c r="J1327" t="s">
        <v>5625</v>
      </c>
      <c r="K1327" t="s">
        <v>36</v>
      </c>
      <c r="L1327" t="s">
        <v>33</v>
      </c>
      <c r="M1327">
        <v>20519775051</v>
      </c>
      <c r="N1327" t="s">
        <v>365</v>
      </c>
      <c r="O1327" t="s">
        <v>76</v>
      </c>
      <c r="P1327" t="s">
        <v>38</v>
      </c>
      <c r="Q1327" t="s">
        <v>366</v>
      </c>
      <c r="R1327" t="s">
        <v>5626</v>
      </c>
      <c r="S1327">
        <v>5474.82</v>
      </c>
      <c r="T1327" t="s">
        <v>40</v>
      </c>
      <c r="U1327">
        <f>+IF(Tabla1[[#This Row],[MONEDA]]="PEN",Tabla1[[#This Row],[MONTO]],Tabla1[[#This Row],[MONTO]]*3.56)</f>
        <v>5474.82</v>
      </c>
      <c r="X1327" t="s">
        <v>81</v>
      </c>
      <c r="Y1327" t="s">
        <v>42</v>
      </c>
      <c r="Z1327" t="s">
        <v>43</v>
      </c>
      <c r="AA1327" t="s">
        <v>5627</v>
      </c>
      <c r="AB1327" t="s">
        <v>5628</v>
      </c>
      <c r="AC1327" t="s">
        <v>5629</v>
      </c>
      <c r="AD1327" t="s">
        <v>5630</v>
      </c>
      <c r="AE1327">
        <v>5474.82</v>
      </c>
      <c r="AG1327" t="s">
        <v>169</v>
      </c>
    </row>
    <row r="1328" spans="1:33" hidden="1" x14ac:dyDescent="0.25">
      <c r="A1328">
        <v>37926</v>
      </c>
      <c r="B1328" t="s">
        <v>32</v>
      </c>
      <c r="C1328">
        <v>1</v>
      </c>
      <c r="D1328" t="s">
        <v>3001</v>
      </c>
      <c r="E1328" t="s">
        <v>70</v>
      </c>
      <c r="F1328" t="s">
        <v>33</v>
      </c>
      <c r="G1328" t="s">
        <v>71</v>
      </c>
      <c r="H1328" t="s">
        <v>35</v>
      </c>
      <c r="I1328" t="s">
        <v>2992</v>
      </c>
      <c r="J1328" t="s">
        <v>3002</v>
      </c>
      <c r="K1328" t="s">
        <v>36</v>
      </c>
      <c r="L1328" t="s">
        <v>33</v>
      </c>
      <c r="M1328">
        <v>20468530831</v>
      </c>
      <c r="N1328" t="s">
        <v>3003</v>
      </c>
      <c r="O1328" t="s">
        <v>76</v>
      </c>
      <c r="P1328" t="s">
        <v>38</v>
      </c>
      <c r="Q1328">
        <v>1921952340005</v>
      </c>
      <c r="R1328" t="s">
        <v>3004</v>
      </c>
      <c r="S1328">
        <v>507.4</v>
      </c>
      <c r="T1328" t="s">
        <v>40</v>
      </c>
      <c r="U1328">
        <f>+IF(Tabla1[[#This Row],[MONEDA]]="PEN",Tabla1[[#This Row],[MONTO]],Tabla1[[#This Row],[MONTO]]*3.56)</f>
        <v>507.4</v>
      </c>
      <c r="X1328" t="s">
        <v>81</v>
      </c>
      <c r="Y1328" t="s">
        <v>42</v>
      </c>
      <c r="Z1328" t="s">
        <v>82</v>
      </c>
      <c r="AA1328" t="s">
        <v>3005</v>
      </c>
      <c r="AB1328" t="s">
        <v>3006</v>
      </c>
      <c r="AC1328" t="s">
        <v>3007</v>
      </c>
      <c r="AD1328" t="s">
        <v>3008</v>
      </c>
      <c r="AE1328">
        <v>507.4</v>
      </c>
      <c r="AF1328" t="s">
        <v>87</v>
      </c>
      <c r="AG1328" t="s">
        <v>169</v>
      </c>
    </row>
    <row r="1329" spans="1:33" x14ac:dyDescent="0.25">
      <c r="A1329">
        <v>25361</v>
      </c>
      <c r="B1329" t="s">
        <v>32</v>
      </c>
      <c r="C1329">
        <v>1</v>
      </c>
      <c r="D1329" t="s">
        <v>9720</v>
      </c>
      <c r="E1329" t="s">
        <v>70</v>
      </c>
      <c r="F1329" t="s">
        <v>4599</v>
      </c>
      <c r="G1329" t="s">
        <v>4600</v>
      </c>
      <c r="H1329" t="s">
        <v>4601</v>
      </c>
      <c r="I1329" t="s">
        <v>9721</v>
      </c>
      <c r="J1329" t="s">
        <v>9722</v>
      </c>
      <c r="K1329" t="s">
        <v>36</v>
      </c>
      <c r="L1329" t="s">
        <v>33</v>
      </c>
      <c r="M1329">
        <v>20468530831</v>
      </c>
      <c r="N1329" t="s">
        <v>3003</v>
      </c>
      <c r="O1329" t="s">
        <v>4605</v>
      </c>
      <c r="P1329" t="s">
        <v>38</v>
      </c>
      <c r="Q1329">
        <v>1921952340005</v>
      </c>
      <c r="R1329" t="s">
        <v>9723</v>
      </c>
      <c r="S1329">
        <v>177</v>
      </c>
      <c r="T1329" t="s">
        <v>40</v>
      </c>
      <c r="U1329">
        <f>+IF(Tabla1[[#This Row],[MONEDA]]="PEN",Tabla1[[#This Row],[MONTO]],Tabla1[[#This Row],[MONTO]]*3.56)</f>
        <v>177</v>
      </c>
      <c r="X1329" t="s">
        <v>41</v>
      </c>
      <c r="Y1329" t="s">
        <v>42</v>
      </c>
      <c r="Z1329" t="s">
        <v>82</v>
      </c>
      <c r="AA1329" t="s">
        <v>9724</v>
      </c>
      <c r="AB1329" t="s">
        <v>9725</v>
      </c>
      <c r="AC1329" t="s">
        <v>9726</v>
      </c>
      <c r="AD1329" t="s">
        <v>9727</v>
      </c>
      <c r="AE1329">
        <v>177</v>
      </c>
      <c r="AF1329" t="s">
        <v>87</v>
      </c>
      <c r="AG1329" t="s">
        <v>169</v>
      </c>
    </row>
    <row r="1330" spans="1:33" hidden="1" x14ac:dyDescent="0.25">
      <c r="A1330">
        <v>44296</v>
      </c>
      <c r="B1330" t="s">
        <v>32</v>
      </c>
      <c r="C1330">
        <v>1</v>
      </c>
      <c r="D1330" t="s">
        <v>555</v>
      </c>
      <c r="E1330" t="s">
        <v>70</v>
      </c>
      <c r="F1330" t="s">
        <v>33</v>
      </c>
      <c r="G1330" t="s">
        <v>71</v>
      </c>
      <c r="H1330" t="s">
        <v>35</v>
      </c>
      <c r="I1330" t="s">
        <v>555</v>
      </c>
      <c r="J1330" t="s">
        <v>556</v>
      </c>
      <c r="K1330" t="s">
        <v>36</v>
      </c>
      <c r="L1330" t="s">
        <v>33</v>
      </c>
      <c r="M1330">
        <v>20512528458</v>
      </c>
      <c r="N1330" t="s">
        <v>557</v>
      </c>
      <c r="O1330" t="s">
        <v>76</v>
      </c>
      <c r="R1330" t="s">
        <v>558</v>
      </c>
      <c r="S1330">
        <v>12</v>
      </c>
      <c r="T1330" t="s">
        <v>40</v>
      </c>
      <c r="U1330">
        <f>+IF(Tabla1[[#This Row],[MONEDA]]="PEN",Tabla1[[#This Row],[MONTO]],Tabla1[[#This Row],[MONTO]]*3.56)</f>
        <v>12</v>
      </c>
      <c r="V1330" t="s">
        <v>190</v>
      </c>
      <c r="W1330">
        <v>41217</v>
      </c>
      <c r="X1330" t="s">
        <v>81</v>
      </c>
      <c r="Y1330" t="s">
        <v>42</v>
      </c>
      <c r="Z1330" t="s">
        <v>43</v>
      </c>
      <c r="AA1330" t="s">
        <v>559</v>
      </c>
      <c r="AC1330" t="s">
        <v>560</v>
      </c>
      <c r="AD1330" t="s">
        <v>561</v>
      </c>
    </row>
    <row r="1331" spans="1:33" hidden="1" x14ac:dyDescent="0.25">
      <c r="A1331">
        <v>43451</v>
      </c>
      <c r="B1331" t="s">
        <v>32</v>
      </c>
      <c r="C1331">
        <v>1</v>
      </c>
      <c r="D1331" t="s">
        <v>819</v>
      </c>
      <c r="E1331" t="s">
        <v>70</v>
      </c>
      <c r="F1331" t="s">
        <v>33</v>
      </c>
      <c r="G1331" t="s">
        <v>71</v>
      </c>
      <c r="H1331" t="s">
        <v>35</v>
      </c>
      <c r="I1331" t="s">
        <v>819</v>
      </c>
      <c r="J1331" t="s">
        <v>820</v>
      </c>
      <c r="K1331" t="s">
        <v>36</v>
      </c>
      <c r="L1331" t="s">
        <v>33</v>
      </c>
      <c r="M1331">
        <v>20512528458</v>
      </c>
      <c r="N1331" t="s">
        <v>557</v>
      </c>
      <c r="O1331" t="s">
        <v>76</v>
      </c>
      <c r="R1331" t="s">
        <v>821</v>
      </c>
      <c r="S1331">
        <v>14</v>
      </c>
      <c r="T1331" t="s">
        <v>40</v>
      </c>
      <c r="U1331">
        <f>+IF(Tabla1[[#This Row],[MONEDA]]="PEN",Tabla1[[#This Row],[MONTO]],Tabla1[[#This Row],[MONTO]]*3.56)</f>
        <v>14</v>
      </c>
      <c r="V1331" t="s">
        <v>190</v>
      </c>
      <c r="W1331">
        <v>41217</v>
      </c>
      <c r="X1331" t="s">
        <v>81</v>
      </c>
      <c r="Y1331" t="s">
        <v>42</v>
      </c>
      <c r="Z1331" t="s">
        <v>43</v>
      </c>
      <c r="AA1331" t="s">
        <v>822</v>
      </c>
      <c r="AC1331" t="s">
        <v>823</v>
      </c>
      <c r="AD1331" t="s">
        <v>824</v>
      </c>
    </row>
    <row r="1332" spans="1:33" hidden="1" x14ac:dyDescent="0.25">
      <c r="A1332">
        <v>43447</v>
      </c>
      <c r="B1332" t="s">
        <v>32</v>
      </c>
      <c r="C1332">
        <v>1</v>
      </c>
      <c r="D1332" t="s">
        <v>844</v>
      </c>
      <c r="E1332" t="s">
        <v>70</v>
      </c>
      <c r="F1332" t="s">
        <v>33</v>
      </c>
      <c r="G1332" t="s">
        <v>71</v>
      </c>
      <c r="H1332" t="s">
        <v>35</v>
      </c>
      <c r="I1332" t="s">
        <v>844</v>
      </c>
      <c r="J1332" t="s">
        <v>845</v>
      </c>
      <c r="K1332" t="s">
        <v>36</v>
      </c>
      <c r="L1332" t="s">
        <v>33</v>
      </c>
      <c r="M1332">
        <v>20512528458</v>
      </c>
      <c r="N1332" t="s">
        <v>557</v>
      </c>
      <c r="O1332" t="s">
        <v>76</v>
      </c>
      <c r="R1332" t="s">
        <v>846</v>
      </c>
      <c r="S1332">
        <v>35</v>
      </c>
      <c r="T1332" t="s">
        <v>40</v>
      </c>
      <c r="U1332">
        <f>+IF(Tabla1[[#This Row],[MONEDA]]="PEN",Tabla1[[#This Row],[MONTO]],Tabla1[[#This Row],[MONTO]]*3.56)</f>
        <v>35</v>
      </c>
      <c r="V1332" t="s">
        <v>190</v>
      </c>
      <c r="W1332">
        <v>41217</v>
      </c>
      <c r="X1332" t="s">
        <v>81</v>
      </c>
      <c r="Y1332" t="s">
        <v>42</v>
      </c>
      <c r="Z1332" t="s">
        <v>43</v>
      </c>
      <c r="AA1332" t="s">
        <v>847</v>
      </c>
      <c r="AC1332" t="s">
        <v>848</v>
      </c>
      <c r="AD1332" t="s">
        <v>849</v>
      </c>
    </row>
    <row r="1333" spans="1:33" hidden="1" x14ac:dyDescent="0.25">
      <c r="A1333">
        <v>40814</v>
      </c>
      <c r="B1333" t="s">
        <v>32</v>
      </c>
      <c r="C1333">
        <v>1</v>
      </c>
      <c r="D1333" t="s">
        <v>1936</v>
      </c>
      <c r="E1333" t="s">
        <v>70</v>
      </c>
      <c r="F1333" t="s">
        <v>33</v>
      </c>
      <c r="G1333" t="s">
        <v>71</v>
      </c>
      <c r="H1333" t="s">
        <v>35</v>
      </c>
      <c r="I1333" t="s">
        <v>1936</v>
      </c>
      <c r="J1333" t="s">
        <v>1937</v>
      </c>
      <c r="K1333" t="s">
        <v>36</v>
      </c>
      <c r="L1333" t="s">
        <v>33</v>
      </c>
      <c r="M1333">
        <v>20512528458</v>
      </c>
      <c r="N1333" t="s">
        <v>557</v>
      </c>
      <c r="O1333" t="s">
        <v>76</v>
      </c>
      <c r="R1333" t="s">
        <v>1943</v>
      </c>
      <c r="S1333">
        <v>25</v>
      </c>
      <c r="T1333" t="s">
        <v>40</v>
      </c>
      <c r="U1333">
        <f>+IF(Tabla1[[#This Row],[MONEDA]]="PEN",Tabla1[[#This Row],[MONTO]],Tabla1[[#This Row],[MONTO]]*3.56)</f>
        <v>25</v>
      </c>
      <c r="V1333" t="s">
        <v>190</v>
      </c>
      <c r="W1333">
        <v>38906</v>
      </c>
      <c r="X1333" t="s">
        <v>41</v>
      </c>
      <c r="Y1333" t="s">
        <v>42</v>
      </c>
      <c r="Z1333" t="s">
        <v>43</v>
      </c>
      <c r="AA1333" t="s">
        <v>1944</v>
      </c>
      <c r="AC1333" t="s">
        <v>1945</v>
      </c>
      <c r="AD1333" t="s">
        <v>1946</v>
      </c>
    </row>
    <row r="1334" spans="1:33" hidden="1" x14ac:dyDescent="0.25">
      <c r="A1334">
        <v>40703</v>
      </c>
      <c r="B1334" t="s">
        <v>32</v>
      </c>
      <c r="C1334">
        <v>1</v>
      </c>
      <c r="D1334" t="s">
        <v>1975</v>
      </c>
      <c r="E1334" t="s">
        <v>70</v>
      </c>
      <c r="F1334" t="s">
        <v>33</v>
      </c>
      <c r="G1334" t="s">
        <v>71</v>
      </c>
      <c r="H1334" t="s">
        <v>35</v>
      </c>
      <c r="I1334" t="s">
        <v>1975</v>
      </c>
      <c r="J1334" t="s">
        <v>1981</v>
      </c>
      <c r="K1334" t="s">
        <v>36</v>
      </c>
      <c r="L1334" t="s">
        <v>33</v>
      </c>
      <c r="M1334">
        <v>20512528458</v>
      </c>
      <c r="N1334" t="s">
        <v>557</v>
      </c>
      <c r="O1334" t="s">
        <v>76</v>
      </c>
      <c r="R1334" t="s">
        <v>1982</v>
      </c>
      <c r="S1334">
        <v>82</v>
      </c>
      <c r="T1334" t="s">
        <v>40</v>
      </c>
      <c r="U1334">
        <f>+IF(Tabla1[[#This Row],[MONEDA]]="PEN",Tabla1[[#This Row],[MONTO]],Tabla1[[#This Row],[MONTO]]*3.56)</f>
        <v>82</v>
      </c>
      <c r="V1334" t="s">
        <v>190</v>
      </c>
      <c r="W1334">
        <v>38906</v>
      </c>
      <c r="X1334" t="s">
        <v>41</v>
      </c>
      <c r="Y1334" t="s">
        <v>42</v>
      </c>
      <c r="Z1334" t="s">
        <v>43</v>
      </c>
      <c r="AA1334" t="s">
        <v>1983</v>
      </c>
      <c r="AC1334" t="s">
        <v>1984</v>
      </c>
      <c r="AD1334" t="s">
        <v>1985</v>
      </c>
    </row>
    <row r="1335" spans="1:33" hidden="1" x14ac:dyDescent="0.25">
      <c r="A1335">
        <v>38401</v>
      </c>
      <c r="B1335" t="s">
        <v>32</v>
      </c>
      <c r="C1335">
        <v>1</v>
      </c>
      <c r="D1335" t="s">
        <v>2921</v>
      </c>
      <c r="E1335" t="s">
        <v>70</v>
      </c>
      <c r="F1335" t="s">
        <v>33</v>
      </c>
      <c r="G1335" t="s">
        <v>71</v>
      </c>
      <c r="H1335" t="s">
        <v>35</v>
      </c>
      <c r="I1335" t="s">
        <v>2921</v>
      </c>
      <c r="J1335" t="s">
        <v>2922</v>
      </c>
      <c r="K1335" t="s">
        <v>36</v>
      </c>
      <c r="L1335" t="s">
        <v>33</v>
      </c>
      <c r="M1335">
        <v>20512528458</v>
      </c>
      <c r="N1335" t="s">
        <v>557</v>
      </c>
      <c r="O1335" t="s">
        <v>76</v>
      </c>
      <c r="R1335" t="s">
        <v>2837</v>
      </c>
      <c r="S1335">
        <v>20</v>
      </c>
      <c r="T1335" t="s">
        <v>40</v>
      </c>
      <c r="U1335">
        <f>+IF(Tabla1[[#This Row],[MONEDA]]="PEN",Tabla1[[#This Row],[MONTO]],Tabla1[[#This Row],[MONTO]]*3.56)</f>
        <v>20</v>
      </c>
      <c r="V1335" t="s">
        <v>190</v>
      </c>
      <c r="W1335">
        <v>34656</v>
      </c>
      <c r="X1335" t="s">
        <v>81</v>
      </c>
      <c r="Y1335" t="s">
        <v>42</v>
      </c>
      <c r="Z1335" t="s">
        <v>43</v>
      </c>
      <c r="AA1335" t="s">
        <v>2923</v>
      </c>
      <c r="AC1335" t="s">
        <v>2924</v>
      </c>
      <c r="AD1335" t="s">
        <v>2925</v>
      </c>
    </row>
    <row r="1336" spans="1:33" hidden="1" x14ac:dyDescent="0.25">
      <c r="A1336">
        <v>31185</v>
      </c>
      <c r="B1336" t="s">
        <v>32</v>
      </c>
      <c r="C1336">
        <v>1</v>
      </c>
      <c r="D1336" t="s">
        <v>6073</v>
      </c>
      <c r="E1336" t="s">
        <v>70</v>
      </c>
      <c r="F1336" t="s">
        <v>33</v>
      </c>
      <c r="G1336" t="s">
        <v>71</v>
      </c>
      <c r="H1336" t="s">
        <v>72</v>
      </c>
      <c r="I1336" t="s">
        <v>6074</v>
      </c>
      <c r="J1336" t="s">
        <v>6075</v>
      </c>
      <c r="K1336" t="s">
        <v>36</v>
      </c>
      <c r="L1336" t="s">
        <v>33</v>
      </c>
      <c r="M1336">
        <v>20512528458</v>
      </c>
      <c r="N1336" t="s">
        <v>557</v>
      </c>
      <c r="O1336" t="s">
        <v>76</v>
      </c>
      <c r="R1336" t="s">
        <v>2837</v>
      </c>
      <c r="S1336">
        <v>43</v>
      </c>
      <c r="T1336" t="s">
        <v>40</v>
      </c>
      <c r="U1336">
        <f>+IF(Tabla1[[#This Row],[MONEDA]]="PEN",Tabla1[[#This Row],[MONTO]],Tabla1[[#This Row],[MONTO]]*3.56)</f>
        <v>43</v>
      </c>
      <c r="V1336" t="s">
        <v>190</v>
      </c>
      <c r="W1336">
        <v>29024</v>
      </c>
      <c r="X1336" t="s">
        <v>81</v>
      </c>
      <c r="Y1336" t="s">
        <v>42</v>
      </c>
      <c r="Z1336" t="s">
        <v>43</v>
      </c>
      <c r="AA1336" t="s">
        <v>6076</v>
      </c>
      <c r="AC1336" t="s">
        <v>6077</v>
      </c>
      <c r="AD1336" t="s">
        <v>6078</v>
      </c>
    </row>
    <row r="1337" spans="1:33" hidden="1" x14ac:dyDescent="0.25">
      <c r="A1337">
        <v>30095</v>
      </c>
      <c r="B1337" t="s">
        <v>32</v>
      </c>
      <c r="C1337">
        <v>1</v>
      </c>
      <c r="D1337" t="s">
        <v>6437</v>
      </c>
      <c r="E1337" t="s">
        <v>70</v>
      </c>
      <c r="F1337" t="s">
        <v>33</v>
      </c>
      <c r="G1337" t="s">
        <v>71</v>
      </c>
      <c r="H1337" t="s">
        <v>72</v>
      </c>
      <c r="I1337" t="s">
        <v>6438</v>
      </c>
      <c r="J1337" t="s">
        <v>6439</v>
      </c>
      <c r="K1337" t="s">
        <v>36</v>
      </c>
      <c r="L1337" t="s">
        <v>33</v>
      </c>
      <c r="M1337">
        <v>20512528458</v>
      </c>
      <c r="N1337" t="s">
        <v>557</v>
      </c>
      <c r="O1337" t="s">
        <v>76</v>
      </c>
      <c r="R1337" t="s">
        <v>6440</v>
      </c>
      <c r="S1337">
        <v>18</v>
      </c>
      <c r="T1337" t="s">
        <v>40</v>
      </c>
      <c r="U1337">
        <f>+IF(Tabla1[[#This Row],[MONEDA]]="PEN",Tabla1[[#This Row],[MONTO]],Tabla1[[#This Row],[MONTO]]*3.56)</f>
        <v>18</v>
      </c>
      <c r="V1337" t="s">
        <v>190</v>
      </c>
      <c r="W1337">
        <v>28316</v>
      </c>
      <c r="X1337" t="s">
        <v>81</v>
      </c>
      <c r="Y1337" t="s">
        <v>42</v>
      </c>
      <c r="Z1337" t="s">
        <v>43</v>
      </c>
      <c r="AA1337" t="s">
        <v>6441</v>
      </c>
      <c r="AC1337" t="s">
        <v>6442</v>
      </c>
      <c r="AD1337" t="s">
        <v>6443</v>
      </c>
    </row>
    <row r="1338" spans="1:33" hidden="1" x14ac:dyDescent="0.25">
      <c r="A1338">
        <v>29837</v>
      </c>
      <c r="B1338" t="s">
        <v>32</v>
      </c>
      <c r="C1338">
        <v>1</v>
      </c>
      <c r="D1338" t="s">
        <v>6635</v>
      </c>
      <c r="E1338" t="s">
        <v>70</v>
      </c>
      <c r="F1338" t="s">
        <v>33</v>
      </c>
      <c r="G1338" t="s">
        <v>71</v>
      </c>
      <c r="H1338" t="s">
        <v>72</v>
      </c>
      <c r="I1338" t="s">
        <v>6636</v>
      </c>
      <c r="J1338" t="s">
        <v>6637</v>
      </c>
      <c r="K1338" t="s">
        <v>36</v>
      </c>
      <c r="L1338" t="s">
        <v>33</v>
      </c>
      <c r="M1338">
        <v>20512528458</v>
      </c>
      <c r="N1338" t="s">
        <v>557</v>
      </c>
      <c r="O1338" t="s">
        <v>76</v>
      </c>
      <c r="R1338" t="s">
        <v>6638</v>
      </c>
      <c r="S1338">
        <v>24</v>
      </c>
      <c r="T1338" t="s">
        <v>40</v>
      </c>
      <c r="U1338">
        <f>+IF(Tabla1[[#This Row],[MONEDA]]="PEN",Tabla1[[#This Row],[MONTO]],Tabla1[[#This Row],[MONTO]]*3.56)</f>
        <v>24</v>
      </c>
      <c r="V1338" t="s">
        <v>190</v>
      </c>
      <c r="W1338">
        <v>28316</v>
      </c>
      <c r="X1338" t="s">
        <v>41</v>
      </c>
      <c r="Y1338" t="s">
        <v>42</v>
      </c>
      <c r="Z1338" t="s">
        <v>43</v>
      </c>
      <c r="AA1338" t="s">
        <v>6588</v>
      </c>
      <c r="AC1338" t="s">
        <v>6639</v>
      </c>
      <c r="AD1338" t="s">
        <v>6640</v>
      </c>
    </row>
    <row r="1339" spans="1:33" hidden="1" x14ac:dyDescent="0.25">
      <c r="A1339">
        <v>29049</v>
      </c>
      <c r="B1339" t="s">
        <v>32</v>
      </c>
      <c r="C1339">
        <v>2</v>
      </c>
      <c r="D1339" t="s">
        <v>7243</v>
      </c>
      <c r="E1339" t="s">
        <v>70</v>
      </c>
      <c r="F1339" t="s">
        <v>33</v>
      </c>
      <c r="G1339" t="s">
        <v>71</v>
      </c>
      <c r="H1339" t="s">
        <v>72</v>
      </c>
      <c r="I1339" t="s">
        <v>7244</v>
      </c>
      <c r="J1339" t="s">
        <v>7264</v>
      </c>
      <c r="K1339" t="s">
        <v>36</v>
      </c>
      <c r="L1339" t="s">
        <v>33</v>
      </c>
      <c r="M1339">
        <v>20512528458</v>
      </c>
      <c r="N1339" t="s">
        <v>557</v>
      </c>
      <c r="O1339" t="s">
        <v>76</v>
      </c>
      <c r="R1339" t="s">
        <v>7265</v>
      </c>
      <c r="S1339">
        <v>120</v>
      </c>
      <c r="T1339" t="s">
        <v>40</v>
      </c>
      <c r="U1339">
        <f>+IF(Tabla1[[#This Row],[MONEDA]]="PEN",Tabla1[[#This Row],[MONTO]],Tabla1[[#This Row],[MONTO]]*3.56)</f>
        <v>120</v>
      </c>
      <c r="V1339" t="s">
        <v>190</v>
      </c>
      <c r="W1339">
        <v>27036</v>
      </c>
      <c r="X1339" t="s">
        <v>41</v>
      </c>
      <c r="Y1339" t="s">
        <v>42</v>
      </c>
      <c r="Z1339" t="s">
        <v>43</v>
      </c>
      <c r="AA1339" t="s">
        <v>7261</v>
      </c>
      <c r="AC1339" t="s">
        <v>7266</v>
      </c>
      <c r="AD1339" t="s">
        <v>7267</v>
      </c>
    </row>
    <row r="1340" spans="1:33" hidden="1" x14ac:dyDescent="0.25">
      <c r="A1340">
        <v>29042</v>
      </c>
      <c r="B1340" t="s">
        <v>32</v>
      </c>
      <c r="C1340">
        <v>2</v>
      </c>
      <c r="D1340" t="s">
        <v>7273</v>
      </c>
      <c r="E1340" t="s">
        <v>70</v>
      </c>
      <c r="F1340" t="s">
        <v>33</v>
      </c>
      <c r="G1340" t="s">
        <v>71</v>
      </c>
      <c r="H1340" t="s">
        <v>72</v>
      </c>
      <c r="I1340" t="s">
        <v>7274</v>
      </c>
      <c r="J1340" t="s">
        <v>7285</v>
      </c>
      <c r="K1340" t="s">
        <v>36</v>
      </c>
      <c r="L1340" t="s">
        <v>33</v>
      </c>
      <c r="M1340">
        <v>20512528458</v>
      </c>
      <c r="N1340" t="s">
        <v>557</v>
      </c>
      <c r="O1340" t="s">
        <v>76</v>
      </c>
      <c r="R1340" t="s">
        <v>7286</v>
      </c>
      <c r="S1340">
        <v>327</v>
      </c>
      <c r="T1340" t="s">
        <v>40</v>
      </c>
      <c r="U1340">
        <f>+IF(Tabla1[[#This Row],[MONEDA]]="PEN",Tabla1[[#This Row],[MONTO]],Tabla1[[#This Row],[MONTO]]*3.56)</f>
        <v>327</v>
      </c>
      <c r="V1340" t="s">
        <v>190</v>
      </c>
      <c r="W1340">
        <v>27036</v>
      </c>
      <c r="X1340" t="s">
        <v>81</v>
      </c>
      <c r="Y1340" t="s">
        <v>42</v>
      </c>
      <c r="Z1340" t="s">
        <v>43</v>
      </c>
      <c r="AA1340" t="s">
        <v>7287</v>
      </c>
      <c r="AC1340" t="s">
        <v>7288</v>
      </c>
      <c r="AD1340" t="s">
        <v>7289</v>
      </c>
    </row>
    <row r="1341" spans="1:33" hidden="1" x14ac:dyDescent="0.25">
      <c r="A1341">
        <v>29044</v>
      </c>
      <c r="B1341" t="s">
        <v>32</v>
      </c>
      <c r="C1341">
        <v>2</v>
      </c>
      <c r="D1341" t="s">
        <v>7273</v>
      </c>
      <c r="E1341" t="s">
        <v>70</v>
      </c>
      <c r="F1341" t="s">
        <v>33</v>
      </c>
      <c r="G1341" t="s">
        <v>71</v>
      </c>
      <c r="H1341" t="s">
        <v>72</v>
      </c>
      <c r="I1341" t="s">
        <v>7274</v>
      </c>
      <c r="J1341" t="s">
        <v>7295</v>
      </c>
      <c r="K1341" t="s">
        <v>36</v>
      </c>
      <c r="L1341" t="s">
        <v>33</v>
      </c>
      <c r="M1341">
        <v>20512528458</v>
      </c>
      <c r="N1341" t="s">
        <v>557</v>
      </c>
      <c r="O1341" t="s">
        <v>76</v>
      </c>
      <c r="R1341" t="s">
        <v>7296</v>
      </c>
      <c r="S1341">
        <v>155</v>
      </c>
      <c r="T1341" t="s">
        <v>40</v>
      </c>
      <c r="U1341">
        <f>+IF(Tabla1[[#This Row],[MONEDA]]="PEN",Tabla1[[#This Row],[MONTO]],Tabla1[[#This Row],[MONTO]]*3.56)</f>
        <v>155</v>
      </c>
      <c r="V1341" t="s">
        <v>190</v>
      </c>
      <c r="W1341">
        <v>27036</v>
      </c>
      <c r="X1341" t="s">
        <v>81</v>
      </c>
      <c r="Y1341" t="s">
        <v>42</v>
      </c>
      <c r="Z1341" t="s">
        <v>43</v>
      </c>
      <c r="AA1341" t="s">
        <v>7292</v>
      </c>
      <c r="AC1341" t="s">
        <v>7297</v>
      </c>
      <c r="AD1341" t="s">
        <v>7298</v>
      </c>
    </row>
    <row r="1342" spans="1:33" hidden="1" x14ac:dyDescent="0.25">
      <c r="A1342">
        <v>26856</v>
      </c>
      <c r="B1342" t="s">
        <v>32</v>
      </c>
      <c r="C1342">
        <v>2</v>
      </c>
      <c r="D1342" t="s">
        <v>8853</v>
      </c>
      <c r="E1342" t="s">
        <v>70</v>
      </c>
      <c r="F1342" t="s">
        <v>33</v>
      </c>
      <c r="G1342" t="s">
        <v>71</v>
      </c>
      <c r="H1342" t="s">
        <v>72</v>
      </c>
      <c r="I1342" t="s">
        <v>8854</v>
      </c>
      <c r="J1342" t="s">
        <v>8855</v>
      </c>
      <c r="K1342" t="s">
        <v>36</v>
      </c>
      <c r="L1342" t="s">
        <v>33</v>
      </c>
      <c r="M1342">
        <v>20512528458</v>
      </c>
      <c r="N1342" t="s">
        <v>557</v>
      </c>
      <c r="O1342" t="s">
        <v>76</v>
      </c>
      <c r="R1342" t="s">
        <v>8856</v>
      </c>
      <c r="S1342">
        <v>29</v>
      </c>
      <c r="T1342" t="s">
        <v>40</v>
      </c>
      <c r="U1342">
        <f>+IF(Tabla1[[#This Row],[MONEDA]]="PEN",Tabla1[[#This Row],[MONTO]],Tabla1[[#This Row],[MONTO]]*3.56)</f>
        <v>29</v>
      </c>
      <c r="V1342" t="s">
        <v>190</v>
      </c>
      <c r="W1342">
        <v>26301</v>
      </c>
      <c r="X1342" t="s">
        <v>81</v>
      </c>
      <c r="Y1342" t="s">
        <v>42</v>
      </c>
      <c r="Z1342" t="s">
        <v>43</v>
      </c>
      <c r="AA1342" t="s">
        <v>8857</v>
      </c>
      <c r="AC1342" t="s">
        <v>8858</v>
      </c>
      <c r="AD1342" t="s">
        <v>8859</v>
      </c>
    </row>
    <row r="1343" spans="1:33" hidden="1" x14ac:dyDescent="0.25">
      <c r="A1343">
        <v>26838</v>
      </c>
      <c r="B1343" t="s">
        <v>32</v>
      </c>
      <c r="C1343">
        <v>2</v>
      </c>
      <c r="D1343" t="s">
        <v>8914</v>
      </c>
      <c r="E1343" t="s">
        <v>70</v>
      </c>
      <c r="F1343" t="s">
        <v>33</v>
      </c>
      <c r="G1343" t="s">
        <v>71</v>
      </c>
      <c r="H1343" t="s">
        <v>72</v>
      </c>
      <c r="I1343" t="s">
        <v>8915</v>
      </c>
      <c r="J1343" t="s">
        <v>8916</v>
      </c>
      <c r="K1343" t="s">
        <v>36</v>
      </c>
      <c r="L1343" t="s">
        <v>33</v>
      </c>
      <c r="M1343">
        <v>20512528458</v>
      </c>
      <c r="N1343" t="s">
        <v>557</v>
      </c>
      <c r="O1343" t="s">
        <v>76</v>
      </c>
      <c r="R1343" t="s">
        <v>8917</v>
      </c>
      <c r="S1343">
        <v>508</v>
      </c>
      <c r="T1343" t="s">
        <v>40</v>
      </c>
      <c r="U1343">
        <f>+IF(Tabla1[[#This Row],[MONEDA]]="PEN",Tabla1[[#This Row],[MONTO]],Tabla1[[#This Row],[MONTO]]*3.56)</f>
        <v>508</v>
      </c>
      <c r="V1343" t="s">
        <v>190</v>
      </c>
      <c r="W1343">
        <v>26301</v>
      </c>
      <c r="X1343" t="s">
        <v>81</v>
      </c>
      <c r="Y1343" t="s">
        <v>42</v>
      </c>
      <c r="Z1343" t="s">
        <v>43</v>
      </c>
      <c r="AA1343" t="s">
        <v>8903</v>
      </c>
      <c r="AC1343" t="s">
        <v>8918</v>
      </c>
      <c r="AD1343" t="s">
        <v>8919</v>
      </c>
    </row>
    <row r="1344" spans="1:33" hidden="1" x14ac:dyDescent="0.25">
      <c r="A1344">
        <v>26727</v>
      </c>
      <c r="B1344" t="s">
        <v>32</v>
      </c>
      <c r="C1344">
        <v>1</v>
      </c>
      <c r="D1344" t="s">
        <v>9147</v>
      </c>
      <c r="E1344" t="s">
        <v>70</v>
      </c>
      <c r="F1344" t="s">
        <v>33</v>
      </c>
      <c r="G1344" t="s">
        <v>71</v>
      </c>
      <c r="H1344" t="s">
        <v>72</v>
      </c>
      <c r="I1344" t="s">
        <v>9148</v>
      </c>
      <c r="J1344" t="s">
        <v>9149</v>
      </c>
      <c r="K1344" t="s">
        <v>36</v>
      </c>
      <c r="L1344" t="s">
        <v>33</v>
      </c>
      <c r="M1344">
        <v>20512528458</v>
      </c>
      <c r="N1344" t="s">
        <v>557</v>
      </c>
      <c r="O1344" t="s">
        <v>76</v>
      </c>
      <c r="R1344" t="s">
        <v>9150</v>
      </c>
      <c r="S1344">
        <v>18</v>
      </c>
      <c r="T1344" t="s">
        <v>40</v>
      </c>
      <c r="U1344">
        <f>+IF(Tabla1[[#This Row],[MONEDA]]="PEN",Tabla1[[#This Row],[MONTO]],Tabla1[[#This Row],[MONTO]]*3.56)</f>
        <v>18</v>
      </c>
      <c r="V1344" t="s">
        <v>190</v>
      </c>
      <c r="W1344">
        <v>25908</v>
      </c>
      <c r="X1344" t="s">
        <v>81</v>
      </c>
      <c r="Y1344" t="s">
        <v>42</v>
      </c>
      <c r="Z1344" t="s">
        <v>82</v>
      </c>
      <c r="AA1344" t="s">
        <v>9151</v>
      </c>
      <c r="AC1344" t="s">
        <v>9152</v>
      </c>
      <c r="AD1344" t="s">
        <v>9153</v>
      </c>
    </row>
    <row r="1345" spans="1:33" hidden="1" x14ac:dyDescent="0.25">
      <c r="A1345">
        <v>26725</v>
      </c>
      <c r="B1345" t="s">
        <v>32</v>
      </c>
      <c r="C1345">
        <v>1</v>
      </c>
      <c r="D1345" t="s">
        <v>9160</v>
      </c>
      <c r="E1345" t="s">
        <v>70</v>
      </c>
      <c r="F1345" t="s">
        <v>33</v>
      </c>
      <c r="G1345" t="s">
        <v>71</v>
      </c>
      <c r="H1345" t="s">
        <v>72</v>
      </c>
      <c r="I1345" t="s">
        <v>9161</v>
      </c>
      <c r="J1345" t="s">
        <v>9162</v>
      </c>
      <c r="K1345" t="s">
        <v>36</v>
      </c>
      <c r="L1345" t="s">
        <v>33</v>
      </c>
      <c r="M1345">
        <v>20512528458</v>
      </c>
      <c r="N1345" t="s">
        <v>557</v>
      </c>
      <c r="O1345" t="s">
        <v>76</v>
      </c>
      <c r="R1345" t="s">
        <v>9150</v>
      </c>
      <c r="S1345">
        <v>62</v>
      </c>
      <c r="T1345" t="s">
        <v>40</v>
      </c>
      <c r="U1345">
        <f>+IF(Tabla1[[#This Row],[MONEDA]]="PEN",Tabla1[[#This Row],[MONTO]],Tabla1[[#This Row],[MONTO]]*3.56)</f>
        <v>62</v>
      </c>
      <c r="V1345" t="s">
        <v>190</v>
      </c>
      <c r="W1345">
        <v>25908</v>
      </c>
      <c r="X1345" t="s">
        <v>81</v>
      </c>
      <c r="Y1345" t="s">
        <v>42</v>
      </c>
      <c r="Z1345" t="s">
        <v>82</v>
      </c>
      <c r="AA1345" t="s">
        <v>9157</v>
      </c>
      <c r="AC1345" t="s">
        <v>9163</v>
      </c>
      <c r="AD1345" t="s">
        <v>9164</v>
      </c>
    </row>
    <row r="1346" spans="1:33" hidden="1" x14ac:dyDescent="0.25">
      <c r="A1346">
        <v>25378</v>
      </c>
      <c r="B1346" t="s">
        <v>32</v>
      </c>
      <c r="C1346">
        <v>1</v>
      </c>
      <c r="D1346" t="s">
        <v>9867</v>
      </c>
      <c r="E1346" t="s">
        <v>70</v>
      </c>
      <c r="F1346" t="s">
        <v>33</v>
      </c>
      <c r="G1346" t="s">
        <v>71</v>
      </c>
      <c r="H1346" t="s">
        <v>72</v>
      </c>
      <c r="I1346" t="s">
        <v>9868</v>
      </c>
      <c r="J1346" t="s">
        <v>9869</v>
      </c>
      <c r="K1346" t="s">
        <v>36</v>
      </c>
      <c r="L1346" t="s">
        <v>33</v>
      </c>
      <c r="M1346">
        <v>20512528458</v>
      </c>
      <c r="N1346" t="s">
        <v>557</v>
      </c>
      <c r="O1346" t="s">
        <v>76</v>
      </c>
      <c r="R1346" t="s">
        <v>9870</v>
      </c>
      <c r="S1346">
        <v>44</v>
      </c>
      <c r="T1346" t="s">
        <v>40</v>
      </c>
      <c r="U1346">
        <f>+IF(Tabla1[[#This Row],[MONEDA]]="PEN",Tabla1[[#This Row],[MONTO]],Tabla1[[#This Row],[MONTO]]*3.56)</f>
        <v>44</v>
      </c>
      <c r="V1346" t="s">
        <v>190</v>
      </c>
      <c r="W1346">
        <v>25256</v>
      </c>
      <c r="X1346" t="s">
        <v>81</v>
      </c>
      <c r="Y1346" t="s">
        <v>42</v>
      </c>
      <c r="Z1346" t="s">
        <v>82</v>
      </c>
      <c r="AA1346" t="s">
        <v>9871</v>
      </c>
      <c r="AD1346" t="s">
        <v>9872</v>
      </c>
    </row>
    <row r="1347" spans="1:33" hidden="1" x14ac:dyDescent="0.25">
      <c r="A1347">
        <v>23624</v>
      </c>
      <c r="B1347" t="s">
        <v>32</v>
      </c>
      <c r="C1347">
        <v>2</v>
      </c>
      <c r="D1347" t="s">
        <v>11111</v>
      </c>
      <c r="E1347" t="s">
        <v>70</v>
      </c>
      <c r="F1347" t="s">
        <v>33</v>
      </c>
      <c r="G1347" t="s">
        <v>71</v>
      </c>
      <c r="H1347" t="s">
        <v>72</v>
      </c>
      <c r="I1347" t="s">
        <v>11112</v>
      </c>
      <c r="J1347" t="s">
        <v>11113</v>
      </c>
      <c r="K1347" t="s">
        <v>36</v>
      </c>
      <c r="L1347" t="s">
        <v>33</v>
      </c>
      <c r="M1347">
        <v>20512528458</v>
      </c>
      <c r="N1347" t="s">
        <v>557</v>
      </c>
      <c r="O1347" t="s">
        <v>76</v>
      </c>
      <c r="R1347" t="s">
        <v>11114</v>
      </c>
      <c r="S1347">
        <v>18</v>
      </c>
      <c r="T1347" t="s">
        <v>40</v>
      </c>
      <c r="U1347">
        <f>+IF(Tabla1[[#This Row],[MONEDA]]="PEN",Tabla1[[#This Row],[MONTO]],Tabla1[[#This Row],[MONTO]]*3.56)</f>
        <v>18</v>
      </c>
      <c r="V1347" t="s">
        <v>190</v>
      </c>
      <c r="W1347">
        <v>21454</v>
      </c>
      <c r="X1347" t="s">
        <v>81</v>
      </c>
      <c r="Y1347" t="s">
        <v>42</v>
      </c>
      <c r="Z1347" t="s">
        <v>82</v>
      </c>
      <c r="AA1347" t="s">
        <v>11115</v>
      </c>
      <c r="AC1347" t="s">
        <v>11116</v>
      </c>
      <c r="AD1347" t="s">
        <v>11117</v>
      </c>
    </row>
    <row r="1348" spans="1:33" hidden="1" x14ac:dyDescent="0.25">
      <c r="A1348">
        <v>23618</v>
      </c>
      <c r="B1348" t="s">
        <v>32</v>
      </c>
      <c r="C1348">
        <v>2</v>
      </c>
      <c r="D1348" t="s">
        <v>11132</v>
      </c>
      <c r="E1348" t="s">
        <v>70</v>
      </c>
      <c r="F1348" t="s">
        <v>33</v>
      </c>
      <c r="G1348" t="s">
        <v>71</v>
      </c>
      <c r="H1348" t="s">
        <v>72</v>
      </c>
      <c r="I1348" t="s">
        <v>11133</v>
      </c>
      <c r="J1348" t="s">
        <v>11139</v>
      </c>
      <c r="K1348" t="s">
        <v>36</v>
      </c>
      <c r="L1348" t="s">
        <v>33</v>
      </c>
      <c r="M1348">
        <v>20512528458</v>
      </c>
      <c r="N1348" t="s">
        <v>557</v>
      </c>
      <c r="O1348" t="s">
        <v>76</v>
      </c>
      <c r="R1348" t="s">
        <v>11114</v>
      </c>
      <c r="S1348">
        <v>176</v>
      </c>
      <c r="T1348" t="s">
        <v>40</v>
      </c>
      <c r="U1348">
        <f>+IF(Tabla1[[#This Row],[MONEDA]]="PEN",Tabla1[[#This Row],[MONTO]],Tabla1[[#This Row],[MONTO]]*3.56)</f>
        <v>176</v>
      </c>
      <c r="V1348" t="s">
        <v>190</v>
      </c>
      <c r="W1348">
        <v>21454</v>
      </c>
      <c r="X1348" t="s">
        <v>81</v>
      </c>
      <c r="Y1348" t="s">
        <v>42</v>
      </c>
      <c r="Z1348" t="s">
        <v>82</v>
      </c>
      <c r="AA1348" t="s">
        <v>11140</v>
      </c>
      <c r="AC1348" t="s">
        <v>11141</v>
      </c>
      <c r="AD1348" t="s">
        <v>11142</v>
      </c>
    </row>
    <row r="1349" spans="1:33" hidden="1" x14ac:dyDescent="0.25">
      <c r="A1349">
        <v>23622</v>
      </c>
      <c r="B1349" t="s">
        <v>32</v>
      </c>
      <c r="C1349">
        <v>2</v>
      </c>
      <c r="D1349" t="s">
        <v>11132</v>
      </c>
      <c r="E1349" t="s">
        <v>70</v>
      </c>
      <c r="F1349" t="s">
        <v>33</v>
      </c>
      <c r="G1349" t="s">
        <v>71</v>
      </c>
      <c r="H1349" t="s">
        <v>72</v>
      </c>
      <c r="I1349" t="s">
        <v>11133</v>
      </c>
      <c r="J1349" t="s">
        <v>11154</v>
      </c>
      <c r="K1349" t="s">
        <v>36</v>
      </c>
      <c r="L1349" t="s">
        <v>33</v>
      </c>
      <c r="M1349">
        <v>20512528458</v>
      </c>
      <c r="N1349" t="s">
        <v>557</v>
      </c>
      <c r="O1349" t="s">
        <v>76</v>
      </c>
      <c r="R1349" t="s">
        <v>11114</v>
      </c>
      <c r="S1349">
        <v>15</v>
      </c>
      <c r="T1349" t="s">
        <v>40</v>
      </c>
      <c r="U1349">
        <f>+IF(Tabla1[[#This Row],[MONEDA]]="PEN",Tabla1[[#This Row],[MONTO]],Tabla1[[#This Row],[MONTO]]*3.56)</f>
        <v>15</v>
      </c>
      <c r="V1349" t="s">
        <v>190</v>
      </c>
      <c r="W1349">
        <v>21454</v>
      </c>
      <c r="X1349" t="s">
        <v>81</v>
      </c>
      <c r="Y1349" t="s">
        <v>42</v>
      </c>
      <c r="Z1349" t="s">
        <v>82</v>
      </c>
      <c r="AA1349" t="s">
        <v>11155</v>
      </c>
      <c r="AC1349" t="s">
        <v>11156</v>
      </c>
      <c r="AD1349" t="s">
        <v>11157</v>
      </c>
    </row>
    <row r="1350" spans="1:33" hidden="1" x14ac:dyDescent="0.25">
      <c r="A1350">
        <v>26866</v>
      </c>
      <c r="B1350" t="s">
        <v>32</v>
      </c>
      <c r="C1350">
        <v>1</v>
      </c>
      <c r="D1350" t="s">
        <v>8788</v>
      </c>
      <c r="E1350" t="s">
        <v>70</v>
      </c>
      <c r="F1350" t="s">
        <v>33</v>
      </c>
      <c r="G1350" t="s">
        <v>71</v>
      </c>
      <c r="H1350" t="s">
        <v>72</v>
      </c>
      <c r="I1350" t="s">
        <v>8774</v>
      </c>
      <c r="J1350" t="s">
        <v>8789</v>
      </c>
      <c r="K1350" t="s">
        <v>36</v>
      </c>
      <c r="L1350" t="s">
        <v>33</v>
      </c>
      <c r="M1350">
        <v>20427862331</v>
      </c>
      <c r="N1350" t="s">
        <v>8723</v>
      </c>
      <c r="O1350" t="s">
        <v>76</v>
      </c>
      <c r="P1350" t="s">
        <v>77</v>
      </c>
      <c r="Q1350" t="s">
        <v>8724</v>
      </c>
      <c r="R1350" t="s">
        <v>8790</v>
      </c>
      <c r="S1350">
        <v>181.13</v>
      </c>
      <c r="T1350" t="s">
        <v>80</v>
      </c>
      <c r="U1350">
        <f>+IF(Tabla1[[#This Row],[MONEDA]]="PEN",Tabla1[[#This Row],[MONTO]],Tabla1[[#This Row],[MONTO]]*3.56)</f>
        <v>644.82280000000003</v>
      </c>
      <c r="X1350" t="s">
        <v>81</v>
      </c>
      <c r="Y1350" t="s">
        <v>42</v>
      </c>
      <c r="Z1350" t="s">
        <v>43</v>
      </c>
      <c r="AA1350" t="s">
        <v>8791</v>
      </c>
      <c r="AB1350" t="s">
        <v>8792</v>
      </c>
      <c r="AC1350" t="s">
        <v>8793</v>
      </c>
      <c r="AD1350" t="s">
        <v>8794</v>
      </c>
      <c r="AE1350">
        <v>181.13</v>
      </c>
      <c r="AF1350" t="s">
        <v>87</v>
      </c>
      <c r="AG1350" t="s">
        <v>88</v>
      </c>
    </row>
    <row r="1351" spans="1:33" hidden="1" x14ac:dyDescent="0.25">
      <c r="A1351">
        <v>23626</v>
      </c>
      <c r="B1351" t="s">
        <v>32</v>
      </c>
      <c r="C1351">
        <v>2</v>
      </c>
      <c r="D1351" t="s">
        <v>11111</v>
      </c>
      <c r="E1351" t="s">
        <v>70</v>
      </c>
      <c r="F1351" t="s">
        <v>33</v>
      </c>
      <c r="G1351" t="s">
        <v>71</v>
      </c>
      <c r="H1351" t="s">
        <v>72</v>
      </c>
      <c r="I1351" t="s">
        <v>11112</v>
      </c>
      <c r="J1351" t="s">
        <v>11122</v>
      </c>
      <c r="K1351" t="s">
        <v>36</v>
      </c>
      <c r="L1351" t="s">
        <v>33</v>
      </c>
      <c r="M1351">
        <v>20254305066</v>
      </c>
      <c r="N1351" t="s">
        <v>11123</v>
      </c>
      <c r="O1351" t="s">
        <v>76</v>
      </c>
      <c r="R1351" t="s">
        <v>11124</v>
      </c>
      <c r="S1351">
        <v>170</v>
      </c>
      <c r="T1351" t="s">
        <v>40</v>
      </c>
      <c r="U1351">
        <f>+IF(Tabla1[[#This Row],[MONEDA]]="PEN",Tabla1[[#This Row],[MONTO]],Tabla1[[#This Row],[MONTO]]*3.56)</f>
        <v>170</v>
      </c>
      <c r="V1351" t="s">
        <v>190</v>
      </c>
      <c r="W1351">
        <v>21454</v>
      </c>
      <c r="X1351" t="s">
        <v>81</v>
      </c>
      <c r="Y1351" t="s">
        <v>42</v>
      </c>
      <c r="Z1351" t="s">
        <v>82</v>
      </c>
      <c r="AA1351" t="s">
        <v>11125</v>
      </c>
      <c r="AC1351" t="s">
        <v>11126</v>
      </c>
      <c r="AD1351" t="s">
        <v>11127</v>
      </c>
    </row>
    <row r="1352" spans="1:33" hidden="1" x14ac:dyDescent="0.25">
      <c r="A1352">
        <v>37875</v>
      </c>
      <c r="B1352" t="s">
        <v>32</v>
      </c>
      <c r="C1352">
        <v>1</v>
      </c>
      <c r="D1352" t="s">
        <v>3019</v>
      </c>
      <c r="E1352" t="s">
        <v>70</v>
      </c>
      <c r="F1352" t="s">
        <v>33</v>
      </c>
      <c r="G1352" t="s">
        <v>71</v>
      </c>
      <c r="H1352" t="s">
        <v>35</v>
      </c>
      <c r="I1352" t="s">
        <v>3010</v>
      </c>
      <c r="J1352" t="s">
        <v>3020</v>
      </c>
      <c r="K1352" t="s">
        <v>36</v>
      </c>
      <c r="L1352" t="s">
        <v>33</v>
      </c>
      <c r="M1352">
        <v>20111740438</v>
      </c>
      <c r="N1352" t="s">
        <v>3021</v>
      </c>
      <c r="O1352" t="s">
        <v>76</v>
      </c>
      <c r="P1352" t="s">
        <v>77</v>
      </c>
      <c r="Q1352" t="s">
        <v>3022</v>
      </c>
      <c r="R1352" t="s">
        <v>3023</v>
      </c>
      <c r="S1352">
        <v>1099.0999999999999</v>
      </c>
      <c r="T1352" t="s">
        <v>80</v>
      </c>
      <c r="U1352">
        <f>+IF(Tabla1[[#This Row],[MONEDA]]="PEN",Tabla1[[#This Row],[MONTO]],Tabla1[[#This Row],[MONTO]]*3.56)</f>
        <v>3912.7959999999998</v>
      </c>
      <c r="X1352" t="s">
        <v>81</v>
      </c>
      <c r="Y1352" t="s">
        <v>42</v>
      </c>
      <c r="Z1352" t="s">
        <v>82</v>
      </c>
      <c r="AA1352" t="s">
        <v>3024</v>
      </c>
      <c r="AB1352" t="s">
        <v>3025</v>
      </c>
      <c r="AC1352" t="s">
        <v>3026</v>
      </c>
      <c r="AD1352" t="s">
        <v>3027</v>
      </c>
      <c r="AE1352">
        <v>1099.0999999999999</v>
      </c>
      <c r="AF1352" t="s">
        <v>87</v>
      </c>
      <c r="AG1352" t="s">
        <v>88</v>
      </c>
    </row>
    <row r="1353" spans="1:33" hidden="1" x14ac:dyDescent="0.25">
      <c r="A1353">
        <v>30608</v>
      </c>
      <c r="B1353" t="s">
        <v>32</v>
      </c>
      <c r="C1353">
        <v>3</v>
      </c>
      <c r="D1353" t="s">
        <v>6275</v>
      </c>
      <c r="E1353" t="s">
        <v>70</v>
      </c>
      <c r="F1353" t="s">
        <v>6276</v>
      </c>
      <c r="G1353" t="s">
        <v>6277</v>
      </c>
      <c r="H1353" t="s">
        <v>6277</v>
      </c>
      <c r="I1353" t="s">
        <v>6278</v>
      </c>
      <c r="J1353" t="s">
        <v>6278</v>
      </c>
      <c r="K1353" t="s">
        <v>36</v>
      </c>
      <c r="L1353" t="s">
        <v>33</v>
      </c>
      <c r="M1353">
        <v>20202020202</v>
      </c>
      <c r="N1353" t="s">
        <v>6279</v>
      </c>
      <c r="O1353" t="s">
        <v>6277</v>
      </c>
      <c r="P1353" t="s">
        <v>38</v>
      </c>
      <c r="Q1353">
        <v>24507265852070</v>
      </c>
      <c r="R1353" t="s">
        <v>6280</v>
      </c>
      <c r="S1353">
        <v>129</v>
      </c>
      <c r="T1353" t="s">
        <v>40</v>
      </c>
      <c r="U1353">
        <f>+IF(Tabla1[[#This Row],[MONEDA]]="PEN",Tabla1[[#This Row],[MONTO]],Tabla1[[#This Row],[MONTO]]*3.56)</f>
        <v>129</v>
      </c>
      <c r="V1353" t="s">
        <v>190</v>
      </c>
      <c r="W1353">
        <v>26156</v>
      </c>
      <c r="X1353" t="s">
        <v>41</v>
      </c>
      <c r="Y1353" t="s">
        <v>42</v>
      </c>
      <c r="Z1353" t="s">
        <v>82</v>
      </c>
      <c r="AA1353" t="s">
        <v>6281</v>
      </c>
      <c r="AB1353" t="s">
        <v>6282</v>
      </c>
      <c r="AC1353" t="s">
        <v>6283</v>
      </c>
    </row>
    <row r="1354" spans="1:33" hidden="1" x14ac:dyDescent="0.25">
      <c r="A1354">
        <v>30606</v>
      </c>
      <c r="B1354" t="s">
        <v>32</v>
      </c>
      <c r="C1354">
        <v>3</v>
      </c>
      <c r="D1354" t="s">
        <v>6284</v>
      </c>
      <c r="E1354" t="s">
        <v>70</v>
      </c>
      <c r="F1354" t="s">
        <v>6276</v>
      </c>
      <c r="G1354" t="s">
        <v>6277</v>
      </c>
      <c r="H1354" t="s">
        <v>6277</v>
      </c>
      <c r="I1354" t="s">
        <v>6285</v>
      </c>
      <c r="J1354" t="s">
        <v>6285</v>
      </c>
      <c r="K1354" t="s">
        <v>36</v>
      </c>
      <c r="L1354" t="s">
        <v>33</v>
      </c>
      <c r="M1354">
        <v>20202020202</v>
      </c>
      <c r="N1354" t="s">
        <v>6279</v>
      </c>
      <c r="O1354" t="s">
        <v>6277</v>
      </c>
      <c r="P1354" t="s">
        <v>38</v>
      </c>
      <c r="Q1354">
        <v>24507265852070</v>
      </c>
      <c r="R1354" t="s">
        <v>6280</v>
      </c>
      <c r="S1354">
        <v>129</v>
      </c>
      <c r="T1354" t="s">
        <v>40</v>
      </c>
      <c r="U1354">
        <f>+IF(Tabla1[[#This Row],[MONEDA]]="PEN",Tabla1[[#This Row],[MONTO]],Tabla1[[#This Row],[MONTO]]*3.56)</f>
        <v>129</v>
      </c>
      <c r="V1354" t="s">
        <v>190</v>
      </c>
      <c r="W1354">
        <v>26156</v>
      </c>
      <c r="X1354" t="s">
        <v>41</v>
      </c>
      <c r="Y1354" t="s">
        <v>42</v>
      </c>
      <c r="Z1354" t="s">
        <v>82</v>
      </c>
      <c r="AA1354" t="s">
        <v>6286</v>
      </c>
      <c r="AB1354" t="s">
        <v>6287</v>
      </c>
      <c r="AC1354" t="s">
        <v>6288</v>
      </c>
    </row>
    <row r="1355" spans="1:33" hidden="1" x14ac:dyDescent="0.25">
      <c r="A1355">
        <v>35914</v>
      </c>
      <c r="B1355" t="s">
        <v>32</v>
      </c>
      <c r="C1355">
        <v>1</v>
      </c>
      <c r="D1355" t="s">
        <v>4093</v>
      </c>
      <c r="E1355" t="s">
        <v>70</v>
      </c>
      <c r="F1355" t="s">
        <v>33</v>
      </c>
      <c r="G1355" t="s">
        <v>71</v>
      </c>
      <c r="H1355" t="s">
        <v>72</v>
      </c>
      <c r="I1355" t="s">
        <v>4094</v>
      </c>
      <c r="J1355" t="s">
        <v>4095</v>
      </c>
      <c r="K1355" t="s">
        <v>36</v>
      </c>
      <c r="L1355" t="s">
        <v>33</v>
      </c>
      <c r="M1355">
        <v>20565975812</v>
      </c>
      <c r="N1355" t="s">
        <v>4096</v>
      </c>
      <c r="O1355" t="s">
        <v>76</v>
      </c>
      <c r="P1355" t="s">
        <v>77</v>
      </c>
      <c r="Q1355" t="s">
        <v>4097</v>
      </c>
      <c r="R1355" t="s">
        <v>4098</v>
      </c>
      <c r="S1355">
        <v>2199.5</v>
      </c>
      <c r="T1355" t="s">
        <v>80</v>
      </c>
      <c r="U1355">
        <f>+IF(Tabla1[[#This Row],[MONEDA]]="PEN",Tabla1[[#This Row],[MONTO]],Tabla1[[#This Row],[MONTO]]*3.56)</f>
        <v>7830.22</v>
      </c>
      <c r="X1355" t="s">
        <v>81</v>
      </c>
      <c r="Y1355" t="s">
        <v>51</v>
      </c>
      <c r="Z1355" t="s">
        <v>43</v>
      </c>
      <c r="AA1355" t="s">
        <v>4099</v>
      </c>
      <c r="AB1355" t="s">
        <v>4100</v>
      </c>
      <c r="AC1355" t="s">
        <v>4101</v>
      </c>
      <c r="AE1355">
        <v>2133.52</v>
      </c>
      <c r="AF1355" t="s">
        <v>87</v>
      </c>
      <c r="AG1355" t="s">
        <v>88</v>
      </c>
    </row>
    <row r="1356" spans="1:33" x14ac:dyDescent="0.25">
      <c r="A1356">
        <v>32444</v>
      </c>
      <c r="B1356" t="s">
        <v>32</v>
      </c>
      <c r="C1356">
        <v>1</v>
      </c>
      <c r="D1356" t="s">
        <v>5327</v>
      </c>
      <c r="E1356" t="s">
        <v>70</v>
      </c>
      <c r="F1356" t="s">
        <v>5328</v>
      </c>
      <c r="G1356" t="s">
        <v>5329</v>
      </c>
      <c r="H1356" t="s">
        <v>72</v>
      </c>
      <c r="I1356" t="s">
        <v>5330</v>
      </c>
      <c r="J1356" t="s">
        <v>5331</v>
      </c>
      <c r="K1356" t="s">
        <v>36</v>
      </c>
      <c r="L1356" t="s">
        <v>33</v>
      </c>
      <c r="M1356">
        <v>20565975812</v>
      </c>
      <c r="N1356" t="s">
        <v>4096</v>
      </c>
      <c r="P1356" t="s">
        <v>77</v>
      </c>
      <c r="Q1356" t="s">
        <v>4097</v>
      </c>
      <c r="R1356" t="s">
        <v>5332</v>
      </c>
      <c r="S1356">
        <v>117.36</v>
      </c>
      <c r="T1356" t="s">
        <v>80</v>
      </c>
      <c r="U1356">
        <f>+IF(Tabla1[[#This Row],[MONEDA]]="PEN",Tabla1[[#This Row],[MONTO]],Tabla1[[#This Row],[MONTO]]*3.56)</f>
        <v>417.80160000000001</v>
      </c>
      <c r="X1356" t="s">
        <v>81</v>
      </c>
      <c r="Y1356" t="s">
        <v>51</v>
      </c>
      <c r="Z1356" t="s">
        <v>43</v>
      </c>
      <c r="AA1356" t="s">
        <v>5333</v>
      </c>
      <c r="AB1356" t="s">
        <v>5334</v>
      </c>
      <c r="AC1356" t="s">
        <v>5335</v>
      </c>
      <c r="AD1356" t="s">
        <v>5336</v>
      </c>
      <c r="AE1356">
        <v>113.83</v>
      </c>
      <c r="AF1356" t="s">
        <v>87</v>
      </c>
      <c r="AG1356" t="s">
        <v>88</v>
      </c>
    </row>
    <row r="1357" spans="1:33" x14ac:dyDescent="0.25">
      <c r="A1357">
        <v>28377</v>
      </c>
      <c r="B1357" t="s">
        <v>32</v>
      </c>
      <c r="C1357">
        <v>1</v>
      </c>
      <c r="D1357" t="s">
        <v>7661</v>
      </c>
      <c r="E1357" t="s">
        <v>70</v>
      </c>
      <c r="F1357" t="s">
        <v>5328</v>
      </c>
      <c r="G1357" t="s">
        <v>5329</v>
      </c>
      <c r="H1357" t="s">
        <v>72</v>
      </c>
      <c r="I1357" t="s">
        <v>7662</v>
      </c>
      <c r="J1357" t="s">
        <v>7663</v>
      </c>
      <c r="K1357" t="s">
        <v>36</v>
      </c>
      <c r="L1357" t="s">
        <v>33</v>
      </c>
      <c r="M1357">
        <v>20565975812</v>
      </c>
      <c r="N1357" t="s">
        <v>4096</v>
      </c>
      <c r="O1357" t="s">
        <v>6159</v>
      </c>
      <c r="P1357" t="s">
        <v>77</v>
      </c>
      <c r="Q1357" t="s">
        <v>4097</v>
      </c>
      <c r="R1357" t="s">
        <v>7664</v>
      </c>
      <c r="S1357">
        <v>2088.04</v>
      </c>
      <c r="T1357" t="s">
        <v>80</v>
      </c>
      <c r="U1357">
        <f>+IF(Tabla1[[#This Row],[MONEDA]]="PEN",Tabla1[[#This Row],[MONTO]],Tabla1[[#This Row],[MONTO]]*3.56)</f>
        <v>7433.4224000000004</v>
      </c>
      <c r="X1357" t="s">
        <v>81</v>
      </c>
      <c r="Y1357" t="s">
        <v>51</v>
      </c>
      <c r="Z1357" t="s">
        <v>43</v>
      </c>
      <c r="AA1357" t="s">
        <v>7665</v>
      </c>
      <c r="AB1357" t="s">
        <v>7666</v>
      </c>
      <c r="AC1357" t="s">
        <v>7667</v>
      </c>
      <c r="AD1357" t="s">
        <v>7668</v>
      </c>
      <c r="AE1357">
        <v>2025.4</v>
      </c>
      <c r="AF1357" t="s">
        <v>87</v>
      </c>
      <c r="AG1357" t="s">
        <v>88</v>
      </c>
    </row>
    <row r="1358" spans="1:33" hidden="1" x14ac:dyDescent="0.25">
      <c r="A1358">
        <v>32979</v>
      </c>
      <c r="B1358" t="s">
        <v>32</v>
      </c>
      <c r="C1358">
        <v>1</v>
      </c>
      <c r="D1358" t="s">
        <v>5189</v>
      </c>
      <c r="E1358" t="s">
        <v>70</v>
      </c>
      <c r="F1358" t="s">
        <v>33</v>
      </c>
      <c r="G1358" t="s">
        <v>71</v>
      </c>
      <c r="H1358" t="s">
        <v>35</v>
      </c>
      <c r="I1358" t="s">
        <v>5182</v>
      </c>
      <c r="J1358" t="s">
        <v>5190</v>
      </c>
      <c r="K1358" t="s">
        <v>36</v>
      </c>
      <c r="L1358" t="s">
        <v>33</v>
      </c>
      <c r="M1358">
        <v>20611408936</v>
      </c>
      <c r="N1358" t="s">
        <v>5191</v>
      </c>
      <c r="O1358" t="s">
        <v>76</v>
      </c>
      <c r="P1358" t="s">
        <v>224</v>
      </c>
      <c r="Q1358" t="s">
        <v>5192</v>
      </c>
      <c r="R1358" t="s">
        <v>5193</v>
      </c>
      <c r="S1358">
        <v>469.9</v>
      </c>
      <c r="T1358" t="s">
        <v>40</v>
      </c>
      <c r="U1358">
        <f>+IF(Tabla1[[#This Row],[MONEDA]]="PEN",Tabla1[[#This Row],[MONTO]],Tabla1[[#This Row],[MONTO]]*3.56)</f>
        <v>469.9</v>
      </c>
      <c r="X1358" t="s">
        <v>81</v>
      </c>
      <c r="Y1358" t="s">
        <v>42</v>
      </c>
      <c r="Z1358" t="s">
        <v>43</v>
      </c>
      <c r="AA1358" t="s">
        <v>5194</v>
      </c>
      <c r="AB1358" t="s">
        <v>5195</v>
      </c>
      <c r="AC1358" t="s">
        <v>5196</v>
      </c>
      <c r="AD1358" t="s">
        <v>5197</v>
      </c>
      <c r="AE1358">
        <v>469.9</v>
      </c>
      <c r="AF1358" t="s">
        <v>87</v>
      </c>
      <c r="AG1358" t="s">
        <v>1798</v>
      </c>
    </row>
    <row r="1359" spans="1:33" hidden="1" x14ac:dyDescent="0.25">
      <c r="A1359">
        <v>32816</v>
      </c>
      <c r="B1359" t="s">
        <v>32</v>
      </c>
      <c r="C1359">
        <v>1</v>
      </c>
      <c r="D1359" t="s">
        <v>5198</v>
      </c>
      <c r="E1359" t="s">
        <v>70</v>
      </c>
      <c r="F1359" t="s">
        <v>33</v>
      </c>
      <c r="G1359" t="s">
        <v>71</v>
      </c>
      <c r="H1359" t="s">
        <v>35</v>
      </c>
      <c r="I1359" t="s">
        <v>5199</v>
      </c>
      <c r="J1359" t="s">
        <v>5200</v>
      </c>
      <c r="K1359" t="s">
        <v>36</v>
      </c>
      <c r="L1359" t="s">
        <v>33</v>
      </c>
      <c r="M1359">
        <v>20611408936</v>
      </c>
      <c r="N1359" t="s">
        <v>5191</v>
      </c>
      <c r="O1359" t="s">
        <v>76</v>
      </c>
      <c r="P1359" t="s">
        <v>224</v>
      </c>
      <c r="Q1359" t="s">
        <v>5192</v>
      </c>
      <c r="R1359" t="s">
        <v>5201</v>
      </c>
      <c r="S1359">
        <v>1250</v>
      </c>
      <c r="T1359" t="s">
        <v>40</v>
      </c>
      <c r="U1359">
        <f>+IF(Tabla1[[#This Row],[MONEDA]]="PEN",Tabla1[[#This Row],[MONTO]],Tabla1[[#This Row],[MONTO]]*3.56)</f>
        <v>1250</v>
      </c>
      <c r="X1359" t="s">
        <v>81</v>
      </c>
      <c r="Y1359" t="s">
        <v>42</v>
      </c>
      <c r="Z1359" t="s">
        <v>43</v>
      </c>
      <c r="AA1359" t="s">
        <v>5194</v>
      </c>
      <c r="AB1359" t="s">
        <v>5202</v>
      </c>
      <c r="AC1359" t="s">
        <v>5203</v>
      </c>
      <c r="AD1359" t="s">
        <v>5204</v>
      </c>
      <c r="AE1359">
        <v>1212.5</v>
      </c>
      <c r="AF1359" t="s">
        <v>87</v>
      </c>
      <c r="AG1359" t="s">
        <v>1798</v>
      </c>
    </row>
    <row r="1360" spans="1:33" hidden="1" x14ac:dyDescent="0.25">
      <c r="A1360">
        <v>24339</v>
      </c>
      <c r="B1360" t="s">
        <v>32</v>
      </c>
      <c r="C1360">
        <v>1</v>
      </c>
      <c r="D1360" t="s">
        <v>10505</v>
      </c>
      <c r="E1360" t="s">
        <v>70</v>
      </c>
      <c r="F1360" t="s">
        <v>33</v>
      </c>
      <c r="G1360" t="s">
        <v>71</v>
      </c>
      <c r="H1360" t="s">
        <v>72</v>
      </c>
      <c r="I1360" t="s">
        <v>10506</v>
      </c>
      <c r="J1360" t="s">
        <v>10507</v>
      </c>
      <c r="K1360" t="s">
        <v>36</v>
      </c>
      <c r="L1360" t="s">
        <v>33</v>
      </c>
      <c r="M1360">
        <v>20611638419</v>
      </c>
      <c r="N1360" t="s">
        <v>10508</v>
      </c>
      <c r="O1360" t="s">
        <v>76</v>
      </c>
      <c r="R1360" t="s">
        <v>10455</v>
      </c>
      <c r="S1360">
        <v>62</v>
      </c>
      <c r="T1360" t="s">
        <v>40</v>
      </c>
      <c r="U1360">
        <f>+IF(Tabla1[[#This Row],[MONEDA]]="PEN",Tabla1[[#This Row],[MONTO]],Tabla1[[#This Row],[MONTO]]*3.56)</f>
        <v>62</v>
      </c>
      <c r="V1360" t="s">
        <v>190</v>
      </c>
      <c r="W1360">
        <v>21787</v>
      </c>
      <c r="X1360" t="s">
        <v>81</v>
      </c>
      <c r="Y1360" t="s">
        <v>42</v>
      </c>
      <c r="Z1360" t="s">
        <v>82</v>
      </c>
      <c r="AA1360" t="s">
        <v>10509</v>
      </c>
      <c r="AC1360" t="s">
        <v>10510</v>
      </c>
      <c r="AD1360" t="s">
        <v>10511</v>
      </c>
    </row>
    <row r="1361" spans="1:33" hidden="1" x14ac:dyDescent="0.25">
      <c r="A1361">
        <v>30895</v>
      </c>
      <c r="B1361" t="s">
        <v>32</v>
      </c>
      <c r="C1361">
        <v>1</v>
      </c>
      <c r="D1361" t="s">
        <v>6119</v>
      </c>
      <c r="E1361" t="s">
        <v>70</v>
      </c>
      <c r="F1361" t="s">
        <v>33</v>
      </c>
      <c r="G1361" t="s">
        <v>71</v>
      </c>
      <c r="H1361" t="s">
        <v>35</v>
      </c>
      <c r="I1361" t="s">
        <v>6103</v>
      </c>
      <c r="J1361" t="s">
        <v>6120</v>
      </c>
      <c r="K1361" t="s">
        <v>36</v>
      </c>
      <c r="L1361" t="s">
        <v>33</v>
      </c>
      <c r="M1361">
        <v>20100049181</v>
      </c>
      <c r="N1361" t="s">
        <v>6121</v>
      </c>
      <c r="O1361" t="s">
        <v>76</v>
      </c>
      <c r="P1361" t="s">
        <v>38</v>
      </c>
      <c r="Q1361" t="s">
        <v>6122</v>
      </c>
      <c r="R1361" t="s">
        <v>6123</v>
      </c>
      <c r="S1361">
        <v>365.31</v>
      </c>
      <c r="T1361" t="s">
        <v>40</v>
      </c>
      <c r="U1361">
        <f>+IF(Tabla1[[#This Row],[MONEDA]]="PEN",Tabla1[[#This Row],[MONTO]],Tabla1[[#This Row],[MONTO]]*3.56)</f>
        <v>365.31</v>
      </c>
      <c r="X1361" t="s">
        <v>81</v>
      </c>
      <c r="Y1361" t="s">
        <v>42</v>
      </c>
      <c r="Z1361" t="s">
        <v>43</v>
      </c>
      <c r="AA1361" t="s">
        <v>6124</v>
      </c>
      <c r="AB1361" t="s">
        <v>6125</v>
      </c>
      <c r="AC1361" t="s">
        <v>6126</v>
      </c>
      <c r="AD1361" t="s">
        <v>6127</v>
      </c>
      <c r="AE1361">
        <v>365.31</v>
      </c>
      <c r="AF1361" t="s">
        <v>87</v>
      </c>
      <c r="AG1361" t="s">
        <v>169</v>
      </c>
    </row>
    <row r="1362" spans="1:33" hidden="1" x14ac:dyDescent="0.25">
      <c r="A1362">
        <v>27165</v>
      </c>
      <c r="B1362" t="s">
        <v>32</v>
      </c>
      <c r="C1362">
        <v>1</v>
      </c>
      <c r="D1362" t="s">
        <v>8663</v>
      </c>
      <c r="E1362" t="s">
        <v>70</v>
      </c>
      <c r="F1362" t="s">
        <v>33</v>
      </c>
      <c r="G1362" t="s">
        <v>71</v>
      </c>
      <c r="H1362" t="s">
        <v>72</v>
      </c>
      <c r="I1362" t="s">
        <v>8664</v>
      </c>
      <c r="J1362" t="s">
        <v>8665</v>
      </c>
      <c r="K1362" t="s">
        <v>36</v>
      </c>
      <c r="L1362" t="s">
        <v>33</v>
      </c>
      <c r="M1362">
        <v>20100049181</v>
      </c>
      <c r="N1362" t="s">
        <v>6121</v>
      </c>
      <c r="O1362" t="s">
        <v>76</v>
      </c>
      <c r="P1362" t="s">
        <v>38</v>
      </c>
      <c r="Q1362" t="s">
        <v>6122</v>
      </c>
      <c r="R1362" t="s">
        <v>7338</v>
      </c>
      <c r="S1362">
        <v>1181.24</v>
      </c>
      <c r="T1362" t="s">
        <v>40</v>
      </c>
      <c r="U1362">
        <f>+IF(Tabla1[[#This Row],[MONEDA]]="PEN",Tabla1[[#This Row],[MONTO]],Tabla1[[#This Row],[MONTO]]*3.56)</f>
        <v>1181.24</v>
      </c>
      <c r="X1362" t="s">
        <v>81</v>
      </c>
      <c r="Y1362" t="s">
        <v>42</v>
      </c>
      <c r="Z1362" t="s">
        <v>43</v>
      </c>
      <c r="AA1362" t="s">
        <v>8666</v>
      </c>
      <c r="AB1362" t="s">
        <v>8667</v>
      </c>
      <c r="AC1362" t="s">
        <v>8668</v>
      </c>
      <c r="AD1362" t="s">
        <v>8669</v>
      </c>
      <c r="AE1362">
        <v>1181.24</v>
      </c>
      <c r="AF1362" t="s">
        <v>87</v>
      </c>
      <c r="AG1362" t="s">
        <v>169</v>
      </c>
    </row>
    <row r="1363" spans="1:33" hidden="1" x14ac:dyDescent="0.25">
      <c r="A1363">
        <v>21926</v>
      </c>
      <c r="B1363" t="s">
        <v>32</v>
      </c>
      <c r="C1363">
        <v>1</v>
      </c>
      <c r="D1363" t="s">
        <v>12100</v>
      </c>
      <c r="E1363" t="s">
        <v>70</v>
      </c>
      <c r="F1363" t="s">
        <v>33</v>
      </c>
      <c r="G1363" t="s">
        <v>71</v>
      </c>
      <c r="H1363" t="s">
        <v>72</v>
      </c>
      <c r="I1363" t="s">
        <v>12084</v>
      </c>
      <c r="J1363" t="s">
        <v>12101</v>
      </c>
      <c r="K1363" t="s">
        <v>36</v>
      </c>
      <c r="L1363" t="s">
        <v>33</v>
      </c>
      <c r="M1363">
        <v>20100049181</v>
      </c>
      <c r="N1363" t="s">
        <v>6121</v>
      </c>
      <c r="O1363" t="s">
        <v>76</v>
      </c>
      <c r="P1363" t="s">
        <v>38</v>
      </c>
      <c r="Q1363" t="s">
        <v>6122</v>
      </c>
      <c r="R1363" t="s">
        <v>12102</v>
      </c>
      <c r="S1363">
        <v>577.77</v>
      </c>
      <c r="T1363" t="s">
        <v>40</v>
      </c>
      <c r="U1363">
        <f>+IF(Tabla1[[#This Row],[MONEDA]]="PEN",Tabla1[[#This Row],[MONTO]],Tabla1[[#This Row],[MONTO]]*3.56)</f>
        <v>577.77</v>
      </c>
      <c r="X1363" t="s">
        <v>81</v>
      </c>
      <c r="Y1363" t="s">
        <v>42</v>
      </c>
      <c r="Z1363" t="s">
        <v>43</v>
      </c>
      <c r="AA1363" t="s">
        <v>12103</v>
      </c>
      <c r="AB1363" t="s">
        <v>12104</v>
      </c>
      <c r="AC1363" t="s">
        <v>12105</v>
      </c>
      <c r="AD1363" t="s">
        <v>12106</v>
      </c>
      <c r="AE1363">
        <v>577.77</v>
      </c>
      <c r="AF1363" t="s">
        <v>87</v>
      </c>
      <c r="AG1363" t="s">
        <v>169</v>
      </c>
    </row>
    <row r="1364" spans="1:33" hidden="1" x14ac:dyDescent="0.25">
      <c r="A1364">
        <v>20971</v>
      </c>
      <c r="B1364" t="s">
        <v>32</v>
      </c>
      <c r="C1364">
        <v>1</v>
      </c>
      <c r="D1364" t="s">
        <v>12765</v>
      </c>
      <c r="E1364" t="s">
        <v>70</v>
      </c>
      <c r="F1364" t="s">
        <v>33</v>
      </c>
      <c r="G1364" t="s">
        <v>71</v>
      </c>
      <c r="H1364" t="s">
        <v>72</v>
      </c>
      <c r="I1364" t="s">
        <v>12751</v>
      </c>
      <c r="J1364" t="s">
        <v>12766</v>
      </c>
      <c r="K1364" t="s">
        <v>36</v>
      </c>
      <c r="L1364" t="s">
        <v>33</v>
      </c>
      <c r="M1364">
        <v>20100049181</v>
      </c>
      <c r="N1364" t="s">
        <v>6121</v>
      </c>
      <c r="O1364" t="s">
        <v>76</v>
      </c>
      <c r="P1364" t="s">
        <v>38</v>
      </c>
      <c r="Q1364" t="s">
        <v>6122</v>
      </c>
      <c r="R1364" t="s">
        <v>7338</v>
      </c>
      <c r="S1364">
        <v>900.04</v>
      </c>
      <c r="T1364" t="s">
        <v>40</v>
      </c>
      <c r="U1364">
        <f>+IF(Tabla1[[#This Row],[MONEDA]]="PEN",Tabla1[[#This Row],[MONTO]],Tabla1[[#This Row],[MONTO]]*3.56)</f>
        <v>900.04</v>
      </c>
      <c r="X1364" t="s">
        <v>81</v>
      </c>
      <c r="Y1364" t="s">
        <v>42</v>
      </c>
      <c r="Z1364" t="s">
        <v>43</v>
      </c>
      <c r="AA1364" t="s">
        <v>12767</v>
      </c>
      <c r="AB1364" t="s">
        <v>12768</v>
      </c>
      <c r="AC1364" t="s">
        <v>12769</v>
      </c>
      <c r="AD1364" t="s">
        <v>12770</v>
      </c>
      <c r="AE1364">
        <v>900.04</v>
      </c>
      <c r="AF1364" t="s">
        <v>87</v>
      </c>
      <c r="AG1364" t="s">
        <v>169</v>
      </c>
    </row>
    <row r="1365" spans="1:33" hidden="1" x14ac:dyDescent="0.25">
      <c r="A1365">
        <v>40701</v>
      </c>
      <c r="B1365" t="s">
        <v>32</v>
      </c>
      <c r="C1365">
        <v>1</v>
      </c>
      <c r="D1365" t="s">
        <v>2006</v>
      </c>
      <c r="E1365" t="s">
        <v>70</v>
      </c>
      <c r="F1365" t="s">
        <v>33</v>
      </c>
      <c r="G1365" t="s">
        <v>71</v>
      </c>
      <c r="H1365" t="s">
        <v>35</v>
      </c>
      <c r="I1365" t="s">
        <v>2006</v>
      </c>
      <c r="J1365" t="s">
        <v>2007</v>
      </c>
      <c r="K1365" t="s">
        <v>36</v>
      </c>
      <c r="L1365" t="s">
        <v>33</v>
      </c>
      <c r="M1365">
        <v>20613928546</v>
      </c>
      <c r="N1365" t="s">
        <v>2008</v>
      </c>
      <c r="O1365" t="s">
        <v>76</v>
      </c>
      <c r="R1365" t="s">
        <v>2009</v>
      </c>
      <c r="S1365">
        <v>272</v>
      </c>
      <c r="T1365" t="s">
        <v>40</v>
      </c>
      <c r="U1365">
        <f>+IF(Tabla1[[#This Row],[MONEDA]]="PEN",Tabla1[[#This Row],[MONTO]],Tabla1[[#This Row],[MONTO]]*3.56)</f>
        <v>272</v>
      </c>
      <c r="V1365" t="s">
        <v>190</v>
      </c>
      <c r="W1365">
        <v>38906</v>
      </c>
      <c r="X1365" t="s">
        <v>81</v>
      </c>
      <c r="Y1365" t="s">
        <v>42</v>
      </c>
      <c r="Z1365" t="s">
        <v>43</v>
      </c>
      <c r="AA1365" t="s">
        <v>2010</v>
      </c>
      <c r="AC1365" t="s">
        <v>2011</v>
      </c>
      <c r="AD1365" t="s">
        <v>2012</v>
      </c>
    </row>
    <row r="1366" spans="1:33" hidden="1" x14ac:dyDescent="0.25">
      <c r="A1366">
        <v>38403</v>
      </c>
      <c r="B1366" t="s">
        <v>32</v>
      </c>
      <c r="C1366">
        <v>1</v>
      </c>
      <c r="D1366" t="s">
        <v>2921</v>
      </c>
      <c r="E1366" t="s">
        <v>70</v>
      </c>
      <c r="F1366" t="s">
        <v>33</v>
      </c>
      <c r="G1366" t="s">
        <v>71</v>
      </c>
      <c r="H1366" t="s">
        <v>35</v>
      </c>
      <c r="I1366" t="s">
        <v>2921</v>
      </c>
      <c r="J1366" t="s">
        <v>2930</v>
      </c>
      <c r="K1366" t="s">
        <v>36</v>
      </c>
      <c r="L1366" t="s">
        <v>33</v>
      </c>
      <c r="M1366">
        <v>20613928546</v>
      </c>
      <c r="N1366" t="s">
        <v>2008</v>
      </c>
      <c r="O1366" t="s">
        <v>76</v>
      </c>
      <c r="R1366" t="s">
        <v>2931</v>
      </c>
      <c r="S1366">
        <v>81</v>
      </c>
      <c r="T1366" t="s">
        <v>40</v>
      </c>
      <c r="U1366">
        <f>+IF(Tabla1[[#This Row],[MONEDA]]="PEN",Tabla1[[#This Row],[MONTO]],Tabla1[[#This Row],[MONTO]]*3.56)</f>
        <v>81</v>
      </c>
      <c r="V1366" t="s">
        <v>190</v>
      </c>
      <c r="W1366">
        <v>34656</v>
      </c>
      <c r="X1366" t="s">
        <v>41</v>
      </c>
      <c r="Y1366" t="s">
        <v>42</v>
      </c>
      <c r="Z1366" t="s">
        <v>43</v>
      </c>
      <c r="AA1366" t="s">
        <v>2932</v>
      </c>
      <c r="AC1366" t="s">
        <v>2933</v>
      </c>
      <c r="AD1366" t="s">
        <v>2934</v>
      </c>
    </row>
    <row r="1367" spans="1:33" hidden="1" x14ac:dyDescent="0.25">
      <c r="A1367">
        <v>36661</v>
      </c>
      <c r="B1367" t="s">
        <v>32</v>
      </c>
      <c r="C1367">
        <v>1</v>
      </c>
      <c r="D1367" t="s">
        <v>3789</v>
      </c>
      <c r="E1367" t="s">
        <v>70</v>
      </c>
      <c r="F1367" t="s">
        <v>33</v>
      </c>
      <c r="G1367" t="s">
        <v>71</v>
      </c>
      <c r="H1367" t="s">
        <v>35</v>
      </c>
      <c r="I1367" t="s">
        <v>3789</v>
      </c>
      <c r="J1367" t="s">
        <v>3790</v>
      </c>
      <c r="K1367" t="s">
        <v>36</v>
      </c>
      <c r="L1367" t="s">
        <v>33</v>
      </c>
      <c r="M1367">
        <v>20613928546</v>
      </c>
      <c r="N1367" t="s">
        <v>2008</v>
      </c>
      <c r="O1367" t="s">
        <v>76</v>
      </c>
      <c r="R1367" t="s">
        <v>3791</v>
      </c>
      <c r="S1367">
        <v>200</v>
      </c>
      <c r="T1367" t="s">
        <v>40</v>
      </c>
      <c r="U1367">
        <f>+IF(Tabla1[[#This Row],[MONEDA]]="PEN",Tabla1[[#This Row],[MONTO]],Tabla1[[#This Row],[MONTO]]*3.56)</f>
        <v>200</v>
      </c>
      <c r="V1367" t="s">
        <v>190</v>
      </c>
      <c r="W1367">
        <v>33331</v>
      </c>
      <c r="X1367" t="s">
        <v>81</v>
      </c>
      <c r="Y1367" t="s">
        <v>42</v>
      </c>
      <c r="Z1367" t="s">
        <v>43</v>
      </c>
      <c r="AA1367" t="s">
        <v>3792</v>
      </c>
      <c r="AC1367" t="s">
        <v>3793</v>
      </c>
      <c r="AD1367" t="s">
        <v>3794</v>
      </c>
    </row>
    <row r="1368" spans="1:33" hidden="1" x14ac:dyDescent="0.25">
      <c r="A1368">
        <v>33584</v>
      </c>
      <c r="B1368" t="s">
        <v>32</v>
      </c>
      <c r="C1368">
        <v>1</v>
      </c>
      <c r="D1368" t="s">
        <v>4874</v>
      </c>
      <c r="E1368" t="s">
        <v>70</v>
      </c>
      <c r="F1368" t="s">
        <v>33</v>
      </c>
      <c r="G1368" t="s">
        <v>71</v>
      </c>
      <c r="H1368" t="s">
        <v>35</v>
      </c>
      <c r="I1368" t="s">
        <v>4874</v>
      </c>
      <c r="J1368" t="s">
        <v>4875</v>
      </c>
      <c r="K1368" t="s">
        <v>36</v>
      </c>
      <c r="L1368" t="s">
        <v>33</v>
      </c>
      <c r="M1368">
        <v>20613928546</v>
      </c>
      <c r="N1368" t="s">
        <v>2008</v>
      </c>
      <c r="O1368" t="s">
        <v>76</v>
      </c>
      <c r="R1368" t="s">
        <v>4876</v>
      </c>
      <c r="S1368">
        <v>195</v>
      </c>
      <c r="T1368" t="s">
        <v>40</v>
      </c>
      <c r="U1368">
        <f>+IF(Tabla1[[#This Row],[MONEDA]]="PEN",Tabla1[[#This Row],[MONTO]],Tabla1[[#This Row],[MONTO]]*3.56)</f>
        <v>195</v>
      </c>
      <c r="V1368" t="s">
        <v>190</v>
      </c>
      <c r="W1368">
        <v>32138</v>
      </c>
      <c r="X1368" t="s">
        <v>81</v>
      </c>
      <c r="Y1368" t="s">
        <v>42</v>
      </c>
      <c r="Z1368" t="s">
        <v>43</v>
      </c>
      <c r="AA1368" t="s">
        <v>4877</v>
      </c>
      <c r="AC1368" t="s">
        <v>4878</v>
      </c>
      <c r="AD1368" t="s">
        <v>4879</v>
      </c>
    </row>
    <row r="1369" spans="1:33" hidden="1" x14ac:dyDescent="0.25">
      <c r="A1369">
        <v>24340</v>
      </c>
      <c r="B1369" t="s">
        <v>32</v>
      </c>
      <c r="C1369">
        <v>1</v>
      </c>
      <c r="D1369" t="s">
        <v>10499</v>
      </c>
      <c r="E1369" t="s">
        <v>70</v>
      </c>
      <c r="F1369" t="s">
        <v>33</v>
      </c>
      <c r="G1369" t="s">
        <v>71</v>
      </c>
      <c r="H1369" t="s">
        <v>72</v>
      </c>
      <c r="I1369" t="s">
        <v>10500</v>
      </c>
      <c r="J1369" t="s">
        <v>10501</v>
      </c>
      <c r="K1369" t="s">
        <v>36</v>
      </c>
      <c r="L1369" t="s">
        <v>33</v>
      </c>
      <c r="M1369">
        <v>20613928546</v>
      </c>
      <c r="N1369" t="s">
        <v>2008</v>
      </c>
      <c r="O1369" t="s">
        <v>76</v>
      </c>
      <c r="R1369" t="s">
        <v>10502</v>
      </c>
      <c r="S1369">
        <v>56</v>
      </c>
      <c r="T1369" t="s">
        <v>40</v>
      </c>
      <c r="U1369">
        <f>+IF(Tabla1[[#This Row],[MONEDA]]="PEN",Tabla1[[#This Row],[MONTO]],Tabla1[[#This Row],[MONTO]]*3.56)</f>
        <v>56</v>
      </c>
      <c r="V1369" t="s">
        <v>190</v>
      </c>
      <c r="W1369">
        <v>21787</v>
      </c>
      <c r="X1369" t="s">
        <v>81</v>
      </c>
      <c r="Y1369" t="s">
        <v>42</v>
      </c>
      <c r="Z1369" t="s">
        <v>82</v>
      </c>
      <c r="AA1369" t="s">
        <v>9247</v>
      </c>
      <c r="AC1369" t="s">
        <v>10503</v>
      </c>
      <c r="AD1369" t="s">
        <v>10504</v>
      </c>
    </row>
    <row r="1370" spans="1:33" x14ac:dyDescent="0.25">
      <c r="A1370">
        <v>40311</v>
      </c>
      <c r="B1370" t="s">
        <v>32</v>
      </c>
      <c r="C1370">
        <v>1</v>
      </c>
      <c r="D1370" t="s">
        <v>2124</v>
      </c>
      <c r="E1370" t="s">
        <v>70</v>
      </c>
      <c r="F1370" t="s">
        <v>90</v>
      </c>
      <c r="G1370" t="s">
        <v>91</v>
      </c>
      <c r="H1370" t="s">
        <v>35</v>
      </c>
      <c r="I1370" t="s">
        <v>2125</v>
      </c>
      <c r="J1370" t="s">
        <v>2126</v>
      </c>
      <c r="K1370" t="s">
        <v>36</v>
      </c>
      <c r="L1370" t="s">
        <v>33</v>
      </c>
      <c r="M1370">
        <v>10483916928</v>
      </c>
      <c r="N1370" t="s">
        <v>2127</v>
      </c>
      <c r="P1370" t="s">
        <v>38</v>
      </c>
      <c r="Q1370">
        <v>21505651866051</v>
      </c>
      <c r="R1370" t="s">
        <v>2128</v>
      </c>
      <c r="S1370">
        <v>112.1</v>
      </c>
      <c r="T1370" t="s">
        <v>40</v>
      </c>
      <c r="U1370">
        <f>+IF(Tabla1[[#This Row],[MONEDA]]="PEN",Tabla1[[#This Row],[MONTO]],Tabla1[[#This Row],[MONTO]]*3.56)</f>
        <v>112.1</v>
      </c>
      <c r="X1370" t="s">
        <v>41</v>
      </c>
      <c r="Y1370" t="s">
        <v>42</v>
      </c>
      <c r="Z1370" t="s">
        <v>82</v>
      </c>
      <c r="AA1370" t="s">
        <v>2129</v>
      </c>
      <c r="AC1370" t="s">
        <v>2130</v>
      </c>
      <c r="AD1370" t="s">
        <v>2131</v>
      </c>
      <c r="AE1370">
        <v>112.1</v>
      </c>
      <c r="AG1370" t="s">
        <v>169</v>
      </c>
    </row>
    <row r="1371" spans="1:33" hidden="1" x14ac:dyDescent="0.25">
      <c r="A1371">
        <v>35854</v>
      </c>
      <c r="B1371" t="s">
        <v>32</v>
      </c>
      <c r="C1371">
        <v>1</v>
      </c>
      <c r="D1371" t="s">
        <v>4153</v>
      </c>
      <c r="E1371" t="s">
        <v>70</v>
      </c>
      <c r="F1371" t="s">
        <v>33</v>
      </c>
      <c r="G1371" t="s">
        <v>71</v>
      </c>
      <c r="H1371" t="s">
        <v>35</v>
      </c>
      <c r="I1371" t="s">
        <v>4154</v>
      </c>
      <c r="J1371" t="s">
        <v>4155</v>
      </c>
      <c r="K1371" t="s">
        <v>36</v>
      </c>
      <c r="L1371" t="s">
        <v>33</v>
      </c>
      <c r="M1371">
        <v>10483916928</v>
      </c>
      <c r="N1371" t="s">
        <v>2127</v>
      </c>
      <c r="P1371" t="s">
        <v>38</v>
      </c>
      <c r="Q1371">
        <v>21505651866051</v>
      </c>
      <c r="R1371" t="s">
        <v>4156</v>
      </c>
      <c r="S1371">
        <v>833.4</v>
      </c>
      <c r="T1371" t="s">
        <v>40</v>
      </c>
      <c r="U1371">
        <f>+IF(Tabla1[[#This Row],[MONEDA]]="PEN",Tabla1[[#This Row],[MONTO]],Tabla1[[#This Row],[MONTO]]*3.56)</f>
        <v>833.4</v>
      </c>
      <c r="X1371" t="s">
        <v>139</v>
      </c>
      <c r="Y1371" t="s">
        <v>42</v>
      </c>
      <c r="Z1371" t="s">
        <v>82</v>
      </c>
      <c r="AA1371" t="s">
        <v>4157</v>
      </c>
      <c r="AB1371" t="s">
        <v>4158</v>
      </c>
      <c r="AC1371" t="s">
        <v>4159</v>
      </c>
      <c r="AD1371" t="s">
        <v>4160</v>
      </c>
      <c r="AE1371">
        <v>833.4</v>
      </c>
      <c r="AF1371" t="s">
        <v>87</v>
      </c>
      <c r="AG1371" t="s">
        <v>169</v>
      </c>
    </row>
    <row r="1372" spans="1:33" x14ac:dyDescent="0.25">
      <c r="A1372">
        <v>33408</v>
      </c>
      <c r="B1372" t="s">
        <v>32</v>
      </c>
      <c r="C1372">
        <v>1</v>
      </c>
      <c r="D1372" t="s">
        <v>4888</v>
      </c>
      <c r="E1372" t="s">
        <v>70</v>
      </c>
      <c r="F1372" t="s">
        <v>1275</v>
      </c>
      <c r="G1372" t="s">
        <v>4889</v>
      </c>
      <c r="H1372" t="s">
        <v>72</v>
      </c>
      <c r="I1372" t="s">
        <v>4890</v>
      </c>
      <c r="J1372" t="s">
        <v>4891</v>
      </c>
      <c r="K1372" t="s">
        <v>36</v>
      </c>
      <c r="L1372" t="s">
        <v>33</v>
      </c>
      <c r="M1372">
        <v>10483916928</v>
      </c>
      <c r="N1372" t="s">
        <v>2127</v>
      </c>
      <c r="P1372" t="s">
        <v>38</v>
      </c>
      <c r="Q1372">
        <v>21505651866051</v>
      </c>
      <c r="R1372" t="s">
        <v>4892</v>
      </c>
      <c r="S1372">
        <v>332</v>
      </c>
      <c r="T1372" t="s">
        <v>40</v>
      </c>
      <c r="U1372">
        <f>+IF(Tabla1[[#This Row],[MONEDA]]="PEN",Tabla1[[#This Row],[MONTO]],Tabla1[[#This Row],[MONTO]]*3.56)</f>
        <v>332</v>
      </c>
      <c r="X1372" t="s">
        <v>41</v>
      </c>
      <c r="Y1372" t="s">
        <v>42</v>
      </c>
      <c r="Z1372" t="s">
        <v>82</v>
      </c>
      <c r="AA1372" t="s">
        <v>4893</v>
      </c>
      <c r="AB1372" t="s">
        <v>4894</v>
      </c>
      <c r="AC1372" t="s">
        <v>4895</v>
      </c>
      <c r="AE1372">
        <v>332</v>
      </c>
      <c r="AF1372" t="s">
        <v>87</v>
      </c>
      <c r="AG1372" t="s">
        <v>169</v>
      </c>
    </row>
    <row r="1373" spans="1:33" x14ac:dyDescent="0.25">
      <c r="A1373">
        <v>33282</v>
      </c>
      <c r="B1373" t="s">
        <v>32</v>
      </c>
      <c r="C1373">
        <v>1</v>
      </c>
      <c r="D1373" t="s">
        <v>5071</v>
      </c>
      <c r="E1373" t="s">
        <v>70</v>
      </c>
      <c r="F1373" t="s">
        <v>90</v>
      </c>
      <c r="G1373" t="s">
        <v>91</v>
      </c>
      <c r="H1373" t="s">
        <v>35</v>
      </c>
      <c r="I1373" t="s">
        <v>5072</v>
      </c>
      <c r="J1373" t="s">
        <v>5073</v>
      </c>
      <c r="K1373" t="s">
        <v>36</v>
      </c>
      <c r="L1373" t="s">
        <v>33</v>
      </c>
      <c r="M1373">
        <v>10483916928</v>
      </c>
      <c r="N1373" t="s">
        <v>2127</v>
      </c>
      <c r="P1373" t="s">
        <v>38</v>
      </c>
      <c r="Q1373">
        <v>21505651866051</v>
      </c>
      <c r="R1373" t="s">
        <v>5074</v>
      </c>
      <c r="S1373">
        <v>332</v>
      </c>
      <c r="T1373" t="s">
        <v>40</v>
      </c>
      <c r="U1373">
        <f>+IF(Tabla1[[#This Row],[MONEDA]]="PEN",Tabla1[[#This Row],[MONTO]],Tabla1[[#This Row],[MONTO]]*3.56)</f>
        <v>332</v>
      </c>
      <c r="X1373" t="s">
        <v>41</v>
      </c>
      <c r="Y1373" t="s">
        <v>42</v>
      </c>
      <c r="Z1373" t="s">
        <v>82</v>
      </c>
      <c r="AA1373" t="s">
        <v>5075</v>
      </c>
      <c r="AC1373" t="s">
        <v>5076</v>
      </c>
      <c r="AD1373" t="s">
        <v>5077</v>
      </c>
      <c r="AE1373">
        <v>332</v>
      </c>
      <c r="AG1373" t="s">
        <v>169</v>
      </c>
    </row>
    <row r="1374" spans="1:33" hidden="1" x14ac:dyDescent="0.25">
      <c r="A1374">
        <v>30580</v>
      </c>
      <c r="B1374" t="s">
        <v>32</v>
      </c>
      <c r="C1374">
        <v>1</v>
      </c>
      <c r="D1374" t="s">
        <v>6258</v>
      </c>
      <c r="E1374" t="s">
        <v>70</v>
      </c>
      <c r="F1374" t="s">
        <v>33</v>
      </c>
      <c r="G1374" t="s">
        <v>71</v>
      </c>
      <c r="H1374" t="s">
        <v>72</v>
      </c>
      <c r="I1374" t="s">
        <v>6259</v>
      </c>
      <c r="J1374" t="s">
        <v>6260</v>
      </c>
      <c r="K1374" t="s">
        <v>36</v>
      </c>
      <c r="L1374" t="s">
        <v>33</v>
      </c>
      <c r="M1374">
        <v>20556431133</v>
      </c>
      <c r="N1374" t="s">
        <v>6261</v>
      </c>
      <c r="O1374" t="s">
        <v>76</v>
      </c>
      <c r="P1374" t="s">
        <v>101</v>
      </c>
      <c r="Q1374" t="s">
        <v>6262</v>
      </c>
      <c r="R1374" t="s">
        <v>6263</v>
      </c>
      <c r="S1374">
        <v>11457.8</v>
      </c>
      <c r="T1374" t="s">
        <v>40</v>
      </c>
      <c r="U1374">
        <f>+IF(Tabla1[[#This Row],[MONEDA]]="PEN",Tabla1[[#This Row],[MONTO]],Tabla1[[#This Row],[MONTO]]*3.56)</f>
        <v>11457.8</v>
      </c>
      <c r="X1374" t="s">
        <v>81</v>
      </c>
      <c r="Y1374" t="s">
        <v>42</v>
      </c>
      <c r="Z1374" t="s">
        <v>43</v>
      </c>
      <c r="AA1374" t="s">
        <v>6264</v>
      </c>
      <c r="AB1374" t="s">
        <v>6265</v>
      </c>
      <c r="AC1374" t="s">
        <v>6266</v>
      </c>
      <c r="AD1374" t="s">
        <v>6267</v>
      </c>
      <c r="AE1374">
        <v>11114.07</v>
      </c>
      <c r="AG1374" t="s">
        <v>666</v>
      </c>
    </row>
    <row r="1375" spans="1:33" hidden="1" x14ac:dyDescent="0.25">
      <c r="A1375">
        <v>30033</v>
      </c>
      <c r="B1375" t="s">
        <v>32</v>
      </c>
      <c r="C1375">
        <v>1</v>
      </c>
      <c r="D1375" t="s">
        <v>6358</v>
      </c>
      <c r="E1375" t="s">
        <v>70</v>
      </c>
      <c r="F1375" t="s">
        <v>33</v>
      </c>
      <c r="G1375" t="s">
        <v>71</v>
      </c>
      <c r="H1375" t="s">
        <v>72</v>
      </c>
      <c r="I1375" t="s">
        <v>6344</v>
      </c>
      <c r="J1375" t="s">
        <v>6359</v>
      </c>
      <c r="K1375" t="s">
        <v>36</v>
      </c>
      <c r="L1375" t="s">
        <v>33</v>
      </c>
      <c r="M1375">
        <v>20556431133</v>
      </c>
      <c r="N1375" t="s">
        <v>6261</v>
      </c>
      <c r="O1375" t="s">
        <v>76</v>
      </c>
      <c r="P1375" t="s">
        <v>101</v>
      </c>
      <c r="Q1375" t="s">
        <v>6262</v>
      </c>
      <c r="R1375" t="s">
        <v>6360</v>
      </c>
      <c r="S1375">
        <v>8638.2099999999991</v>
      </c>
      <c r="T1375" t="s">
        <v>40</v>
      </c>
      <c r="U1375">
        <f>+IF(Tabla1[[#This Row],[MONEDA]]="PEN",Tabla1[[#This Row],[MONTO]],Tabla1[[#This Row],[MONTO]]*3.56)</f>
        <v>8638.2099999999991</v>
      </c>
      <c r="X1375" t="s">
        <v>81</v>
      </c>
      <c r="Y1375" t="s">
        <v>42</v>
      </c>
      <c r="Z1375" t="s">
        <v>43</v>
      </c>
      <c r="AA1375" t="s">
        <v>6264</v>
      </c>
      <c r="AB1375" t="s">
        <v>6361</v>
      </c>
      <c r="AC1375" t="s">
        <v>6362</v>
      </c>
      <c r="AD1375" t="s">
        <v>6363</v>
      </c>
      <c r="AE1375">
        <v>8379.06</v>
      </c>
      <c r="AF1375" t="s">
        <v>87</v>
      </c>
      <c r="AG1375" t="s">
        <v>666</v>
      </c>
    </row>
    <row r="1376" spans="1:33" hidden="1" x14ac:dyDescent="0.25">
      <c r="A1376">
        <v>29910</v>
      </c>
      <c r="B1376" t="s">
        <v>32</v>
      </c>
      <c r="C1376">
        <v>1</v>
      </c>
      <c r="D1376" t="s">
        <v>6570</v>
      </c>
      <c r="E1376" t="s">
        <v>70</v>
      </c>
      <c r="F1376" t="s">
        <v>33</v>
      </c>
      <c r="G1376" t="s">
        <v>71</v>
      </c>
      <c r="H1376" t="s">
        <v>72</v>
      </c>
      <c r="I1376" t="s">
        <v>6571</v>
      </c>
      <c r="J1376" t="s">
        <v>6572</v>
      </c>
      <c r="K1376" t="s">
        <v>36</v>
      </c>
      <c r="L1376" t="s">
        <v>33</v>
      </c>
      <c r="M1376">
        <v>10759598186</v>
      </c>
      <c r="N1376" t="s">
        <v>6573</v>
      </c>
      <c r="O1376" t="s">
        <v>76</v>
      </c>
      <c r="R1376" t="s">
        <v>6574</v>
      </c>
      <c r="S1376">
        <v>40</v>
      </c>
      <c r="T1376" t="s">
        <v>40</v>
      </c>
      <c r="U1376">
        <f>+IF(Tabla1[[#This Row],[MONEDA]]="PEN",Tabla1[[#This Row],[MONTO]],Tabla1[[#This Row],[MONTO]]*3.56)</f>
        <v>40</v>
      </c>
      <c r="V1376" t="s">
        <v>190</v>
      </c>
      <c r="W1376">
        <v>28316</v>
      </c>
      <c r="X1376" t="s">
        <v>81</v>
      </c>
      <c r="Y1376" t="s">
        <v>42</v>
      </c>
      <c r="Z1376" t="s">
        <v>43</v>
      </c>
      <c r="AA1376" t="s">
        <v>6575</v>
      </c>
      <c r="AC1376" t="s">
        <v>6576</v>
      </c>
      <c r="AD1376" t="s">
        <v>6577</v>
      </c>
    </row>
    <row r="1377" spans="1:33" x14ac:dyDescent="0.25">
      <c r="A1377">
        <v>27724</v>
      </c>
      <c r="B1377" t="s">
        <v>32</v>
      </c>
      <c r="C1377">
        <v>1</v>
      </c>
      <c r="D1377" t="s">
        <v>8123</v>
      </c>
      <c r="E1377" t="s">
        <v>70</v>
      </c>
      <c r="F1377" t="s">
        <v>5328</v>
      </c>
      <c r="G1377" t="s">
        <v>5329</v>
      </c>
      <c r="H1377" t="s">
        <v>72</v>
      </c>
      <c r="I1377" t="s">
        <v>8122</v>
      </c>
      <c r="J1377" t="s">
        <v>8124</v>
      </c>
      <c r="K1377" t="s">
        <v>36</v>
      </c>
      <c r="L1377" t="s">
        <v>33</v>
      </c>
      <c r="M1377">
        <v>10759598186</v>
      </c>
      <c r="N1377" t="s">
        <v>6573</v>
      </c>
      <c r="O1377" t="s">
        <v>6159</v>
      </c>
      <c r="P1377" t="s">
        <v>38</v>
      </c>
      <c r="Q1377">
        <v>43001690419007</v>
      </c>
      <c r="R1377" t="s">
        <v>8125</v>
      </c>
      <c r="S1377">
        <v>120</v>
      </c>
      <c r="T1377" t="s">
        <v>40</v>
      </c>
      <c r="U1377">
        <f>+IF(Tabla1[[#This Row],[MONEDA]]="PEN",Tabla1[[#This Row],[MONTO]],Tabla1[[#This Row],[MONTO]]*3.56)</f>
        <v>120</v>
      </c>
      <c r="X1377" t="s">
        <v>81</v>
      </c>
      <c r="Y1377" t="s">
        <v>42</v>
      </c>
      <c r="Z1377" t="s">
        <v>43</v>
      </c>
      <c r="AA1377" t="s">
        <v>8126</v>
      </c>
      <c r="AB1377" t="s">
        <v>8127</v>
      </c>
      <c r="AC1377" t="s">
        <v>8128</v>
      </c>
      <c r="AD1377" t="s">
        <v>8129</v>
      </c>
      <c r="AE1377">
        <v>120</v>
      </c>
      <c r="AF1377" t="s">
        <v>87</v>
      </c>
      <c r="AG1377" t="s">
        <v>169</v>
      </c>
    </row>
    <row r="1378" spans="1:33" hidden="1" x14ac:dyDescent="0.25">
      <c r="A1378">
        <v>24383</v>
      </c>
      <c r="B1378" t="s">
        <v>32</v>
      </c>
      <c r="C1378">
        <v>2</v>
      </c>
      <c r="D1378" t="s">
        <v>10375</v>
      </c>
      <c r="E1378" t="s">
        <v>70</v>
      </c>
      <c r="F1378" t="s">
        <v>1275</v>
      </c>
      <c r="G1378" t="s">
        <v>10333</v>
      </c>
      <c r="H1378" t="s">
        <v>3703</v>
      </c>
      <c r="I1378" t="s">
        <v>10376</v>
      </c>
      <c r="J1378" t="s">
        <v>10376</v>
      </c>
      <c r="K1378" t="s">
        <v>36</v>
      </c>
      <c r="L1378" t="s">
        <v>33</v>
      </c>
      <c r="M1378">
        <v>20605366130</v>
      </c>
      <c r="N1378" t="s">
        <v>10377</v>
      </c>
      <c r="O1378" t="s">
        <v>10333</v>
      </c>
      <c r="P1378" t="s">
        <v>38</v>
      </c>
      <c r="Q1378">
        <v>4304216939075</v>
      </c>
      <c r="R1378" t="s">
        <v>10378</v>
      </c>
      <c r="S1378">
        <v>105.2</v>
      </c>
      <c r="T1378" t="s">
        <v>40</v>
      </c>
      <c r="U1378">
        <f>+IF(Tabla1[[#This Row],[MONEDA]]="PEN",Tabla1[[#This Row],[MONTO]],Tabla1[[#This Row],[MONTO]]*3.56)</f>
        <v>105.2</v>
      </c>
      <c r="V1378" t="s">
        <v>190</v>
      </c>
      <c r="W1378">
        <v>22824</v>
      </c>
      <c r="X1378" t="s">
        <v>81</v>
      </c>
      <c r="Y1378" t="s">
        <v>42</v>
      </c>
      <c r="Z1378" t="s">
        <v>82</v>
      </c>
      <c r="AA1378" t="s">
        <v>10379</v>
      </c>
      <c r="AC1378" t="s">
        <v>10380</v>
      </c>
      <c r="AD1378" t="s">
        <v>10381</v>
      </c>
    </row>
    <row r="1379" spans="1:33" hidden="1" x14ac:dyDescent="0.25">
      <c r="A1379">
        <v>24336</v>
      </c>
      <c r="B1379" t="s">
        <v>32</v>
      </c>
      <c r="C1379">
        <v>1</v>
      </c>
      <c r="D1379" t="s">
        <v>10519</v>
      </c>
      <c r="E1379" t="s">
        <v>70</v>
      </c>
      <c r="F1379" t="s">
        <v>33</v>
      </c>
      <c r="G1379" t="s">
        <v>71</v>
      </c>
      <c r="H1379" t="s">
        <v>72</v>
      </c>
      <c r="I1379" t="s">
        <v>10520</v>
      </c>
      <c r="J1379" t="s">
        <v>10521</v>
      </c>
      <c r="K1379" t="s">
        <v>36</v>
      </c>
      <c r="L1379" t="s">
        <v>33</v>
      </c>
      <c r="M1379">
        <v>20605366130</v>
      </c>
      <c r="N1379" t="s">
        <v>10377</v>
      </c>
      <c r="O1379" t="s">
        <v>76</v>
      </c>
      <c r="R1379" t="s">
        <v>10522</v>
      </c>
      <c r="S1379">
        <v>54</v>
      </c>
      <c r="T1379" t="s">
        <v>40</v>
      </c>
      <c r="U1379">
        <f>+IF(Tabla1[[#This Row],[MONEDA]]="PEN",Tabla1[[#This Row],[MONTO]],Tabla1[[#This Row],[MONTO]]*3.56)</f>
        <v>54</v>
      </c>
      <c r="V1379" t="s">
        <v>190</v>
      </c>
      <c r="W1379">
        <v>21787</v>
      </c>
      <c r="X1379" t="s">
        <v>81</v>
      </c>
      <c r="Y1379" t="s">
        <v>42</v>
      </c>
      <c r="Z1379" t="s">
        <v>82</v>
      </c>
      <c r="AA1379" t="s">
        <v>10523</v>
      </c>
      <c r="AC1379" t="s">
        <v>10524</v>
      </c>
      <c r="AD1379" t="s">
        <v>10525</v>
      </c>
    </row>
    <row r="1380" spans="1:33" hidden="1" x14ac:dyDescent="0.25">
      <c r="A1380">
        <v>44301</v>
      </c>
      <c r="B1380" t="s">
        <v>32</v>
      </c>
      <c r="C1380">
        <v>1</v>
      </c>
      <c r="D1380" t="s">
        <v>535</v>
      </c>
      <c r="E1380" t="s">
        <v>70</v>
      </c>
      <c r="F1380" t="s">
        <v>33</v>
      </c>
      <c r="G1380" t="s">
        <v>71</v>
      </c>
      <c r="H1380" t="s">
        <v>35</v>
      </c>
      <c r="I1380" t="s">
        <v>535</v>
      </c>
      <c r="J1380" t="s">
        <v>536</v>
      </c>
      <c r="K1380" t="s">
        <v>36</v>
      </c>
      <c r="L1380" t="s">
        <v>33</v>
      </c>
      <c r="M1380">
        <v>20562844199</v>
      </c>
      <c r="N1380" t="s">
        <v>537</v>
      </c>
      <c r="O1380" t="s">
        <v>76</v>
      </c>
      <c r="R1380" t="s">
        <v>538</v>
      </c>
      <c r="S1380">
        <v>55</v>
      </c>
      <c r="T1380" t="s">
        <v>40</v>
      </c>
      <c r="U1380">
        <f>+IF(Tabla1[[#This Row],[MONEDA]]="PEN",Tabla1[[#This Row],[MONTO]],Tabla1[[#This Row],[MONTO]]*3.56)</f>
        <v>55</v>
      </c>
      <c r="V1380" t="s">
        <v>190</v>
      </c>
      <c r="W1380">
        <v>41217</v>
      </c>
      <c r="X1380" t="s">
        <v>81</v>
      </c>
      <c r="Y1380" t="s">
        <v>42</v>
      </c>
      <c r="Z1380" t="s">
        <v>43</v>
      </c>
      <c r="AA1380" t="s">
        <v>539</v>
      </c>
      <c r="AC1380" t="s">
        <v>540</v>
      </c>
      <c r="AD1380" t="s">
        <v>541</v>
      </c>
    </row>
    <row r="1381" spans="1:33" hidden="1" x14ac:dyDescent="0.25">
      <c r="A1381">
        <v>43458</v>
      </c>
      <c r="B1381" t="s">
        <v>32</v>
      </c>
      <c r="C1381">
        <v>1</v>
      </c>
      <c r="D1381" t="s">
        <v>792</v>
      </c>
      <c r="E1381" t="s">
        <v>70</v>
      </c>
      <c r="F1381" t="s">
        <v>33</v>
      </c>
      <c r="G1381" t="s">
        <v>71</v>
      </c>
      <c r="H1381" t="s">
        <v>35</v>
      </c>
      <c r="I1381" t="s">
        <v>792</v>
      </c>
      <c r="J1381" t="s">
        <v>793</v>
      </c>
      <c r="K1381" t="s">
        <v>36</v>
      </c>
      <c r="L1381" t="s">
        <v>33</v>
      </c>
      <c r="M1381">
        <v>20562844199</v>
      </c>
      <c r="N1381" t="s">
        <v>537</v>
      </c>
      <c r="O1381" t="s">
        <v>76</v>
      </c>
      <c r="R1381" t="s">
        <v>794</v>
      </c>
      <c r="S1381">
        <v>10</v>
      </c>
      <c r="T1381" t="s">
        <v>40</v>
      </c>
      <c r="U1381">
        <f>+IF(Tabla1[[#This Row],[MONEDA]]="PEN",Tabla1[[#This Row],[MONTO]],Tabla1[[#This Row],[MONTO]]*3.56)</f>
        <v>10</v>
      </c>
      <c r="V1381" t="s">
        <v>190</v>
      </c>
      <c r="W1381">
        <v>41217</v>
      </c>
      <c r="X1381" t="s">
        <v>81</v>
      </c>
      <c r="Y1381" t="s">
        <v>42</v>
      </c>
      <c r="Z1381" t="s">
        <v>43</v>
      </c>
      <c r="AA1381" t="s">
        <v>795</v>
      </c>
      <c r="AC1381" t="s">
        <v>796</v>
      </c>
      <c r="AD1381" t="s">
        <v>797</v>
      </c>
    </row>
    <row r="1382" spans="1:33" hidden="1" x14ac:dyDescent="0.25">
      <c r="A1382">
        <v>43446</v>
      </c>
      <c r="B1382" t="s">
        <v>32</v>
      </c>
      <c r="C1382">
        <v>1</v>
      </c>
      <c r="D1382" t="s">
        <v>850</v>
      </c>
      <c r="E1382" t="s">
        <v>70</v>
      </c>
      <c r="F1382" t="s">
        <v>33</v>
      </c>
      <c r="G1382" t="s">
        <v>71</v>
      </c>
      <c r="H1382" t="s">
        <v>35</v>
      </c>
      <c r="I1382" t="s">
        <v>850</v>
      </c>
      <c r="J1382" t="s">
        <v>851</v>
      </c>
      <c r="K1382" t="s">
        <v>36</v>
      </c>
      <c r="L1382" t="s">
        <v>33</v>
      </c>
      <c r="M1382">
        <v>20562844199</v>
      </c>
      <c r="N1382" t="s">
        <v>537</v>
      </c>
      <c r="O1382" t="s">
        <v>76</v>
      </c>
      <c r="R1382" t="s">
        <v>852</v>
      </c>
      <c r="S1382">
        <v>60</v>
      </c>
      <c r="T1382" t="s">
        <v>40</v>
      </c>
      <c r="U1382">
        <f>+IF(Tabla1[[#This Row],[MONEDA]]="PEN",Tabla1[[#This Row],[MONTO]],Tabla1[[#This Row],[MONTO]]*3.56)</f>
        <v>60</v>
      </c>
      <c r="V1382" t="s">
        <v>190</v>
      </c>
      <c r="W1382">
        <v>41217</v>
      </c>
      <c r="X1382" t="s">
        <v>81</v>
      </c>
      <c r="Y1382" t="s">
        <v>42</v>
      </c>
      <c r="Z1382" t="s">
        <v>43</v>
      </c>
      <c r="AA1382" t="s">
        <v>853</v>
      </c>
      <c r="AC1382" t="s">
        <v>854</v>
      </c>
      <c r="AD1382" t="s">
        <v>855</v>
      </c>
    </row>
    <row r="1383" spans="1:33" hidden="1" x14ac:dyDescent="0.25">
      <c r="A1383">
        <v>40815</v>
      </c>
      <c r="B1383" t="s">
        <v>32</v>
      </c>
      <c r="C1383">
        <v>1</v>
      </c>
      <c r="D1383" t="s">
        <v>1936</v>
      </c>
      <c r="E1383" t="s">
        <v>70</v>
      </c>
      <c r="F1383" t="s">
        <v>33</v>
      </c>
      <c r="G1383" t="s">
        <v>71</v>
      </c>
      <c r="H1383" t="s">
        <v>35</v>
      </c>
      <c r="I1383" t="s">
        <v>1936</v>
      </c>
      <c r="J1383" t="s">
        <v>1947</v>
      </c>
      <c r="K1383" t="s">
        <v>36</v>
      </c>
      <c r="L1383" t="s">
        <v>33</v>
      </c>
      <c r="M1383">
        <v>20562844199</v>
      </c>
      <c r="N1383" t="s">
        <v>537</v>
      </c>
      <c r="O1383" t="s">
        <v>76</v>
      </c>
      <c r="R1383" t="s">
        <v>1948</v>
      </c>
      <c r="S1383">
        <v>10</v>
      </c>
      <c r="T1383" t="s">
        <v>40</v>
      </c>
      <c r="U1383">
        <f>+IF(Tabla1[[#This Row],[MONEDA]]="PEN",Tabla1[[#This Row],[MONTO]],Tabla1[[#This Row],[MONTO]]*3.56)</f>
        <v>10</v>
      </c>
      <c r="V1383" t="s">
        <v>190</v>
      </c>
      <c r="W1383">
        <v>38906</v>
      </c>
      <c r="X1383" t="s">
        <v>41</v>
      </c>
      <c r="Y1383" t="s">
        <v>42</v>
      </c>
      <c r="Z1383" t="s">
        <v>43</v>
      </c>
      <c r="AA1383" t="s">
        <v>1949</v>
      </c>
      <c r="AC1383" t="s">
        <v>1950</v>
      </c>
      <c r="AD1383" t="s">
        <v>1951</v>
      </c>
    </row>
    <row r="1384" spans="1:33" hidden="1" x14ac:dyDescent="0.25">
      <c r="A1384">
        <v>38593</v>
      </c>
      <c r="B1384" t="s">
        <v>32</v>
      </c>
      <c r="C1384">
        <v>1</v>
      </c>
      <c r="D1384" t="s">
        <v>2808</v>
      </c>
      <c r="E1384" t="s">
        <v>70</v>
      </c>
      <c r="F1384" t="s">
        <v>33</v>
      </c>
      <c r="G1384" t="s">
        <v>71</v>
      </c>
      <c r="H1384" t="s">
        <v>35</v>
      </c>
      <c r="I1384" t="s">
        <v>2808</v>
      </c>
      <c r="J1384" t="s">
        <v>2809</v>
      </c>
      <c r="K1384" t="s">
        <v>36</v>
      </c>
      <c r="L1384" t="s">
        <v>33</v>
      </c>
      <c r="M1384">
        <v>20562844199</v>
      </c>
      <c r="N1384" t="s">
        <v>537</v>
      </c>
      <c r="O1384" t="s">
        <v>76</v>
      </c>
      <c r="R1384" t="s">
        <v>2810</v>
      </c>
      <c r="S1384">
        <v>100</v>
      </c>
      <c r="T1384" t="s">
        <v>40</v>
      </c>
      <c r="U1384">
        <f>+IF(Tabla1[[#This Row],[MONEDA]]="PEN",Tabla1[[#This Row],[MONTO]],Tabla1[[#This Row],[MONTO]]*3.56)</f>
        <v>100</v>
      </c>
      <c r="V1384" t="s">
        <v>190</v>
      </c>
      <c r="W1384">
        <v>34656</v>
      </c>
      <c r="X1384" t="s">
        <v>41</v>
      </c>
      <c r="Y1384" t="s">
        <v>42</v>
      </c>
      <c r="Z1384" t="s">
        <v>43</v>
      </c>
      <c r="AA1384" t="s">
        <v>2811</v>
      </c>
      <c r="AC1384" t="s">
        <v>2812</v>
      </c>
      <c r="AD1384" t="s">
        <v>2813</v>
      </c>
    </row>
    <row r="1385" spans="1:33" hidden="1" x14ac:dyDescent="0.25">
      <c r="A1385">
        <v>36669</v>
      </c>
      <c r="B1385" t="s">
        <v>32</v>
      </c>
      <c r="C1385">
        <v>1</v>
      </c>
      <c r="D1385" t="s">
        <v>3736</v>
      </c>
      <c r="E1385" t="s">
        <v>70</v>
      </c>
      <c r="F1385" t="s">
        <v>33</v>
      </c>
      <c r="G1385" t="s">
        <v>71</v>
      </c>
      <c r="H1385" t="s">
        <v>35</v>
      </c>
      <c r="I1385" t="s">
        <v>3736</v>
      </c>
      <c r="J1385" t="s">
        <v>3742</v>
      </c>
      <c r="K1385" t="s">
        <v>36</v>
      </c>
      <c r="L1385" t="s">
        <v>33</v>
      </c>
      <c r="M1385">
        <v>20562844199</v>
      </c>
      <c r="N1385" t="s">
        <v>537</v>
      </c>
      <c r="O1385" t="s">
        <v>76</v>
      </c>
      <c r="R1385" t="s">
        <v>3743</v>
      </c>
      <c r="S1385">
        <v>55</v>
      </c>
      <c r="T1385" t="s">
        <v>40</v>
      </c>
      <c r="U1385">
        <f>+IF(Tabla1[[#This Row],[MONEDA]]="PEN",Tabla1[[#This Row],[MONTO]],Tabla1[[#This Row],[MONTO]]*3.56)</f>
        <v>55</v>
      </c>
      <c r="V1385" t="s">
        <v>190</v>
      </c>
      <c r="W1385">
        <v>33331</v>
      </c>
      <c r="X1385" t="s">
        <v>41</v>
      </c>
      <c r="Y1385" t="s">
        <v>42</v>
      </c>
      <c r="Z1385" t="s">
        <v>43</v>
      </c>
      <c r="AA1385" t="s">
        <v>3744</v>
      </c>
      <c r="AC1385" t="s">
        <v>3745</v>
      </c>
      <c r="AD1385" t="s">
        <v>3746</v>
      </c>
    </row>
    <row r="1386" spans="1:33" hidden="1" x14ac:dyDescent="0.25">
      <c r="A1386">
        <v>33321</v>
      </c>
      <c r="B1386" t="s">
        <v>32</v>
      </c>
      <c r="C1386">
        <v>1</v>
      </c>
      <c r="D1386" t="s">
        <v>4957</v>
      </c>
      <c r="E1386" t="s">
        <v>70</v>
      </c>
      <c r="F1386" t="s">
        <v>33</v>
      </c>
      <c r="G1386" t="s">
        <v>71</v>
      </c>
      <c r="H1386" t="s">
        <v>35</v>
      </c>
      <c r="I1386" t="s">
        <v>4957</v>
      </c>
      <c r="J1386" t="s">
        <v>4958</v>
      </c>
      <c r="K1386" t="s">
        <v>36</v>
      </c>
      <c r="L1386" t="s">
        <v>33</v>
      </c>
      <c r="M1386">
        <v>20562844199</v>
      </c>
      <c r="N1386" t="s">
        <v>537</v>
      </c>
      <c r="O1386" t="s">
        <v>76</v>
      </c>
      <c r="R1386" t="s">
        <v>4959</v>
      </c>
      <c r="S1386">
        <v>15</v>
      </c>
      <c r="T1386" t="s">
        <v>40</v>
      </c>
      <c r="U1386">
        <f>+IF(Tabla1[[#This Row],[MONEDA]]="PEN",Tabla1[[#This Row],[MONTO]],Tabla1[[#This Row],[MONTO]]*3.56)</f>
        <v>15</v>
      </c>
      <c r="V1386" t="s">
        <v>190</v>
      </c>
      <c r="W1386">
        <v>32138</v>
      </c>
      <c r="X1386" t="s">
        <v>81</v>
      </c>
      <c r="Y1386" t="s">
        <v>42</v>
      </c>
      <c r="Z1386" t="s">
        <v>43</v>
      </c>
      <c r="AA1386" t="s">
        <v>4960</v>
      </c>
      <c r="AC1386" t="s">
        <v>4961</v>
      </c>
      <c r="AD1386" t="s">
        <v>4962</v>
      </c>
    </row>
    <row r="1387" spans="1:33" hidden="1" x14ac:dyDescent="0.25">
      <c r="A1387">
        <v>32744</v>
      </c>
      <c r="B1387" t="s">
        <v>32</v>
      </c>
      <c r="C1387">
        <v>1</v>
      </c>
      <c r="D1387" t="s">
        <v>5307</v>
      </c>
      <c r="E1387" t="s">
        <v>70</v>
      </c>
      <c r="F1387" t="s">
        <v>33</v>
      </c>
      <c r="G1387" t="s">
        <v>71</v>
      </c>
      <c r="H1387" t="s">
        <v>35</v>
      </c>
      <c r="I1387" t="s">
        <v>5307</v>
      </c>
      <c r="J1387" t="s">
        <v>5308</v>
      </c>
      <c r="K1387" t="s">
        <v>36</v>
      </c>
      <c r="L1387" t="s">
        <v>33</v>
      </c>
      <c r="M1387">
        <v>20562844199</v>
      </c>
      <c r="N1387" t="s">
        <v>537</v>
      </c>
      <c r="O1387" t="s">
        <v>76</v>
      </c>
      <c r="R1387" t="s">
        <v>5297</v>
      </c>
      <c r="S1387">
        <v>250</v>
      </c>
      <c r="T1387" t="s">
        <v>40</v>
      </c>
      <c r="U1387">
        <f>+IF(Tabla1[[#This Row],[MONEDA]]="PEN",Tabla1[[#This Row],[MONTO]],Tabla1[[#This Row],[MONTO]]*3.56)</f>
        <v>250</v>
      </c>
      <c r="V1387" t="s">
        <v>190</v>
      </c>
      <c r="W1387">
        <v>32138</v>
      </c>
      <c r="X1387" t="s">
        <v>81</v>
      </c>
      <c r="Y1387" t="s">
        <v>42</v>
      </c>
      <c r="Z1387" t="s">
        <v>43</v>
      </c>
      <c r="AA1387" t="s">
        <v>5309</v>
      </c>
      <c r="AC1387" t="s">
        <v>5310</v>
      </c>
      <c r="AD1387" t="s">
        <v>5311</v>
      </c>
    </row>
    <row r="1388" spans="1:33" hidden="1" x14ac:dyDescent="0.25">
      <c r="A1388">
        <v>28522</v>
      </c>
      <c r="B1388" t="s">
        <v>32</v>
      </c>
      <c r="C1388">
        <v>1</v>
      </c>
      <c r="D1388" t="s">
        <v>7646</v>
      </c>
      <c r="E1388" t="s">
        <v>70</v>
      </c>
      <c r="F1388" t="s">
        <v>33</v>
      </c>
      <c r="G1388" t="s">
        <v>71</v>
      </c>
      <c r="H1388" t="s">
        <v>72</v>
      </c>
      <c r="I1388" t="s">
        <v>7639</v>
      </c>
      <c r="J1388" t="s">
        <v>7647</v>
      </c>
      <c r="K1388" t="s">
        <v>36</v>
      </c>
      <c r="L1388" t="s">
        <v>33</v>
      </c>
      <c r="M1388">
        <v>20562844199</v>
      </c>
      <c r="N1388" t="s">
        <v>537</v>
      </c>
      <c r="O1388" t="s">
        <v>76</v>
      </c>
      <c r="P1388" t="s">
        <v>38</v>
      </c>
      <c r="Q1388" t="s">
        <v>7648</v>
      </c>
      <c r="R1388" t="s">
        <v>7649</v>
      </c>
      <c r="S1388">
        <v>250</v>
      </c>
      <c r="T1388" t="s">
        <v>40</v>
      </c>
      <c r="U1388">
        <f>+IF(Tabla1[[#This Row],[MONEDA]]="PEN",Tabla1[[#This Row],[MONTO]],Tabla1[[#This Row],[MONTO]]*3.56)</f>
        <v>250</v>
      </c>
      <c r="X1388" t="s">
        <v>81</v>
      </c>
      <c r="Y1388" t="s">
        <v>42</v>
      </c>
      <c r="Z1388" t="s">
        <v>82</v>
      </c>
      <c r="AA1388" t="s">
        <v>7650</v>
      </c>
      <c r="AB1388" t="s">
        <v>7651</v>
      </c>
      <c r="AC1388" t="s">
        <v>7652</v>
      </c>
      <c r="AD1388" t="s">
        <v>7653</v>
      </c>
      <c r="AE1388">
        <v>250</v>
      </c>
      <c r="AF1388" t="s">
        <v>87</v>
      </c>
      <c r="AG1388" t="s">
        <v>169</v>
      </c>
    </row>
    <row r="1389" spans="1:33" hidden="1" x14ac:dyDescent="0.25">
      <c r="A1389">
        <v>24030</v>
      </c>
      <c r="B1389" t="s">
        <v>32</v>
      </c>
      <c r="C1389">
        <v>3</v>
      </c>
      <c r="D1389" t="s">
        <v>10590</v>
      </c>
      <c r="E1389" t="s">
        <v>70</v>
      </c>
      <c r="F1389" t="s">
        <v>33</v>
      </c>
      <c r="G1389" t="s">
        <v>71</v>
      </c>
      <c r="H1389" t="s">
        <v>72</v>
      </c>
      <c r="I1389" t="s">
        <v>10591</v>
      </c>
      <c r="J1389" t="s">
        <v>10592</v>
      </c>
      <c r="K1389" t="s">
        <v>36</v>
      </c>
      <c r="L1389" t="s">
        <v>33</v>
      </c>
      <c r="M1389">
        <v>20601797560</v>
      </c>
      <c r="N1389" t="s">
        <v>10593</v>
      </c>
      <c r="O1389" t="s">
        <v>76</v>
      </c>
      <c r="P1389" t="s">
        <v>38</v>
      </c>
      <c r="Q1389" t="s">
        <v>10594</v>
      </c>
      <c r="R1389" t="s">
        <v>10595</v>
      </c>
      <c r="S1389">
        <v>3249.9949999999999</v>
      </c>
      <c r="T1389" t="s">
        <v>40</v>
      </c>
      <c r="U1389">
        <f>+IF(Tabla1[[#This Row],[MONEDA]]="PEN",Tabla1[[#This Row],[MONTO]],Tabla1[[#This Row],[MONTO]]*3.56)</f>
        <v>3249.9949999999999</v>
      </c>
      <c r="X1389" t="s">
        <v>41</v>
      </c>
      <c r="Y1389" t="s">
        <v>42</v>
      </c>
      <c r="Z1389" t="s">
        <v>43</v>
      </c>
      <c r="AA1389" t="s">
        <v>10596</v>
      </c>
      <c r="AB1389" t="s">
        <v>10597</v>
      </c>
      <c r="AC1389" t="s">
        <v>10598</v>
      </c>
      <c r="AD1389" t="s">
        <v>10599</v>
      </c>
      <c r="AE1389">
        <v>3152.49</v>
      </c>
      <c r="AF1389" t="s">
        <v>87</v>
      </c>
      <c r="AG1389" t="s">
        <v>169</v>
      </c>
    </row>
    <row r="1390" spans="1:33" hidden="1" x14ac:dyDescent="0.25">
      <c r="A1390">
        <v>24029</v>
      </c>
      <c r="B1390" t="s">
        <v>32</v>
      </c>
      <c r="C1390">
        <v>1</v>
      </c>
      <c r="D1390" t="s">
        <v>10590</v>
      </c>
      <c r="E1390" t="s">
        <v>70</v>
      </c>
      <c r="F1390" t="s">
        <v>33</v>
      </c>
      <c r="G1390" t="s">
        <v>71</v>
      </c>
      <c r="H1390" t="s">
        <v>72</v>
      </c>
      <c r="I1390" t="s">
        <v>10880</v>
      </c>
      <c r="J1390" t="s">
        <v>10881</v>
      </c>
      <c r="K1390" t="s">
        <v>36</v>
      </c>
      <c r="L1390" t="s">
        <v>33</v>
      </c>
      <c r="M1390">
        <v>20601797560</v>
      </c>
      <c r="N1390" t="s">
        <v>10593</v>
      </c>
      <c r="O1390" t="s">
        <v>76</v>
      </c>
      <c r="P1390" t="s">
        <v>38</v>
      </c>
      <c r="Q1390" t="s">
        <v>10594</v>
      </c>
      <c r="R1390" t="s">
        <v>10882</v>
      </c>
      <c r="S1390">
        <v>3249.9949999999999</v>
      </c>
      <c r="T1390" t="s">
        <v>40</v>
      </c>
      <c r="U1390">
        <f>+IF(Tabla1[[#This Row],[MONEDA]]="PEN",Tabla1[[#This Row],[MONTO]],Tabla1[[#This Row],[MONTO]]*3.56)</f>
        <v>3249.9949999999999</v>
      </c>
      <c r="X1390" t="s">
        <v>41</v>
      </c>
      <c r="Y1390" t="s">
        <v>42</v>
      </c>
      <c r="Z1390" t="s">
        <v>82</v>
      </c>
      <c r="AA1390" t="s">
        <v>10883</v>
      </c>
      <c r="AB1390" t="s">
        <v>10597</v>
      </c>
      <c r="AC1390" t="s">
        <v>10884</v>
      </c>
      <c r="AD1390" t="s">
        <v>10885</v>
      </c>
      <c r="AE1390">
        <v>3152.5</v>
      </c>
      <c r="AF1390" t="s">
        <v>87</v>
      </c>
      <c r="AG1390" t="s">
        <v>10886</v>
      </c>
    </row>
    <row r="1391" spans="1:33" hidden="1" x14ac:dyDescent="0.25">
      <c r="A1391">
        <v>24369</v>
      </c>
      <c r="B1391" t="s">
        <v>32</v>
      </c>
      <c r="C1391">
        <v>1</v>
      </c>
      <c r="D1391" t="s">
        <v>10439</v>
      </c>
      <c r="E1391" t="s">
        <v>70</v>
      </c>
      <c r="F1391" t="s">
        <v>33</v>
      </c>
      <c r="G1391" t="s">
        <v>71</v>
      </c>
      <c r="H1391" t="s">
        <v>72</v>
      </c>
      <c r="I1391" t="s">
        <v>10440</v>
      </c>
      <c r="J1391" t="s">
        <v>10441</v>
      </c>
      <c r="K1391" t="s">
        <v>36</v>
      </c>
      <c r="L1391" t="s">
        <v>33</v>
      </c>
      <c r="M1391">
        <v>20600716833</v>
      </c>
      <c r="N1391" t="s">
        <v>10442</v>
      </c>
      <c r="O1391" t="s">
        <v>76</v>
      </c>
      <c r="R1391" t="s">
        <v>10429</v>
      </c>
      <c r="S1391">
        <v>200</v>
      </c>
      <c r="T1391" t="s">
        <v>40</v>
      </c>
      <c r="U1391">
        <f>+IF(Tabla1[[#This Row],[MONEDA]]="PEN",Tabla1[[#This Row],[MONTO]],Tabla1[[#This Row],[MONTO]]*3.56)</f>
        <v>200</v>
      </c>
      <c r="V1391" t="s">
        <v>190</v>
      </c>
      <c r="W1391">
        <v>23138</v>
      </c>
      <c r="X1391" t="s">
        <v>81</v>
      </c>
      <c r="Y1391" t="s">
        <v>42</v>
      </c>
      <c r="Z1391" t="s">
        <v>43</v>
      </c>
      <c r="AA1391" t="s">
        <v>10443</v>
      </c>
      <c r="AC1391" t="s">
        <v>10444</v>
      </c>
      <c r="AD1391" t="s">
        <v>10445</v>
      </c>
    </row>
    <row r="1392" spans="1:33" hidden="1" x14ac:dyDescent="0.25">
      <c r="A1392">
        <v>41241</v>
      </c>
      <c r="B1392" t="s">
        <v>32</v>
      </c>
      <c r="C1392">
        <v>1</v>
      </c>
      <c r="D1392" t="s">
        <v>1549</v>
      </c>
      <c r="E1392" t="s">
        <v>70</v>
      </c>
      <c r="F1392" t="s">
        <v>33</v>
      </c>
      <c r="G1392" t="s">
        <v>71</v>
      </c>
      <c r="H1392" t="s">
        <v>35</v>
      </c>
      <c r="I1392" t="s">
        <v>1549</v>
      </c>
      <c r="J1392" t="s">
        <v>1550</v>
      </c>
      <c r="K1392" t="s">
        <v>36</v>
      </c>
      <c r="L1392" t="s">
        <v>33</v>
      </c>
      <c r="M1392">
        <v>20610717331</v>
      </c>
      <c r="N1392" t="s">
        <v>1551</v>
      </c>
      <c r="O1392" t="s">
        <v>76</v>
      </c>
      <c r="R1392" t="s">
        <v>1552</v>
      </c>
      <c r="S1392">
        <v>150</v>
      </c>
      <c r="T1392" t="s">
        <v>40</v>
      </c>
      <c r="U1392">
        <f>+IF(Tabla1[[#This Row],[MONEDA]]="PEN",Tabla1[[#This Row],[MONTO]],Tabla1[[#This Row],[MONTO]]*3.56)</f>
        <v>150</v>
      </c>
      <c r="V1392" t="s">
        <v>190</v>
      </c>
      <c r="W1392">
        <v>39699</v>
      </c>
      <c r="X1392" t="s">
        <v>81</v>
      </c>
      <c r="Y1392" t="s">
        <v>42</v>
      </c>
      <c r="Z1392" t="s">
        <v>43</v>
      </c>
      <c r="AA1392" t="s">
        <v>1553</v>
      </c>
      <c r="AC1392" t="s">
        <v>1554</v>
      </c>
      <c r="AD1392" t="s">
        <v>1555</v>
      </c>
    </row>
    <row r="1393" spans="1:33" hidden="1" x14ac:dyDescent="0.25">
      <c r="A1393">
        <v>41232</v>
      </c>
      <c r="B1393" t="s">
        <v>32</v>
      </c>
      <c r="C1393">
        <v>1</v>
      </c>
      <c r="D1393" t="s">
        <v>1562</v>
      </c>
      <c r="E1393" t="s">
        <v>70</v>
      </c>
      <c r="F1393" t="s">
        <v>33</v>
      </c>
      <c r="G1393" t="s">
        <v>71</v>
      </c>
      <c r="H1393" t="s">
        <v>35</v>
      </c>
      <c r="I1393" t="s">
        <v>1562</v>
      </c>
      <c r="J1393" t="s">
        <v>1563</v>
      </c>
      <c r="K1393" t="s">
        <v>36</v>
      </c>
      <c r="L1393" t="s">
        <v>33</v>
      </c>
      <c r="M1393">
        <v>20610717331</v>
      </c>
      <c r="N1393" t="s">
        <v>1551</v>
      </c>
      <c r="O1393" t="s">
        <v>76</v>
      </c>
      <c r="R1393" t="s">
        <v>1564</v>
      </c>
      <c r="S1393">
        <v>60</v>
      </c>
      <c r="T1393" t="s">
        <v>40</v>
      </c>
      <c r="U1393">
        <f>+IF(Tabla1[[#This Row],[MONEDA]]="PEN",Tabla1[[#This Row],[MONTO]],Tabla1[[#This Row],[MONTO]]*3.56)</f>
        <v>60</v>
      </c>
      <c r="V1393" t="s">
        <v>190</v>
      </c>
      <c r="W1393">
        <v>39699</v>
      </c>
      <c r="X1393" t="s">
        <v>81</v>
      </c>
      <c r="Y1393" t="s">
        <v>42</v>
      </c>
      <c r="Z1393" t="s">
        <v>43</v>
      </c>
      <c r="AA1393" t="s">
        <v>1565</v>
      </c>
      <c r="AC1393" t="s">
        <v>1566</v>
      </c>
      <c r="AD1393" t="s">
        <v>1567</v>
      </c>
    </row>
    <row r="1394" spans="1:33" hidden="1" x14ac:dyDescent="0.25">
      <c r="A1394">
        <v>41198</v>
      </c>
      <c r="B1394" t="s">
        <v>32</v>
      </c>
      <c r="C1394">
        <v>1</v>
      </c>
      <c r="D1394" t="s">
        <v>1619</v>
      </c>
      <c r="E1394" t="s">
        <v>70</v>
      </c>
      <c r="F1394" t="s">
        <v>33</v>
      </c>
      <c r="G1394" t="s">
        <v>71</v>
      </c>
      <c r="H1394" t="s">
        <v>35</v>
      </c>
      <c r="I1394" t="s">
        <v>1619</v>
      </c>
      <c r="J1394" t="s">
        <v>1620</v>
      </c>
      <c r="K1394" t="s">
        <v>36</v>
      </c>
      <c r="L1394" t="s">
        <v>33</v>
      </c>
      <c r="M1394">
        <v>20610717331</v>
      </c>
      <c r="N1394" t="s">
        <v>1551</v>
      </c>
      <c r="O1394" t="s">
        <v>76</v>
      </c>
      <c r="R1394" t="s">
        <v>1634</v>
      </c>
      <c r="S1394">
        <v>20</v>
      </c>
      <c r="T1394" t="s">
        <v>40</v>
      </c>
      <c r="U1394">
        <f>+IF(Tabla1[[#This Row],[MONEDA]]="PEN",Tabla1[[#This Row],[MONTO]],Tabla1[[#This Row],[MONTO]]*3.56)</f>
        <v>20</v>
      </c>
      <c r="V1394" t="s">
        <v>190</v>
      </c>
      <c r="W1394">
        <v>39699</v>
      </c>
      <c r="X1394" t="s">
        <v>81</v>
      </c>
      <c r="Y1394" t="s">
        <v>42</v>
      </c>
      <c r="Z1394" t="s">
        <v>43</v>
      </c>
      <c r="AA1394" t="s">
        <v>1635</v>
      </c>
      <c r="AC1394" t="s">
        <v>1636</v>
      </c>
      <c r="AD1394" t="s">
        <v>1637</v>
      </c>
    </row>
    <row r="1395" spans="1:33" hidden="1" x14ac:dyDescent="0.25">
      <c r="A1395">
        <v>38534</v>
      </c>
      <c r="B1395" t="s">
        <v>32</v>
      </c>
      <c r="C1395">
        <v>1</v>
      </c>
      <c r="D1395" t="s">
        <v>2814</v>
      </c>
      <c r="E1395" t="s">
        <v>70</v>
      </c>
      <c r="F1395" t="s">
        <v>33</v>
      </c>
      <c r="G1395" t="s">
        <v>71</v>
      </c>
      <c r="H1395" t="s">
        <v>35</v>
      </c>
      <c r="I1395" t="s">
        <v>2814</v>
      </c>
      <c r="J1395" t="s">
        <v>2815</v>
      </c>
      <c r="K1395" t="s">
        <v>36</v>
      </c>
      <c r="L1395" t="s">
        <v>33</v>
      </c>
      <c r="M1395">
        <v>20610717331</v>
      </c>
      <c r="N1395" t="s">
        <v>1551</v>
      </c>
      <c r="O1395" t="s">
        <v>76</v>
      </c>
      <c r="R1395" t="s">
        <v>2816</v>
      </c>
      <c r="S1395">
        <v>283</v>
      </c>
      <c r="T1395" t="s">
        <v>40</v>
      </c>
      <c r="U1395">
        <f>+IF(Tabla1[[#This Row],[MONEDA]]="PEN",Tabla1[[#This Row],[MONTO]],Tabla1[[#This Row],[MONTO]]*3.56)</f>
        <v>283</v>
      </c>
      <c r="V1395" t="s">
        <v>190</v>
      </c>
      <c r="W1395">
        <v>34656</v>
      </c>
      <c r="X1395" t="s">
        <v>81</v>
      </c>
      <c r="Y1395" t="s">
        <v>42</v>
      </c>
      <c r="Z1395" t="s">
        <v>43</v>
      </c>
      <c r="AA1395" t="s">
        <v>2817</v>
      </c>
      <c r="AC1395" t="s">
        <v>2818</v>
      </c>
      <c r="AD1395" t="s">
        <v>2819</v>
      </c>
    </row>
    <row r="1396" spans="1:33" hidden="1" x14ac:dyDescent="0.25">
      <c r="A1396">
        <v>37072</v>
      </c>
      <c r="B1396" t="s">
        <v>32</v>
      </c>
      <c r="C1396">
        <v>1</v>
      </c>
      <c r="D1396" t="s">
        <v>3512</v>
      </c>
      <c r="E1396" t="s">
        <v>70</v>
      </c>
      <c r="F1396" t="s">
        <v>33</v>
      </c>
      <c r="G1396" t="s">
        <v>71</v>
      </c>
      <c r="H1396" t="s">
        <v>35</v>
      </c>
      <c r="I1396" t="s">
        <v>3512</v>
      </c>
      <c r="J1396" t="s">
        <v>3513</v>
      </c>
      <c r="K1396" t="s">
        <v>36</v>
      </c>
      <c r="L1396" t="s">
        <v>33</v>
      </c>
      <c r="M1396">
        <v>20610717331</v>
      </c>
      <c r="N1396" t="s">
        <v>1551</v>
      </c>
      <c r="O1396" t="s">
        <v>76</v>
      </c>
      <c r="R1396" t="s">
        <v>3514</v>
      </c>
      <c r="S1396">
        <v>75</v>
      </c>
      <c r="T1396" t="s">
        <v>40</v>
      </c>
      <c r="U1396">
        <f>+IF(Tabla1[[#This Row],[MONEDA]]="PEN",Tabla1[[#This Row],[MONTO]],Tabla1[[#This Row],[MONTO]]*3.56)</f>
        <v>75</v>
      </c>
      <c r="V1396" t="s">
        <v>190</v>
      </c>
      <c r="W1396">
        <v>33331</v>
      </c>
      <c r="X1396" t="s">
        <v>41</v>
      </c>
      <c r="Y1396" t="s">
        <v>42</v>
      </c>
      <c r="Z1396" t="s">
        <v>43</v>
      </c>
      <c r="AA1396" t="s">
        <v>3515</v>
      </c>
      <c r="AC1396" t="s">
        <v>3516</v>
      </c>
      <c r="AD1396" t="s">
        <v>3517</v>
      </c>
    </row>
    <row r="1397" spans="1:33" hidden="1" x14ac:dyDescent="0.25">
      <c r="A1397">
        <v>36664</v>
      </c>
      <c r="B1397" t="s">
        <v>32</v>
      </c>
      <c r="C1397">
        <v>1</v>
      </c>
      <c r="D1397" t="s">
        <v>3771</v>
      </c>
      <c r="E1397" t="s">
        <v>70</v>
      </c>
      <c r="F1397" t="s">
        <v>33</v>
      </c>
      <c r="G1397" t="s">
        <v>71</v>
      </c>
      <c r="H1397" t="s">
        <v>35</v>
      </c>
      <c r="I1397" t="s">
        <v>3771</v>
      </c>
      <c r="J1397" t="s">
        <v>3772</v>
      </c>
      <c r="K1397" t="s">
        <v>36</v>
      </c>
      <c r="L1397" t="s">
        <v>33</v>
      </c>
      <c r="M1397">
        <v>20610717331</v>
      </c>
      <c r="N1397" t="s">
        <v>1551</v>
      </c>
      <c r="O1397" t="s">
        <v>76</v>
      </c>
      <c r="R1397" t="s">
        <v>3773</v>
      </c>
      <c r="S1397">
        <v>150</v>
      </c>
      <c r="T1397" t="s">
        <v>40</v>
      </c>
      <c r="U1397">
        <f>+IF(Tabla1[[#This Row],[MONEDA]]="PEN",Tabla1[[#This Row],[MONTO]],Tabla1[[#This Row],[MONTO]]*3.56)</f>
        <v>150</v>
      </c>
      <c r="V1397" t="s">
        <v>190</v>
      </c>
      <c r="W1397">
        <v>33331</v>
      </c>
      <c r="X1397" t="s">
        <v>81</v>
      </c>
      <c r="Y1397" t="s">
        <v>42</v>
      </c>
      <c r="Z1397" t="s">
        <v>43</v>
      </c>
      <c r="AA1397" t="s">
        <v>3774</v>
      </c>
      <c r="AC1397" t="s">
        <v>3775</v>
      </c>
      <c r="AD1397" t="s">
        <v>3776</v>
      </c>
    </row>
    <row r="1398" spans="1:33" hidden="1" x14ac:dyDescent="0.25">
      <c r="A1398">
        <v>33319</v>
      </c>
      <c r="B1398" t="s">
        <v>32</v>
      </c>
      <c r="C1398">
        <v>1</v>
      </c>
      <c r="D1398" t="s">
        <v>4969</v>
      </c>
      <c r="E1398" t="s">
        <v>70</v>
      </c>
      <c r="F1398" t="s">
        <v>33</v>
      </c>
      <c r="G1398" t="s">
        <v>71</v>
      </c>
      <c r="H1398" t="s">
        <v>35</v>
      </c>
      <c r="I1398" t="s">
        <v>4969</v>
      </c>
      <c r="J1398" t="s">
        <v>4970</v>
      </c>
      <c r="K1398" t="s">
        <v>36</v>
      </c>
      <c r="L1398" t="s">
        <v>33</v>
      </c>
      <c r="M1398">
        <v>20610717331</v>
      </c>
      <c r="N1398" t="s">
        <v>1551</v>
      </c>
      <c r="O1398" t="s">
        <v>76</v>
      </c>
      <c r="R1398" t="s">
        <v>4971</v>
      </c>
      <c r="S1398">
        <v>100</v>
      </c>
      <c r="T1398" t="s">
        <v>40</v>
      </c>
      <c r="U1398">
        <f>+IF(Tabla1[[#This Row],[MONEDA]]="PEN",Tabla1[[#This Row],[MONTO]],Tabla1[[#This Row],[MONTO]]*3.56)</f>
        <v>100</v>
      </c>
      <c r="V1398" t="s">
        <v>190</v>
      </c>
      <c r="W1398">
        <v>32138</v>
      </c>
      <c r="X1398" t="s">
        <v>81</v>
      </c>
      <c r="Y1398" t="s">
        <v>42</v>
      </c>
      <c r="Z1398" t="s">
        <v>43</v>
      </c>
      <c r="AA1398" t="s">
        <v>4972</v>
      </c>
      <c r="AC1398" t="s">
        <v>4973</v>
      </c>
      <c r="AD1398" t="s">
        <v>4974</v>
      </c>
    </row>
    <row r="1399" spans="1:33" hidden="1" x14ac:dyDescent="0.25">
      <c r="A1399">
        <v>32063</v>
      </c>
      <c r="B1399" t="s">
        <v>32</v>
      </c>
      <c r="C1399">
        <v>1</v>
      </c>
      <c r="D1399" t="s">
        <v>5469</v>
      </c>
      <c r="E1399" t="s">
        <v>70</v>
      </c>
      <c r="F1399" t="s">
        <v>33</v>
      </c>
      <c r="G1399" t="s">
        <v>71</v>
      </c>
      <c r="H1399" t="s">
        <v>72</v>
      </c>
      <c r="I1399" t="s">
        <v>5469</v>
      </c>
      <c r="J1399" t="s">
        <v>5470</v>
      </c>
      <c r="K1399" t="s">
        <v>36</v>
      </c>
      <c r="L1399" t="s">
        <v>33</v>
      </c>
      <c r="M1399">
        <v>20610717331</v>
      </c>
      <c r="N1399" t="s">
        <v>1551</v>
      </c>
      <c r="O1399" t="s">
        <v>76</v>
      </c>
      <c r="R1399" t="s">
        <v>5471</v>
      </c>
      <c r="S1399">
        <v>130</v>
      </c>
      <c r="T1399" t="s">
        <v>40</v>
      </c>
      <c r="U1399">
        <f>+IF(Tabla1[[#This Row],[MONEDA]]="PEN",Tabla1[[#This Row],[MONTO]],Tabla1[[#This Row],[MONTO]]*3.56)</f>
        <v>130</v>
      </c>
      <c r="V1399" t="s">
        <v>190</v>
      </c>
      <c r="W1399">
        <v>29730</v>
      </c>
      <c r="X1399" t="s">
        <v>81</v>
      </c>
      <c r="Y1399" t="s">
        <v>42</v>
      </c>
      <c r="Z1399" t="s">
        <v>43</v>
      </c>
      <c r="AA1399" t="s">
        <v>5472</v>
      </c>
      <c r="AC1399" t="s">
        <v>5473</v>
      </c>
      <c r="AD1399" t="s">
        <v>5474</v>
      </c>
    </row>
    <row r="1400" spans="1:33" hidden="1" x14ac:dyDescent="0.25">
      <c r="A1400">
        <v>30096</v>
      </c>
      <c r="B1400" t="s">
        <v>32</v>
      </c>
      <c r="C1400">
        <v>1</v>
      </c>
      <c r="D1400" t="s">
        <v>6431</v>
      </c>
      <c r="E1400" t="s">
        <v>70</v>
      </c>
      <c r="F1400" t="s">
        <v>33</v>
      </c>
      <c r="G1400" t="s">
        <v>71</v>
      </c>
      <c r="H1400" t="s">
        <v>72</v>
      </c>
      <c r="I1400" t="s">
        <v>6432</v>
      </c>
      <c r="J1400" t="s">
        <v>6433</v>
      </c>
      <c r="K1400" t="s">
        <v>36</v>
      </c>
      <c r="L1400" t="s">
        <v>33</v>
      </c>
      <c r="M1400">
        <v>20610717331</v>
      </c>
      <c r="N1400" t="s">
        <v>1551</v>
      </c>
      <c r="O1400" t="s">
        <v>76</v>
      </c>
      <c r="R1400" t="s">
        <v>6434</v>
      </c>
      <c r="S1400">
        <v>150</v>
      </c>
      <c r="T1400" t="s">
        <v>40</v>
      </c>
      <c r="U1400">
        <f>+IF(Tabla1[[#This Row],[MONEDA]]="PEN",Tabla1[[#This Row],[MONTO]],Tabla1[[#This Row],[MONTO]]*3.56)</f>
        <v>150</v>
      </c>
      <c r="V1400" t="s">
        <v>190</v>
      </c>
      <c r="W1400">
        <v>28316</v>
      </c>
      <c r="X1400" t="s">
        <v>81</v>
      </c>
      <c r="Y1400" t="s">
        <v>42</v>
      </c>
      <c r="Z1400" t="s">
        <v>43</v>
      </c>
      <c r="AA1400" t="s">
        <v>6428</v>
      </c>
      <c r="AC1400" t="s">
        <v>6435</v>
      </c>
      <c r="AD1400" t="s">
        <v>6436</v>
      </c>
    </row>
    <row r="1401" spans="1:33" hidden="1" x14ac:dyDescent="0.25">
      <c r="A1401">
        <v>29109</v>
      </c>
      <c r="B1401" t="s">
        <v>32</v>
      </c>
      <c r="C1401">
        <v>2</v>
      </c>
      <c r="D1401" t="s">
        <v>7180</v>
      </c>
      <c r="E1401" t="s">
        <v>70</v>
      </c>
      <c r="F1401" t="s">
        <v>33</v>
      </c>
      <c r="G1401" t="s">
        <v>71</v>
      </c>
      <c r="H1401" t="s">
        <v>72</v>
      </c>
      <c r="I1401" t="s">
        <v>7181</v>
      </c>
      <c r="J1401" t="s">
        <v>7187</v>
      </c>
      <c r="K1401" t="s">
        <v>36</v>
      </c>
      <c r="L1401" t="s">
        <v>33</v>
      </c>
      <c r="M1401">
        <v>20610717331</v>
      </c>
      <c r="N1401" t="s">
        <v>1551</v>
      </c>
      <c r="O1401" t="s">
        <v>76</v>
      </c>
      <c r="R1401" t="s">
        <v>7188</v>
      </c>
      <c r="S1401">
        <v>250</v>
      </c>
      <c r="T1401" t="s">
        <v>40</v>
      </c>
      <c r="U1401">
        <f>+IF(Tabla1[[#This Row],[MONEDA]]="PEN",Tabla1[[#This Row],[MONTO]],Tabla1[[#This Row],[MONTO]]*3.56)</f>
        <v>250</v>
      </c>
      <c r="V1401" t="s">
        <v>190</v>
      </c>
      <c r="W1401">
        <v>27036</v>
      </c>
      <c r="X1401" t="s">
        <v>81</v>
      </c>
      <c r="Y1401" t="s">
        <v>42</v>
      </c>
      <c r="Z1401" t="s">
        <v>43</v>
      </c>
      <c r="AA1401" t="s">
        <v>7189</v>
      </c>
      <c r="AC1401" t="s">
        <v>7190</v>
      </c>
      <c r="AD1401" t="s">
        <v>7191</v>
      </c>
    </row>
    <row r="1402" spans="1:33" hidden="1" x14ac:dyDescent="0.25">
      <c r="A1402">
        <v>26836</v>
      </c>
      <c r="B1402" t="s">
        <v>32</v>
      </c>
      <c r="C1402">
        <v>2</v>
      </c>
      <c r="D1402" t="s">
        <v>8920</v>
      </c>
      <c r="E1402" t="s">
        <v>70</v>
      </c>
      <c r="F1402" t="s">
        <v>33</v>
      </c>
      <c r="G1402" t="s">
        <v>71</v>
      </c>
      <c r="H1402" t="s">
        <v>72</v>
      </c>
      <c r="I1402" t="s">
        <v>8921</v>
      </c>
      <c r="J1402" t="s">
        <v>8922</v>
      </c>
      <c r="K1402" t="s">
        <v>36</v>
      </c>
      <c r="L1402" t="s">
        <v>33</v>
      </c>
      <c r="M1402">
        <v>20610717331</v>
      </c>
      <c r="N1402" t="s">
        <v>1551</v>
      </c>
      <c r="O1402" t="s">
        <v>76</v>
      </c>
      <c r="R1402" t="s">
        <v>8923</v>
      </c>
      <c r="S1402">
        <v>125</v>
      </c>
      <c r="T1402" t="s">
        <v>40</v>
      </c>
      <c r="U1402">
        <f>+IF(Tabla1[[#This Row],[MONEDA]]="PEN",Tabla1[[#This Row],[MONTO]],Tabla1[[#This Row],[MONTO]]*3.56)</f>
        <v>125</v>
      </c>
      <c r="V1402" t="s">
        <v>190</v>
      </c>
      <c r="W1402">
        <v>26301</v>
      </c>
      <c r="X1402" t="s">
        <v>81</v>
      </c>
      <c r="Y1402" t="s">
        <v>42</v>
      </c>
      <c r="Z1402" t="s">
        <v>43</v>
      </c>
      <c r="AA1402" t="s">
        <v>8924</v>
      </c>
      <c r="AC1402" t="s">
        <v>8925</v>
      </c>
      <c r="AD1402" t="s">
        <v>8926</v>
      </c>
    </row>
    <row r="1403" spans="1:33" hidden="1" x14ac:dyDescent="0.25">
      <c r="A1403">
        <v>24342</v>
      </c>
      <c r="B1403" t="s">
        <v>32</v>
      </c>
      <c r="C1403">
        <v>1</v>
      </c>
      <c r="D1403" t="s">
        <v>10492</v>
      </c>
      <c r="E1403" t="s">
        <v>70</v>
      </c>
      <c r="F1403" t="s">
        <v>33</v>
      </c>
      <c r="G1403" t="s">
        <v>71</v>
      </c>
      <c r="H1403" t="s">
        <v>72</v>
      </c>
      <c r="I1403" t="s">
        <v>10493</v>
      </c>
      <c r="J1403" t="s">
        <v>10494</v>
      </c>
      <c r="K1403" t="s">
        <v>36</v>
      </c>
      <c r="L1403" t="s">
        <v>33</v>
      </c>
      <c r="M1403">
        <v>20610717331</v>
      </c>
      <c r="N1403" t="s">
        <v>1551</v>
      </c>
      <c r="O1403" t="s">
        <v>76</v>
      </c>
      <c r="R1403" t="s">
        <v>10495</v>
      </c>
      <c r="S1403">
        <v>128</v>
      </c>
      <c r="T1403" t="s">
        <v>40</v>
      </c>
      <c r="U1403">
        <f>+IF(Tabla1[[#This Row],[MONEDA]]="PEN",Tabla1[[#This Row],[MONTO]],Tabla1[[#This Row],[MONTO]]*3.56)</f>
        <v>128</v>
      </c>
      <c r="V1403" t="s">
        <v>190</v>
      </c>
      <c r="W1403">
        <v>23138</v>
      </c>
      <c r="X1403" t="s">
        <v>81</v>
      </c>
      <c r="Y1403" t="s">
        <v>42</v>
      </c>
      <c r="Z1403" t="s">
        <v>43</v>
      </c>
      <c r="AA1403" t="s">
        <v>10496</v>
      </c>
      <c r="AC1403" t="s">
        <v>10497</v>
      </c>
      <c r="AD1403" t="s">
        <v>10498</v>
      </c>
    </row>
    <row r="1404" spans="1:33" hidden="1" x14ac:dyDescent="0.25">
      <c r="A1404">
        <v>23241</v>
      </c>
      <c r="B1404" t="s">
        <v>32</v>
      </c>
      <c r="C1404">
        <v>1</v>
      </c>
      <c r="D1404" t="s">
        <v>11427</v>
      </c>
      <c r="E1404" t="s">
        <v>70</v>
      </c>
      <c r="F1404" t="s">
        <v>33</v>
      </c>
      <c r="G1404" t="s">
        <v>71</v>
      </c>
      <c r="H1404" t="s">
        <v>72</v>
      </c>
      <c r="I1404" t="s">
        <v>11428</v>
      </c>
      <c r="J1404" t="s">
        <v>11429</v>
      </c>
      <c r="K1404" t="s">
        <v>36</v>
      </c>
      <c r="L1404" t="s">
        <v>33</v>
      </c>
      <c r="M1404">
        <v>20610717331</v>
      </c>
      <c r="N1404" t="s">
        <v>1551</v>
      </c>
      <c r="O1404" t="s">
        <v>76</v>
      </c>
      <c r="R1404" t="s">
        <v>11430</v>
      </c>
      <c r="S1404">
        <v>90</v>
      </c>
      <c r="T1404" t="s">
        <v>40</v>
      </c>
      <c r="U1404">
        <f>+IF(Tabla1[[#This Row],[MONEDA]]="PEN",Tabla1[[#This Row],[MONTO]],Tabla1[[#This Row],[MONTO]]*3.56)</f>
        <v>90</v>
      </c>
      <c r="V1404" t="s">
        <v>190</v>
      </c>
      <c r="W1404">
        <v>20973</v>
      </c>
      <c r="X1404" t="s">
        <v>81</v>
      </c>
      <c r="Y1404" t="s">
        <v>42</v>
      </c>
      <c r="Z1404" t="s">
        <v>82</v>
      </c>
      <c r="AA1404" t="s">
        <v>11431</v>
      </c>
      <c r="AC1404" t="s">
        <v>11432</v>
      </c>
      <c r="AD1404" t="s">
        <v>11433</v>
      </c>
    </row>
    <row r="1405" spans="1:33" hidden="1" x14ac:dyDescent="0.25">
      <c r="A1405">
        <v>34683</v>
      </c>
      <c r="B1405" t="s">
        <v>32</v>
      </c>
      <c r="C1405">
        <v>1</v>
      </c>
      <c r="D1405" t="s">
        <v>4547</v>
      </c>
      <c r="E1405" t="s">
        <v>70</v>
      </c>
      <c r="F1405" t="s">
        <v>33</v>
      </c>
      <c r="G1405" t="s">
        <v>71</v>
      </c>
      <c r="H1405" t="s">
        <v>72</v>
      </c>
      <c r="I1405" t="s">
        <v>4533</v>
      </c>
      <c r="J1405" t="s">
        <v>4548</v>
      </c>
      <c r="K1405" t="s">
        <v>36</v>
      </c>
      <c r="L1405" t="s">
        <v>33</v>
      </c>
      <c r="M1405">
        <v>20602075177</v>
      </c>
      <c r="N1405" t="s">
        <v>4549</v>
      </c>
      <c r="O1405" t="s">
        <v>76</v>
      </c>
      <c r="P1405" t="s">
        <v>38</v>
      </c>
      <c r="Q1405" t="s">
        <v>4550</v>
      </c>
      <c r="R1405" t="s">
        <v>4551</v>
      </c>
      <c r="S1405">
        <v>1900</v>
      </c>
      <c r="T1405" t="s">
        <v>40</v>
      </c>
      <c r="U1405">
        <f>+IF(Tabla1[[#This Row],[MONEDA]]="PEN",Tabla1[[#This Row],[MONTO]],Tabla1[[#This Row],[MONTO]]*3.56)</f>
        <v>1900</v>
      </c>
      <c r="X1405" t="s">
        <v>41</v>
      </c>
      <c r="Y1405" t="s">
        <v>42</v>
      </c>
      <c r="Z1405" t="s">
        <v>43</v>
      </c>
      <c r="AA1405" t="s">
        <v>4552</v>
      </c>
      <c r="AB1405" t="s">
        <v>4553</v>
      </c>
      <c r="AC1405" t="s">
        <v>4554</v>
      </c>
      <c r="AD1405" t="s">
        <v>4555</v>
      </c>
      <c r="AE1405">
        <v>1824</v>
      </c>
      <c r="AF1405" t="s">
        <v>87</v>
      </c>
      <c r="AG1405" t="s">
        <v>169</v>
      </c>
    </row>
    <row r="1406" spans="1:33" hidden="1" x14ac:dyDescent="0.25">
      <c r="A1406">
        <v>26728</v>
      </c>
      <c r="B1406" t="s">
        <v>32</v>
      </c>
      <c r="C1406">
        <v>1</v>
      </c>
      <c r="D1406" t="s">
        <v>9140</v>
      </c>
      <c r="E1406" t="s">
        <v>70</v>
      </c>
      <c r="F1406" t="s">
        <v>33</v>
      </c>
      <c r="G1406" t="s">
        <v>71</v>
      </c>
      <c r="H1406" t="s">
        <v>72</v>
      </c>
      <c r="I1406" t="s">
        <v>9141</v>
      </c>
      <c r="J1406" t="s">
        <v>9142</v>
      </c>
      <c r="K1406" t="s">
        <v>36</v>
      </c>
      <c r="L1406" t="s">
        <v>33</v>
      </c>
      <c r="M1406">
        <v>20610317686</v>
      </c>
      <c r="N1406" t="s">
        <v>9143</v>
      </c>
      <c r="O1406" t="s">
        <v>76</v>
      </c>
      <c r="R1406" t="s">
        <v>9136</v>
      </c>
      <c r="S1406">
        <v>100</v>
      </c>
      <c r="T1406" t="s">
        <v>40</v>
      </c>
      <c r="U1406">
        <f>+IF(Tabla1[[#This Row],[MONEDA]]="PEN",Tabla1[[#This Row],[MONTO]],Tabla1[[#This Row],[MONTO]]*3.56)</f>
        <v>100</v>
      </c>
      <c r="V1406" t="s">
        <v>190</v>
      </c>
      <c r="W1406">
        <v>25908</v>
      </c>
      <c r="X1406" t="s">
        <v>81</v>
      </c>
      <c r="Y1406" t="s">
        <v>42</v>
      </c>
      <c r="Z1406" t="s">
        <v>82</v>
      </c>
      <c r="AA1406" t="s">
        <v>9144</v>
      </c>
      <c r="AC1406" t="s">
        <v>9145</v>
      </c>
      <c r="AD1406" t="s">
        <v>9146</v>
      </c>
    </row>
    <row r="1407" spans="1:33" x14ac:dyDescent="0.25">
      <c r="A1407">
        <v>29767</v>
      </c>
      <c r="B1407" t="s">
        <v>32</v>
      </c>
      <c r="C1407">
        <v>2</v>
      </c>
      <c r="D1407" t="s">
        <v>6789</v>
      </c>
      <c r="E1407" t="s">
        <v>70</v>
      </c>
      <c r="F1407" t="s">
        <v>90</v>
      </c>
      <c r="G1407" t="s">
        <v>91</v>
      </c>
      <c r="H1407" t="s">
        <v>72</v>
      </c>
      <c r="I1407" t="s">
        <v>6768</v>
      </c>
      <c r="J1407" t="s">
        <v>6790</v>
      </c>
      <c r="K1407" t="s">
        <v>36</v>
      </c>
      <c r="L1407" t="s">
        <v>33</v>
      </c>
      <c r="M1407">
        <v>20519774322</v>
      </c>
      <c r="N1407" t="s">
        <v>2721</v>
      </c>
      <c r="P1407" t="s">
        <v>38</v>
      </c>
      <c r="Q1407" t="s">
        <v>2722</v>
      </c>
      <c r="R1407" t="s">
        <v>6791</v>
      </c>
      <c r="S1407">
        <v>10620</v>
      </c>
      <c r="T1407" t="s">
        <v>40</v>
      </c>
      <c r="U1407">
        <f>+IF(Tabla1[[#This Row],[MONEDA]]="PEN",Tabla1[[#This Row],[MONTO]],Tabla1[[#This Row],[MONTO]]*3.56)</f>
        <v>10620</v>
      </c>
      <c r="X1407" t="s">
        <v>41</v>
      </c>
      <c r="Y1407" t="s">
        <v>42</v>
      </c>
      <c r="Z1407" t="s">
        <v>82</v>
      </c>
      <c r="AA1407" t="s">
        <v>6792</v>
      </c>
      <c r="AB1407" t="s">
        <v>6793</v>
      </c>
      <c r="AC1407" t="s">
        <v>6794</v>
      </c>
      <c r="AD1407" t="s">
        <v>6795</v>
      </c>
      <c r="AE1407">
        <v>9558</v>
      </c>
      <c r="AG1407" t="s">
        <v>169</v>
      </c>
    </row>
    <row r="1408" spans="1:33" x14ac:dyDescent="0.25">
      <c r="A1408">
        <v>27341</v>
      </c>
      <c r="B1408" t="s">
        <v>32</v>
      </c>
      <c r="C1408">
        <v>6</v>
      </c>
      <c r="D1408" t="s">
        <v>8404</v>
      </c>
      <c r="E1408" t="s">
        <v>70</v>
      </c>
      <c r="F1408" t="s">
        <v>90</v>
      </c>
      <c r="G1408" t="s">
        <v>91</v>
      </c>
      <c r="H1408" t="s">
        <v>72</v>
      </c>
      <c r="I1408" t="s">
        <v>8362</v>
      </c>
      <c r="J1408" t="s">
        <v>8405</v>
      </c>
      <c r="K1408" t="s">
        <v>36</v>
      </c>
      <c r="L1408" t="s">
        <v>33</v>
      </c>
      <c r="M1408">
        <v>20519774322</v>
      </c>
      <c r="N1408" t="s">
        <v>2721</v>
      </c>
      <c r="P1408" t="s">
        <v>38</v>
      </c>
      <c r="Q1408" t="s">
        <v>2722</v>
      </c>
      <c r="R1408" t="s">
        <v>8406</v>
      </c>
      <c r="S1408">
        <v>10620</v>
      </c>
      <c r="T1408" t="s">
        <v>40</v>
      </c>
      <c r="U1408">
        <f>+IF(Tabla1[[#This Row],[MONEDA]]="PEN",Tabla1[[#This Row],[MONTO]],Tabla1[[#This Row],[MONTO]]*3.56)</f>
        <v>10620</v>
      </c>
      <c r="X1408" t="s">
        <v>41</v>
      </c>
      <c r="Y1408" t="s">
        <v>42</v>
      </c>
      <c r="Z1408" t="s">
        <v>43</v>
      </c>
      <c r="AA1408" t="s">
        <v>8407</v>
      </c>
      <c r="AB1408" t="s">
        <v>8408</v>
      </c>
      <c r="AC1408" t="s">
        <v>8409</v>
      </c>
      <c r="AD1408" t="s">
        <v>8410</v>
      </c>
      <c r="AE1408">
        <v>9558</v>
      </c>
      <c r="AF1408" t="s">
        <v>87</v>
      </c>
      <c r="AG1408" t="s">
        <v>169</v>
      </c>
    </row>
    <row r="1409" spans="1:33" x14ac:dyDescent="0.25">
      <c r="A1409">
        <v>27272</v>
      </c>
      <c r="B1409" t="s">
        <v>32</v>
      </c>
      <c r="C1409">
        <v>1</v>
      </c>
      <c r="D1409" t="s">
        <v>8447</v>
      </c>
      <c r="E1409" t="s">
        <v>70</v>
      </c>
      <c r="F1409" t="s">
        <v>90</v>
      </c>
      <c r="G1409" t="s">
        <v>91</v>
      </c>
      <c r="H1409" t="s">
        <v>72</v>
      </c>
      <c r="I1409" t="s">
        <v>8412</v>
      </c>
      <c r="J1409" t="s">
        <v>8448</v>
      </c>
      <c r="K1409" t="s">
        <v>36</v>
      </c>
      <c r="L1409" t="s">
        <v>33</v>
      </c>
      <c r="M1409">
        <v>20519774322</v>
      </c>
      <c r="N1409" t="s">
        <v>2721</v>
      </c>
      <c r="P1409" t="s">
        <v>38</v>
      </c>
      <c r="Q1409" t="s">
        <v>2722</v>
      </c>
      <c r="R1409" t="s">
        <v>8449</v>
      </c>
      <c r="S1409">
        <v>10620</v>
      </c>
      <c r="T1409" t="s">
        <v>40</v>
      </c>
      <c r="U1409">
        <f>+IF(Tabla1[[#This Row],[MONEDA]]="PEN",Tabla1[[#This Row],[MONTO]],Tabla1[[#This Row],[MONTO]]*3.56)</f>
        <v>10620</v>
      </c>
      <c r="X1409" t="s">
        <v>41</v>
      </c>
      <c r="Y1409" t="s">
        <v>42</v>
      </c>
      <c r="Z1409" t="s">
        <v>43</v>
      </c>
      <c r="AA1409" t="s">
        <v>8450</v>
      </c>
      <c r="AB1409" t="s">
        <v>8451</v>
      </c>
      <c r="AC1409" t="s">
        <v>8452</v>
      </c>
      <c r="AD1409" t="s">
        <v>8453</v>
      </c>
      <c r="AE1409">
        <v>9558</v>
      </c>
      <c r="AF1409" t="s">
        <v>87</v>
      </c>
      <c r="AG1409" t="s">
        <v>169</v>
      </c>
    </row>
    <row r="1410" spans="1:33" x14ac:dyDescent="0.25">
      <c r="A1410">
        <v>24133</v>
      </c>
      <c r="B1410" t="s">
        <v>32</v>
      </c>
      <c r="C1410">
        <v>5</v>
      </c>
      <c r="D1410" t="s">
        <v>9249</v>
      </c>
      <c r="E1410" t="s">
        <v>70</v>
      </c>
      <c r="F1410" t="s">
        <v>90</v>
      </c>
      <c r="G1410" t="s">
        <v>91</v>
      </c>
      <c r="H1410" t="s">
        <v>72</v>
      </c>
      <c r="I1410" t="s">
        <v>9250</v>
      </c>
      <c r="J1410" t="s">
        <v>9251</v>
      </c>
      <c r="K1410" t="s">
        <v>36</v>
      </c>
      <c r="L1410" t="s">
        <v>33</v>
      </c>
      <c r="M1410">
        <v>20519774322</v>
      </c>
      <c r="N1410" t="s">
        <v>2721</v>
      </c>
      <c r="P1410" t="s">
        <v>38</v>
      </c>
      <c r="Q1410" t="s">
        <v>2722</v>
      </c>
      <c r="R1410" t="s">
        <v>9252</v>
      </c>
      <c r="S1410">
        <v>2055.4899999999998</v>
      </c>
      <c r="T1410" t="s">
        <v>40</v>
      </c>
      <c r="U1410">
        <f>+IF(Tabla1[[#This Row],[MONEDA]]="PEN",Tabla1[[#This Row],[MONTO]],Tabla1[[#This Row],[MONTO]]*3.56)</f>
        <v>2055.4899999999998</v>
      </c>
      <c r="X1410" t="s">
        <v>41</v>
      </c>
      <c r="Y1410" t="s">
        <v>42</v>
      </c>
      <c r="Z1410" t="s">
        <v>43</v>
      </c>
      <c r="AA1410" t="s">
        <v>9253</v>
      </c>
      <c r="AB1410" t="s">
        <v>9254</v>
      </c>
      <c r="AC1410" t="s">
        <v>9255</v>
      </c>
      <c r="AD1410" t="s">
        <v>9256</v>
      </c>
      <c r="AE1410">
        <v>1849.49</v>
      </c>
      <c r="AF1410" t="s">
        <v>87</v>
      </c>
      <c r="AG1410" t="s">
        <v>169</v>
      </c>
    </row>
    <row r="1411" spans="1:33" x14ac:dyDescent="0.25">
      <c r="A1411">
        <v>38911</v>
      </c>
      <c r="B1411" t="s">
        <v>32</v>
      </c>
      <c r="C1411">
        <v>1</v>
      </c>
      <c r="D1411" t="s">
        <v>2719</v>
      </c>
      <c r="E1411" t="s">
        <v>45</v>
      </c>
      <c r="F1411" t="s">
        <v>90</v>
      </c>
      <c r="G1411" t="s">
        <v>91</v>
      </c>
      <c r="H1411" t="s">
        <v>35</v>
      </c>
      <c r="I1411" t="s">
        <v>2689</v>
      </c>
      <c r="J1411" t="s">
        <v>2720</v>
      </c>
      <c r="K1411" t="s">
        <v>36</v>
      </c>
      <c r="L1411" t="s">
        <v>33</v>
      </c>
      <c r="M1411">
        <v>20519774322</v>
      </c>
      <c r="N1411" t="s">
        <v>2721</v>
      </c>
      <c r="P1411" t="s">
        <v>38</v>
      </c>
      <c r="Q1411" t="s">
        <v>2722</v>
      </c>
      <c r="R1411" t="s">
        <v>2723</v>
      </c>
      <c r="S1411">
        <v>10620</v>
      </c>
      <c r="T1411" t="s">
        <v>40</v>
      </c>
      <c r="U1411">
        <f>+IF(Tabla1[[#This Row],[MONEDA]]="PEN",Tabla1[[#This Row],[MONTO]],Tabla1[[#This Row],[MONTO]]*3.56)</f>
        <v>10620</v>
      </c>
      <c r="X1411" t="s">
        <v>41</v>
      </c>
      <c r="Y1411" t="s">
        <v>51</v>
      </c>
      <c r="Z1411" t="s">
        <v>43</v>
      </c>
      <c r="AB1411" t="s">
        <v>2724</v>
      </c>
    </row>
    <row r="1412" spans="1:33" hidden="1" x14ac:dyDescent="0.25">
      <c r="A1412">
        <v>43454</v>
      </c>
      <c r="B1412" t="s">
        <v>32</v>
      </c>
      <c r="C1412">
        <v>1</v>
      </c>
      <c r="D1412" t="s">
        <v>798</v>
      </c>
      <c r="E1412" t="s">
        <v>70</v>
      </c>
      <c r="F1412" t="s">
        <v>33</v>
      </c>
      <c r="G1412" t="s">
        <v>71</v>
      </c>
      <c r="H1412" t="s">
        <v>35</v>
      </c>
      <c r="I1412" t="s">
        <v>798</v>
      </c>
      <c r="J1412" t="s">
        <v>799</v>
      </c>
      <c r="K1412" t="s">
        <v>36</v>
      </c>
      <c r="L1412" t="s">
        <v>33</v>
      </c>
      <c r="M1412">
        <v>20612571954</v>
      </c>
      <c r="N1412" t="s">
        <v>800</v>
      </c>
      <c r="O1412" t="s">
        <v>76</v>
      </c>
      <c r="R1412" t="s">
        <v>801</v>
      </c>
      <c r="S1412">
        <v>25</v>
      </c>
      <c r="T1412" t="s">
        <v>40</v>
      </c>
      <c r="U1412">
        <f>+IF(Tabla1[[#This Row],[MONEDA]]="PEN",Tabla1[[#This Row],[MONTO]],Tabla1[[#This Row],[MONTO]]*3.56)</f>
        <v>25</v>
      </c>
      <c r="V1412" t="s">
        <v>190</v>
      </c>
      <c r="W1412">
        <v>41217</v>
      </c>
      <c r="X1412" t="s">
        <v>81</v>
      </c>
      <c r="Y1412" t="s">
        <v>42</v>
      </c>
      <c r="Z1412" t="s">
        <v>43</v>
      </c>
      <c r="AA1412" t="s">
        <v>802</v>
      </c>
      <c r="AC1412" t="s">
        <v>803</v>
      </c>
      <c r="AD1412" t="s">
        <v>804</v>
      </c>
    </row>
    <row r="1413" spans="1:33" hidden="1" x14ac:dyDescent="0.25">
      <c r="A1413">
        <v>24090</v>
      </c>
      <c r="B1413" t="s">
        <v>32</v>
      </c>
      <c r="C1413">
        <v>1</v>
      </c>
      <c r="D1413" t="s">
        <v>10828</v>
      </c>
      <c r="E1413" t="s">
        <v>70</v>
      </c>
      <c r="F1413" t="s">
        <v>33</v>
      </c>
      <c r="G1413" t="s">
        <v>71</v>
      </c>
      <c r="H1413" t="s">
        <v>72</v>
      </c>
      <c r="I1413" t="s">
        <v>10829</v>
      </c>
      <c r="J1413" t="s">
        <v>10830</v>
      </c>
      <c r="K1413" t="s">
        <v>36</v>
      </c>
      <c r="L1413" t="s">
        <v>33</v>
      </c>
      <c r="M1413">
        <v>20612571954</v>
      </c>
      <c r="N1413" t="s">
        <v>800</v>
      </c>
      <c r="O1413" t="s">
        <v>76</v>
      </c>
      <c r="R1413" t="s">
        <v>10831</v>
      </c>
      <c r="S1413">
        <v>25</v>
      </c>
      <c r="T1413" t="s">
        <v>40</v>
      </c>
      <c r="U1413">
        <f>+IF(Tabla1[[#This Row],[MONEDA]]="PEN",Tabla1[[#This Row],[MONTO]],Tabla1[[#This Row],[MONTO]]*3.56)</f>
        <v>25</v>
      </c>
      <c r="V1413" t="s">
        <v>190</v>
      </c>
      <c r="W1413">
        <v>21787</v>
      </c>
      <c r="X1413" t="s">
        <v>81</v>
      </c>
      <c r="Y1413" t="s">
        <v>42</v>
      </c>
      <c r="Z1413" t="s">
        <v>82</v>
      </c>
      <c r="AA1413" t="s">
        <v>10832</v>
      </c>
      <c r="AC1413" t="s">
        <v>10833</v>
      </c>
      <c r="AD1413" t="s">
        <v>10834</v>
      </c>
    </row>
    <row r="1414" spans="1:33" x14ac:dyDescent="0.25">
      <c r="A1414">
        <v>22825</v>
      </c>
      <c r="B1414" t="s">
        <v>32</v>
      </c>
      <c r="C1414">
        <v>1</v>
      </c>
      <c r="D1414" t="s">
        <v>11729</v>
      </c>
      <c r="E1414" t="s">
        <v>70</v>
      </c>
      <c r="F1414" t="s">
        <v>3256</v>
      </c>
      <c r="G1414" t="s">
        <v>3257</v>
      </c>
      <c r="H1414" t="s">
        <v>8233</v>
      </c>
      <c r="I1414" t="s">
        <v>11730</v>
      </c>
      <c r="J1414" t="s">
        <v>11731</v>
      </c>
      <c r="K1414" t="s">
        <v>36</v>
      </c>
      <c r="L1414" t="s">
        <v>33</v>
      </c>
      <c r="M1414">
        <v>20564209831</v>
      </c>
      <c r="N1414" t="s">
        <v>11732</v>
      </c>
      <c r="P1414" t="s">
        <v>38</v>
      </c>
      <c r="Q1414" t="s">
        <v>11733</v>
      </c>
      <c r="R1414" t="s">
        <v>11734</v>
      </c>
      <c r="S1414">
        <v>164.02</v>
      </c>
      <c r="T1414" t="s">
        <v>40</v>
      </c>
      <c r="U1414">
        <f>+IF(Tabla1[[#This Row],[MONEDA]]="PEN",Tabla1[[#This Row],[MONTO]],Tabla1[[#This Row],[MONTO]]*3.56)</f>
        <v>164.02</v>
      </c>
      <c r="X1414" t="s">
        <v>41</v>
      </c>
      <c r="Y1414" t="s">
        <v>42</v>
      </c>
      <c r="Z1414" t="s">
        <v>82</v>
      </c>
      <c r="AA1414" t="s">
        <v>11735</v>
      </c>
      <c r="AB1414" t="s">
        <v>11736</v>
      </c>
      <c r="AC1414" t="s">
        <v>11737</v>
      </c>
      <c r="AD1414" t="s">
        <v>11738</v>
      </c>
      <c r="AE1414">
        <v>164.02</v>
      </c>
      <c r="AF1414" t="s">
        <v>87</v>
      </c>
      <c r="AG1414" t="s">
        <v>169</v>
      </c>
    </row>
    <row r="1415" spans="1:33" hidden="1" x14ac:dyDescent="0.25">
      <c r="A1415">
        <v>41902</v>
      </c>
      <c r="B1415" t="s">
        <v>32</v>
      </c>
      <c r="C1415">
        <v>1</v>
      </c>
      <c r="D1415" t="s">
        <v>1072</v>
      </c>
      <c r="E1415" t="s">
        <v>70</v>
      </c>
      <c r="F1415" t="s">
        <v>33</v>
      </c>
      <c r="G1415" t="s">
        <v>71</v>
      </c>
      <c r="H1415" t="s">
        <v>72</v>
      </c>
      <c r="I1415" t="s">
        <v>1073</v>
      </c>
      <c r="J1415" t="s">
        <v>1074</v>
      </c>
      <c r="K1415" t="s">
        <v>36</v>
      </c>
      <c r="L1415" t="s">
        <v>33</v>
      </c>
      <c r="M1415">
        <v>20601273404</v>
      </c>
      <c r="N1415" t="s">
        <v>1075</v>
      </c>
      <c r="O1415" t="s">
        <v>76</v>
      </c>
      <c r="P1415" t="s">
        <v>38</v>
      </c>
      <c r="Q1415" t="s">
        <v>1076</v>
      </c>
      <c r="R1415" t="s">
        <v>1077</v>
      </c>
      <c r="S1415">
        <v>4394.8500000000004</v>
      </c>
      <c r="T1415" t="s">
        <v>40</v>
      </c>
      <c r="U1415">
        <f>+IF(Tabla1[[#This Row],[MONEDA]]="PEN",Tabla1[[#This Row],[MONTO]],Tabla1[[#This Row],[MONTO]]*3.56)</f>
        <v>4394.8500000000004</v>
      </c>
      <c r="X1415" t="s">
        <v>41</v>
      </c>
      <c r="Y1415" t="s">
        <v>42</v>
      </c>
      <c r="Z1415" t="s">
        <v>82</v>
      </c>
      <c r="AA1415" t="s">
        <v>1078</v>
      </c>
      <c r="AB1415" t="s">
        <v>1079</v>
      </c>
      <c r="AC1415" t="s">
        <v>1080</v>
      </c>
      <c r="AD1415" t="s">
        <v>1081</v>
      </c>
      <c r="AE1415">
        <v>3955.37</v>
      </c>
      <c r="AF1415" t="s">
        <v>87</v>
      </c>
      <c r="AG1415" t="s">
        <v>169</v>
      </c>
    </row>
    <row r="1416" spans="1:33" hidden="1" x14ac:dyDescent="0.25">
      <c r="A1416">
        <v>41905</v>
      </c>
      <c r="B1416" t="s">
        <v>32</v>
      </c>
      <c r="C1416">
        <v>1</v>
      </c>
      <c r="D1416" t="s">
        <v>1082</v>
      </c>
      <c r="E1416" t="s">
        <v>70</v>
      </c>
      <c r="F1416" t="s">
        <v>33</v>
      </c>
      <c r="G1416" t="s">
        <v>71</v>
      </c>
      <c r="H1416" t="s">
        <v>72</v>
      </c>
      <c r="I1416" t="s">
        <v>1073</v>
      </c>
      <c r="J1416" t="s">
        <v>1083</v>
      </c>
      <c r="K1416" t="s">
        <v>36</v>
      </c>
      <c r="L1416" t="s">
        <v>33</v>
      </c>
      <c r="M1416">
        <v>20601273404</v>
      </c>
      <c r="N1416" t="s">
        <v>1075</v>
      </c>
      <c r="O1416" t="s">
        <v>76</v>
      </c>
      <c r="P1416" t="s">
        <v>38</v>
      </c>
      <c r="Q1416" t="s">
        <v>1076</v>
      </c>
      <c r="R1416" t="s">
        <v>1084</v>
      </c>
      <c r="S1416">
        <v>5114.46</v>
      </c>
      <c r="T1416" t="s">
        <v>40</v>
      </c>
      <c r="U1416">
        <f>+IF(Tabla1[[#This Row],[MONEDA]]="PEN",Tabla1[[#This Row],[MONTO]],Tabla1[[#This Row],[MONTO]]*3.56)</f>
        <v>5114.46</v>
      </c>
      <c r="X1416" t="s">
        <v>41</v>
      </c>
      <c r="Y1416" t="s">
        <v>42</v>
      </c>
      <c r="Z1416" t="s">
        <v>82</v>
      </c>
      <c r="AA1416" t="s">
        <v>1085</v>
      </c>
      <c r="AB1416" t="s">
        <v>1086</v>
      </c>
      <c r="AC1416" t="s">
        <v>1087</v>
      </c>
      <c r="AD1416" t="s">
        <v>1088</v>
      </c>
      <c r="AE1416">
        <v>4603.01</v>
      </c>
      <c r="AF1416" t="s">
        <v>87</v>
      </c>
      <c r="AG1416" t="s">
        <v>169</v>
      </c>
    </row>
    <row r="1417" spans="1:33" hidden="1" x14ac:dyDescent="0.25">
      <c r="A1417">
        <v>40301</v>
      </c>
      <c r="B1417" t="s">
        <v>32</v>
      </c>
      <c r="C1417">
        <v>1</v>
      </c>
      <c r="D1417" t="s">
        <v>2030</v>
      </c>
      <c r="E1417" t="s">
        <v>70</v>
      </c>
      <c r="F1417" t="s">
        <v>33</v>
      </c>
      <c r="G1417" t="s">
        <v>71</v>
      </c>
      <c r="H1417" t="s">
        <v>35</v>
      </c>
      <c r="I1417" t="s">
        <v>2024</v>
      </c>
      <c r="J1417" t="s">
        <v>2031</v>
      </c>
      <c r="K1417" t="s">
        <v>36</v>
      </c>
      <c r="L1417" t="s">
        <v>33</v>
      </c>
      <c r="M1417">
        <v>20601273404</v>
      </c>
      <c r="N1417" t="s">
        <v>1075</v>
      </c>
      <c r="O1417" t="s">
        <v>76</v>
      </c>
      <c r="P1417" t="s">
        <v>38</v>
      </c>
      <c r="Q1417" t="s">
        <v>1076</v>
      </c>
      <c r="R1417" t="s">
        <v>2032</v>
      </c>
      <c r="S1417">
        <v>4949.4799999999996</v>
      </c>
      <c r="T1417" t="s">
        <v>40</v>
      </c>
      <c r="U1417">
        <f>+IF(Tabla1[[#This Row],[MONEDA]]="PEN",Tabla1[[#This Row],[MONTO]],Tabla1[[#This Row],[MONTO]]*3.56)</f>
        <v>4949.4799999999996</v>
      </c>
      <c r="X1417" t="s">
        <v>41</v>
      </c>
      <c r="Y1417" t="s">
        <v>42</v>
      </c>
      <c r="Z1417" t="s">
        <v>82</v>
      </c>
      <c r="AA1417" t="s">
        <v>2033</v>
      </c>
      <c r="AB1417" t="s">
        <v>2034</v>
      </c>
      <c r="AC1417" t="s">
        <v>2035</v>
      </c>
      <c r="AD1417" t="s">
        <v>2036</v>
      </c>
      <c r="AE1417">
        <v>4454.53</v>
      </c>
      <c r="AF1417" t="s">
        <v>87</v>
      </c>
      <c r="AG1417" t="s">
        <v>169</v>
      </c>
    </row>
    <row r="1418" spans="1:33" hidden="1" x14ac:dyDescent="0.25">
      <c r="A1418">
        <v>40124</v>
      </c>
      <c r="B1418" t="s">
        <v>32</v>
      </c>
      <c r="C1418">
        <v>1</v>
      </c>
      <c r="D1418" t="s">
        <v>2174</v>
      </c>
      <c r="E1418" t="s">
        <v>70</v>
      </c>
      <c r="F1418" t="s">
        <v>33</v>
      </c>
      <c r="G1418" t="s">
        <v>71</v>
      </c>
      <c r="H1418" t="s">
        <v>35</v>
      </c>
      <c r="I1418" t="s">
        <v>2162</v>
      </c>
      <c r="J1418" t="s">
        <v>2175</v>
      </c>
      <c r="K1418" t="s">
        <v>36</v>
      </c>
      <c r="L1418" t="s">
        <v>33</v>
      </c>
      <c r="M1418">
        <v>20601273404</v>
      </c>
      <c r="N1418" t="s">
        <v>1075</v>
      </c>
      <c r="O1418" t="s">
        <v>76</v>
      </c>
      <c r="P1418" t="s">
        <v>38</v>
      </c>
      <c r="Q1418" t="s">
        <v>1076</v>
      </c>
      <c r="R1418" t="s">
        <v>2176</v>
      </c>
      <c r="S1418">
        <v>4253.08</v>
      </c>
      <c r="T1418" t="s">
        <v>40</v>
      </c>
      <c r="U1418">
        <f>+IF(Tabla1[[#This Row],[MONEDA]]="PEN",Tabla1[[#This Row],[MONTO]],Tabla1[[#This Row],[MONTO]]*3.56)</f>
        <v>4253.08</v>
      </c>
      <c r="X1418" t="s">
        <v>41</v>
      </c>
      <c r="Y1418" t="s">
        <v>42</v>
      </c>
      <c r="Z1418" t="s">
        <v>82</v>
      </c>
      <c r="AA1418" t="s">
        <v>2177</v>
      </c>
      <c r="AB1418" t="s">
        <v>2178</v>
      </c>
      <c r="AC1418" t="s">
        <v>2179</v>
      </c>
      <c r="AD1418" t="s">
        <v>2180</v>
      </c>
      <c r="AE1418">
        <v>3827.77</v>
      </c>
      <c r="AF1418" t="s">
        <v>87</v>
      </c>
      <c r="AG1418" t="s">
        <v>169</v>
      </c>
    </row>
    <row r="1419" spans="1:33" hidden="1" x14ac:dyDescent="0.25">
      <c r="A1419">
        <v>35907</v>
      </c>
      <c r="B1419" t="s">
        <v>32</v>
      </c>
      <c r="C1419">
        <v>1</v>
      </c>
      <c r="D1419" t="s">
        <v>3667</v>
      </c>
      <c r="E1419" t="s">
        <v>70</v>
      </c>
      <c r="F1419" t="s">
        <v>33</v>
      </c>
      <c r="G1419" t="s">
        <v>71</v>
      </c>
      <c r="H1419" t="s">
        <v>72</v>
      </c>
      <c r="I1419" t="s">
        <v>3660</v>
      </c>
      <c r="J1419" t="s">
        <v>3668</v>
      </c>
      <c r="K1419" t="s">
        <v>36</v>
      </c>
      <c r="L1419" t="s">
        <v>33</v>
      </c>
      <c r="M1419">
        <v>20601273404</v>
      </c>
      <c r="N1419" t="s">
        <v>1075</v>
      </c>
      <c r="O1419" t="s">
        <v>76</v>
      </c>
      <c r="P1419" t="s">
        <v>38</v>
      </c>
      <c r="Q1419" t="s">
        <v>1076</v>
      </c>
      <c r="S1419">
        <v>5114.46</v>
      </c>
      <c r="T1419" t="s">
        <v>40</v>
      </c>
      <c r="U1419">
        <f>+IF(Tabla1[[#This Row],[MONEDA]]="PEN",Tabla1[[#This Row],[MONTO]],Tabla1[[#This Row],[MONTO]]*3.56)</f>
        <v>5114.46</v>
      </c>
      <c r="X1419" t="s">
        <v>41</v>
      </c>
      <c r="Y1419" t="s">
        <v>42</v>
      </c>
      <c r="Z1419" t="s">
        <v>82</v>
      </c>
      <c r="AA1419" t="s">
        <v>3669</v>
      </c>
      <c r="AB1419" t="s">
        <v>3670</v>
      </c>
      <c r="AC1419" t="s">
        <v>3671</v>
      </c>
      <c r="AE1419">
        <v>4603.01</v>
      </c>
      <c r="AF1419" t="s">
        <v>87</v>
      </c>
      <c r="AG1419" t="s">
        <v>169</v>
      </c>
    </row>
    <row r="1420" spans="1:33" hidden="1" x14ac:dyDescent="0.25">
      <c r="A1420">
        <v>35903</v>
      </c>
      <c r="B1420" t="s">
        <v>32</v>
      </c>
      <c r="C1420">
        <v>1</v>
      </c>
      <c r="D1420" t="s">
        <v>3972</v>
      </c>
      <c r="E1420" t="s">
        <v>70</v>
      </c>
      <c r="F1420" t="s">
        <v>33</v>
      </c>
      <c r="G1420" t="s">
        <v>71</v>
      </c>
      <c r="H1420" t="s">
        <v>72</v>
      </c>
      <c r="I1420" t="s">
        <v>3973</v>
      </c>
      <c r="J1420" t="s">
        <v>3974</v>
      </c>
      <c r="K1420" t="s">
        <v>36</v>
      </c>
      <c r="L1420" t="s">
        <v>33</v>
      </c>
      <c r="M1420">
        <v>20601273404</v>
      </c>
      <c r="N1420" t="s">
        <v>1075</v>
      </c>
      <c r="O1420" t="s">
        <v>76</v>
      </c>
      <c r="P1420" t="s">
        <v>38</v>
      </c>
      <c r="Q1420" t="s">
        <v>1076</v>
      </c>
      <c r="R1420" t="s">
        <v>3975</v>
      </c>
      <c r="S1420">
        <v>4394.8500000000004</v>
      </c>
      <c r="T1420" t="s">
        <v>40</v>
      </c>
      <c r="U1420">
        <f>+IF(Tabla1[[#This Row],[MONEDA]]="PEN",Tabla1[[#This Row],[MONTO]],Tabla1[[#This Row],[MONTO]]*3.56)</f>
        <v>4394.8500000000004</v>
      </c>
      <c r="X1420" t="s">
        <v>41</v>
      </c>
      <c r="Y1420" t="s">
        <v>42</v>
      </c>
      <c r="Z1420" t="s">
        <v>43</v>
      </c>
      <c r="AA1420" t="s">
        <v>3976</v>
      </c>
      <c r="AB1420" t="s">
        <v>3977</v>
      </c>
      <c r="AC1420" t="s">
        <v>3978</v>
      </c>
      <c r="AD1420" t="s">
        <v>3979</v>
      </c>
      <c r="AE1420">
        <v>3955.37</v>
      </c>
      <c r="AG1420" t="s">
        <v>169</v>
      </c>
    </row>
    <row r="1421" spans="1:33" hidden="1" x14ac:dyDescent="0.25">
      <c r="A1421">
        <v>32949</v>
      </c>
      <c r="B1421" t="s">
        <v>32</v>
      </c>
      <c r="C1421">
        <v>2</v>
      </c>
      <c r="D1421" t="s">
        <v>5094</v>
      </c>
      <c r="E1421" t="s">
        <v>70</v>
      </c>
      <c r="F1421" t="s">
        <v>33</v>
      </c>
      <c r="G1421" t="s">
        <v>71</v>
      </c>
      <c r="H1421" t="s">
        <v>72</v>
      </c>
      <c r="I1421" t="s">
        <v>5087</v>
      </c>
      <c r="J1421" t="s">
        <v>5095</v>
      </c>
      <c r="K1421" t="s">
        <v>36</v>
      </c>
      <c r="L1421" t="s">
        <v>33</v>
      </c>
      <c r="M1421">
        <v>20601273404</v>
      </c>
      <c r="N1421" t="s">
        <v>1075</v>
      </c>
      <c r="O1421" t="s">
        <v>76</v>
      </c>
      <c r="P1421" t="s">
        <v>38</v>
      </c>
      <c r="Q1421" t="s">
        <v>1076</v>
      </c>
      <c r="R1421" t="s">
        <v>5096</v>
      </c>
      <c r="S1421">
        <v>4949.4799999999996</v>
      </c>
      <c r="T1421" t="s">
        <v>40</v>
      </c>
      <c r="U1421">
        <f>+IF(Tabla1[[#This Row],[MONEDA]]="PEN",Tabla1[[#This Row],[MONTO]],Tabla1[[#This Row],[MONTO]]*3.56)</f>
        <v>4949.4799999999996</v>
      </c>
      <c r="X1421" t="s">
        <v>41</v>
      </c>
      <c r="Y1421" t="s">
        <v>42</v>
      </c>
      <c r="Z1421" t="s">
        <v>43</v>
      </c>
      <c r="AA1421" t="s">
        <v>5097</v>
      </c>
      <c r="AB1421" t="s">
        <v>5098</v>
      </c>
      <c r="AC1421" t="s">
        <v>5099</v>
      </c>
      <c r="AD1421" t="s">
        <v>5100</v>
      </c>
      <c r="AE1421">
        <v>4454.53</v>
      </c>
      <c r="AF1421" t="s">
        <v>87</v>
      </c>
      <c r="AG1421" t="s">
        <v>169</v>
      </c>
    </row>
    <row r="1422" spans="1:33" hidden="1" x14ac:dyDescent="0.25">
      <c r="A1422">
        <v>32950</v>
      </c>
      <c r="B1422" t="s">
        <v>32</v>
      </c>
      <c r="C1422">
        <v>2</v>
      </c>
      <c r="D1422" t="s">
        <v>5101</v>
      </c>
      <c r="E1422" t="s">
        <v>70</v>
      </c>
      <c r="F1422" t="s">
        <v>33</v>
      </c>
      <c r="G1422" t="s">
        <v>71</v>
      </c>
      <c r="H1422" t="s">
        <v>72</v>
      </c>
      <c r="I1422" t="s">
        <v>5087</v>
      </c>
      <c r="J1422" t="s">
        <v>5102</v>
      </c>
      <c r="K1422" t="s">
        <v>36</v>
      </c>
      <c r="L1422" t="s">
        <v>33</v>
      </c>
      <c r="M1422">
        <v>20601273404</v>
      </c>
      <c r="N1422" t="s">
        <v>1075</v>
      </c>
      <c r="O1422" t="s">
        <v>76</v>
      </c>
      <c r="P1422" t="s">
        <v>38</v>
      </c>
      <c r="Q1422" t="s">
        <v>1076</v>
      </c>
      <c r="R1422" t="s">
        <v>5103</v>
      </c>
      <c r="S1422">
        <v>4253.08</v>
      </c>
      <c r="T1422" t="s">
        <v>40</v>
      </c>
      <c r="U1422">
        <f>+IF(Tabla1[[#This Row],[MONEDA]]="PEN",Tabla1[[#This Row],[MONTO]],Tabla1[[#This Row],[MONTO]]*3.56)</f>
        <v>4253.08</v>
      </c>
      <c r="X1422" t="s">
        <v>41</v>
      </c>
      <c r="Y1422" t="s">
        <v>42</v>
      </c>
      <c r="Z1422" t="s">
        <v>43</v>
      </c>
      <c r="AA1422" t="s">
        <v>5104</v>
      </c>
      <c r="AB1422" t="s">
        <v>5105</v>
      </c>
      <c r="AC1422" t="s">
        <v>5106</v>
      </c>
      <c r="AD1422" t="s">
        <v>5107</v>
      </c>
      <c r="AE1422">
        <v>3827.77</v>
      </c>
      <c r="AF1422" t="s">
        <v>87</v>
      </c>
      <c r="AG1422" t="s">
        <v>169</v>
      </c>
    </row>
    <row r="1423" spans="1:33" hidden="1" x14ac:dyDescent="0.25">
      <c r="A1423">
        <v>29719</v>
      </c>
      <c r="B1423" t="s">
        <v>32</v>
      </c>
      <c r="C1423">
        <v>1</v>
      </c>
      <c r="D1423" t="s">
        <v>6713</v>
      </c>
      <c r="E1423" t="s">
        <v>70</v>
      </c>
      <c r="F1423" t="s">
        <v>33</v>
      </c>
      <c r="G1423" t="s">
        <v>71</v>
      </c>
      <c r="H1423" t="s">
        <v>72</v>
      </c>
      <c r="I1423" t="s">
        <v>6714</v>
      </c>
      <c r="J1423" t="s">
        <v>6715</v>
      </c>
      <c r="K1423" t="s">
        <v>36</v>
      </c>
      <c r="L1423" t="s">
        <v>33</v>
      </c>
      <c r="M1423">
        <v>20601273404</v>
      </c>
      <c r="N1423" t="s">
        <v>1075</v>
      </c>
      <c r="O1423" t="s">
        <v>76</v>
      </c>
      <c r="P1423" t="s">
        <v>38</v>
      </c>
      <c r="Q1423" t="s">
        <v>1076</v>
      </c>
      <c r="R1423" t="s">
        <v>6716</v>
      </c>
      <c r="S1423">
        <v>2977.15</v>
      </c>
      <c r="T1423" t="s">
        <v>40</v>
      </c>
      <c r="U1423">
        <f>+IF(Tabla1[[#This Row],[MONEDA]]="PEN",Tabla1[[#This Row],[MONTO]],Tabla1[[#This Row],[MONTO]]*3.56)</f>
        <v>2977.15</v>
      </c>
      <c r="X1423" t="s">
        <v>41</v>
      </c>
      <c r="Y1423" t="s">
        <v>42</v>
      </c>
      <c r="Z1423" t="s">
        <v>43</v>
      </c>
      <c r="AA1423" t="s">
        <v>6717</v>
      </c>
      <c r="AB1423" t="s">
        <v>6718</v>
      </c>
      <c r="AC1423" t="s">
        <v>6719</v>
      </c>
      <c r="AD1423" t="s">
        <v>6720</v>
      </c>
      <c r="AE1423">
        <v>2679.44</v>
      </c>
      <c r="AF1423" t="s">
        <v>87</v>
      </c>
      <c r="AG1423" t="s">
        <v>169</v>
      </c>
    </row>
    <row r="1424" spans="1:33" hidden="1" x14ac:dyDescent="0.25">
      <c r="A1424">
        <v>29720</v>
      </c>
      <c r="B1424" t="s">
        <v>32</v>
      </c>
      <c r="C1424">
        <v>1</v>
      </c>
      <c r="D1424" t="s">
        <v>6721</v>
      </c>
      <c r="E1424" t="s">
        <v>70</v>
      </c>
      <c r="F1424" t="s">
        <v>33</v>
      </c>
      <c r="G1424" t="s">
        <v>71</v>
      </c>
      <c r="H1424" t="s">
        <v>72</v>
      </c>
      <c r="I1424" t="s">
        <v>6714</v>
      </c>
      <c r="J1424" t="s">
        <v>6722</v>
      </c>
      <c r="K1424" t="s">
        <v>36</v>
      </c>
      <c r="L1424" t="s">
        <v>33</v>
      </c>
      <c r="M1424">
        <v>20601273404</v>
      </c>
      <c r="N1424" t="s">
        <v>1075</v>
      </c>
      <c r="O1424" t="s">
        <v>76</v>
      </c>
      <c r="P1424" t="s">
        <v>38</v>
      </c>
      <c r="Q1424" t="s">
        <v>1076</v>
      </c>
      <c r="R1424" t="s">
        <v>6723</v>
      </c>
      <c r="S1424">
        <v>3464.63</v>
      </c>
      <c r="T1424" t="s">
        <v>40</v>
      </c>
      <c r="U1424">
        <f>+IF(Tabla1[[#This Row],[MONEDA]]="PEN",Tabla1[[#This Row],[MONTO]],Tabla1[[#This Row],[MONTO]]*3.56)</f>
        <v>3464.63</v>
      </c>
      <c r="X1424" t="s">
        <v>41</v>
      </c>
      <c r="Y1424" t="s">
        <v>42</v>
      </c>
      <c r="Z1424" t="s">
        <v>43</v>
      </c>
      <c r="AA1424" t="s">
        <v>6724</v>
      </c>
      <c r="AB1424" t="s">
        <v>6725</v>
      </c>
      <c r="AC1424" t="s">
        <v>6726</v>
      </c>
      <c r="AD1424" t="s">
        <v>6727</v>
      </c>
      <c r="AE1424">
        <v>3118.17</v>
      </c>
      <c r="AF1424" t="s">
        <v>87</v>
      </c>
      <c r="AG1424" t="s">
        <v>169</v>
      </c>
    </row>
    <row r="1425" spans="1:33" hidden="1" x14ac:dyDescent="0.25">
      <c r="A1425">
        <v>27247</v>
      </c>
      <c r="B1425" t="s">
        <v>32</v>
      </c>
      <c r="C1425">
        <v>2</v>
      </c>
      <c r="D1425" t="s">
        <v>8619</v>
      </c>
      <c r="E1425" t="s">
        <v>70</v>
      </c>
      <c r="F1425" t="s">
        <v>33</v>
      </c>
      <c r="G1425" t="s">
        <v>71</v>
      </c>
      <c r="H1425" t="s">
        <v>72</v>
      </c>
      <c r="I1425" t="s">
        <v>8620</v>
      </c>
      <c r="J1425" t="s">
        <v>8621</v>
      </c>
      <c r="K1425" t="s">
        <v>36</v>
      </c>
      <c r="L1425" t="s">
        <v>33</v>
      </c>
      <c r="M1425">
        <v>20601273404</v>
      </c>
      <c r="N1425" t="s">
        <v>1075</v>
      </c>
      <c r="O1425" t="s">
        <v>76</v>
      </c>
      <c r="P1425" t="s">
        <v>38</v>
      </c>
      <c r="Q1425" t="s">
        <v>1076</v>
      </c>
      <c r="R1425" t="s">
        <v>8622</v>
      </c>
      <c r="S1425">
        <v>4253.08</v>
      </c>
      <c r="T1425" t="s">
        <v>40</v>
      </c>
      <c r="U1425">
        <f>+IF(Tabla1[[#This Row],[MONEDA]]="PEN",Tabla1[[#This Row],[MONTO]],Tabla1[[#This Row],[MONTO]]*3.56)</f>
        <v>4253.08</v>
      </c>
      <c r="X1425" t="s">
        <v>41</v>
      </c>
      <c r="Y1425" t="s">
        <v>42</v>
      </c>
      <c r="Z1425" t="s">
        <v>43</v>
      </c>
      <c r="AA1425" t="s">
        <v>8623</v>
      </c>
      <c r="AB1425" t="s">
        <v>8624</v>
      </c>
      <c r="AC1425" t="s">
        <v>8625</v>
      </c>
      <c r="AD1425" t="s">
        <v>8626</v>
      </c>
      <c r="AE1425">
        <v>3827.77</v>
      </c>
      <c r="AF1425" t="s">
        <v>87</v>
      </c>
      <c r="AG1425" t="s">
        <v>169</v>
      </c>
    </row>
    <row r="1426" spans="1:33" hidden="1" x14ac:dyDescent="0.25">
      <c r="A1426">
        <v>27249</v>
      </c>
      <c r="B1426" t="s">
        <v>32</v>
      </c>
      <c r="C1426">
        <v>2</v>
      </c>
      <c r="D1426" t="s">
        <v>8634</v>
      </c>
      <c r="E1426" t="s">
        <v>70</v>
      </c>
      <c r="F1426" t="s">
        <v>33</v>
      </c>
      <c r="G1426" t="s">
        <v>71</v>
      </c>
      <c r="H1426" t="s">
        <v>72</v>
      </c>
      <c r="I1426" t="s">
        <v>8620</v>
      </c>
      <c r="J1426" t="s">
        <v>8635</v>
      </c>
      <c r="K1426" t="s">
        <v>36</v>
      </c>
      <c r="L1426" t="s">
        <v>33</v>
      </c>
      <c r="M1426">
        <v>20601273404</v>
      </c>
      <c r="N1426" t="s">
        <v>1075</v>
      </c>
      <c r="O1426" t="s">
        <v>76</v>
      </c>
      <c r="P1426" t="s">
        <v>38</v>
      </c>
      <c r="Q1426" t="s">
        <v>1076</v>
      </c>
      <c r="R1426" t="s">
        <v>8636</v>
      </c>
      <c r="S1426">
        <v>2144.77</v>
      </c>
      <c r="T1426" t="s">
        <v>40</v>
      </c>
      <c r="U1426">
        <f>+IF(Tabla1[[#This Row],[MONEDA]]="PEN",Tabla1[[#This Row],[MONTO]],Tabla1[[#This Row],[MONTO]]*3.56)</f>
        <v>2144.77</v>
      </c>
      <c r="X1426" t="s">
        <v>41</v>
      </c>
      <c r="Y1426" t="s">
        <v>42</v>
      </c>
      <c r="Z1426" t="s">
        <v>43</v>
      </c>
      <c r="AA1426" t="s">
        <v>8637</v>
      </c>
      <c r="AB1426" t="s">
        <v>8638</v>
      </c>
      <c r="AC1426" t="s">
        <v>8639</v>
      </c>
      <c r="AD1426" t="s">
        <v>8640</v>
      </c>
      <c r="AE1426">
        <v>1930.29</v>
      </c>
      <c r="AF1426" t="s">
        <v>87</v>
      </c>
      <c r="AG1426" t="s">
        <v>169</v>
      </c>
    </row>
    <row r="1427" spans="1:33" hidden="1" x14ac:dyDescent="0.25">
      <c r="A1427">
        <v>25901</v>
      </c>
      <c r="B1427" t="s">
        <v>32</v>
      </c>
      <c r="C1427">
        <v>1</v>
      </c>
      <c r="D1427" t="s">
        <v>9574</v>
      </c>
      <c r="E1427" t="s">
        <v>70</v>
      </c>
      <c r="F1427" t="s">
        <v>33</v>
      </c>
      <c r="G1427" t="s">
        <v>71</v>
      </c>
      <c r="H1427" t="s">
        <v>72</v>
      </c>
      <c r="I1427" t="s">
        <v>9575</v>
      </c>
      <c r="J1427" t="s">
        <v>9576</v>
      </c>
      <c r="K1427" t="s">
        <v>36</v>
      </c>
      <c r="L1427" t="s">
        <v>33</v>
      </c>
      <c r="M1427">
        <v>20601273404</v>
      </c>
      <c r="N1427" t="s">
        <v>1075</v>
      </c>
      <c r="O1427" t="s">
        <v>76</v>
      </c>
      <c r="P1427" t="s">
        <v>38</v>
      </c>
      <c r="Q1427" t="s">
        <v>1076</v>
      </c>
      <c r="R1427" t="s">
        <v>9577</v>
      </c>
      <c r="S1427">
        <v>2474.7399999999998</v>
      </c>
      <c r="T1427" t="s">
        <v>40</v>
      </c>
      <c r="U1427">
        <f>+IF(Tabla1[[#This Row],[MONEDA]]="PEN",Tabla1[[#This Row],[MONTO]],Tabla1[[#This Row],[MONTO]]*3.56)</f>
        <v>2474.7399999999998</v>
      </c>
      <c r="X1427" t="s">
        <v>41</v>
      </c>
      <c r="Y1427" t="s">
        <v>42</v>
      </c>
      <c r="Z1427" t="s">
        <v>82</v>
      </c>
      <c r="AA1427" t="s">
        <v>9578</v>
      </c>
      <c r="AB1427" t="s">
        <v>9579</v>
      </c>
      <c r="AC1427" t="s">
        <v>9580</v>
      </c>
      <c r="AD1427" t="s">
        <v>9581</v>
      </c>
      <c r="AE1427">
        <v>2227.27</v>
      </c>
      <c r="AF1427" t="s">
        <v>87</v>
      </c>
      <c r="AG1427" t="s">
        <v>169</v>
      </c>
    </row>
    <row r="1428" spans="1:33" hidden="1" x14ac:dyDescent="0.25">
      <c r="A1428">
        <v>23365</v>
      </c>
      <c r="B1428" t="s">
        <v>32</v>
      </c>
      <c r="C1428">
        <v>1</v>
      </c>
      <c r="D1428" t="s">
        <v>11268</v>
      </c>
      <c r="E1428" t="s">
        <v>70</v>
      </c>
      <c r="F1428" t="s">
        <v>33</v>
      </c>
      <c r="G1428" t="s">
        <v>9422</v>
      </c>
      <c r="H1428" t="s">
        <v>72</v>
      </c>
      <c r="I1428" t="s">
        <v>11254</v>
      </c>
      <c r="J1428" t="s">
        <v>11269</v>
      </c>
      <c r="K1428" t="s">
        <v>36</v>
      </c>
      <c r="L1428" t="s">
        <v>33</v>
      </c>
      <c r="M1428">
        <v>20601273404</v>
      </c>
      <c r="N1428" t="s">
        <v>1075</v>
      </c>
      <c r="O1428" t="s">
        <v>9423</v>
      </c>
      <c r="P1428" t="s">
        <v>38</v>
      </c>
      <c r="Q1428" t="s">
        <v>1076</v>
      </c>
      <c r="R1428" t="s">
        <v>11270</v>
      </c>
      <c r="S1428">
        <v>4253.08</v>
      </c>
      <c r="T1428" t="s">
        <v>40</v>
      </c>
      <c r="U1428">
        <f>+IF(Tabla1[[#This Row],[MONEDA]]="PEN",Tabla1[[#This Row],[MONTO]],Tabla1[[#This Row],[MONTO]]*3.56)</f>
        <v>4253.08</v>
      </c>
      <c r="X1428" t="s">
        <v>81</v>
      </c>
      <c r="Y1428" t="s">
        <v>42</v>
      </c>
      <c r="Z1428" t="s">
        <v>82</v>
      </c>
      <c r="AA1428" t="s">
        <v>11271</v>
      </c>
      <c r="AB1428" t="s">
        <v>11272</v>
      </c>
      <c r="AC1428" t="s">
        <v>11273</v>
      </c>
      <c r="AD1428" t="s">
        <v>11274</v>
      </c>
      <c r="AE1428">
        <v>3827.78</v>
      </c>
      <c r="AF1428" t="s">
        <v>87</v>
      </c>
      <c r="AG1428" t="s">
        <v>169</v>
      </c>
    </row>
    <row r="1429" spans="1:33" hidden="1" x14ac:dyDescent="0.25">
      <c r="A1429">
        <v>23942</v>
      </c>
      <c r="B1429" t="s">
        <v>32</v>
      </c>
      <c r="C1429">
        <v>2</v>
      </c>
      <c r="D1429" t="s">
        <v>10909</v>
      </c>
      <c r="E1429" t="s">
        <v>70</v>
      </c>
      <c r="F1429" t="s">
        <v>33</v>
      </c>
      <c r="G1429" t="s">
        <v>71</v>
      </c>
      <c r="H1429" t="s">
        <v>72</v>
      </c>
      <c r="I1429" t="s">
        <v>10888</v>
      </c>
      <c r="J1429" t="s">
        <v>10910</v>
      </c>
      <c r="K1429" t="s">
        <v>36</v>
      </c>
      <c r="L1429" t="s">
        <v>33</v>
      </c>
      <c r="M1429">
        <v>10474135671</v>
      </c>
      <c r="N1429" t="s">
        <v>10911</v>
      </c>
      <c r="O1429" t="s">
        <v>76</v>
      </c>
      <c r="P1429" t="s">
        <v>38</v>
      </c>
      <c r="Q1429">
        <v>21575285445099</v>
      </c>
      <c r="R1429" t="s">
        <v>10912</v>
      </c>
      <c r="S1429">
        <v>504</v>
      </c>
      <c r="T1429" t="s">
        <v>40</v>
      </c>
      <c r="U1429">
        <f>+IF(Tabla1[[#This Row],[MONEDA]]="PEN",Tabla1[[#This Row],[MONTO]],Tabla1[[#This Row],[MONTO]]*3.56)</f>
        <v>504</v>
      </c>
      <c r="X1429" t="s">
        <v>81</v>
      </c>
      <c r="Y1429" t="s">
        <v>42</v>
      </c>
      <c r="Z1429" t="s">
        <v>43</v>
      </c>
      <c r="AA1429" t="s">
        <v>10913</v>
      </c>
      <c r="AB1429" t="s">
        <v>10914</v>
      </c>
      <c r="AC1429" t="s">
        <v>10915</v>
      </c>
      <c r="AD1429" t="s">
        <v>10916</v>
      </c>
      <c r="AE1429">
        <v>504</v>
      </c>
      <c r="AF1429" t="s">
        <v>87</v>
      </c>
      <c r="AG1429" t="s">
        <v>169</v>
      </c>
    </row>
    <row r="1430" spans="1:33" hidden="1" x14ac:dyDescent="0.25">
      <c r="A1430">
        <v>43452</v>
      </c>
      <c r="B1430" t="s">
        <v>32</v>
      </c>
      <c r="C1430">
        <v>1</v>
      </c>
      <c r="D1430" t="s">
        <v>812</v>
      </c>
      <c r="E1430" t="s">
        <v>70</v>
      </c>
      <c r="F1430" t="s">
        <v>33</v>
      </c>
      <c r="G1430" t="s">
        <v>71</v>
      </c>
      <c r="H1430" t="s">
        <v>35</v>
      </c>
      <c r="I1430" t="s">
        <v>812</v>
      </c>
      <c r="J1430" t="s">
        <v>813</v>
      </c>
      <c r="K1430" t="s">
        <v>36</v>
      </c>
      <c r="L1430" t="s">
        <v>33</v>
      </c>
      <c r="M1430">
        <v>10044383042</v>
      </c>
      <c r="N1430" t="s">
        <v>814</v>
      </c>
      <c r="O1430" t="s">
        <v>76</v>
      </c>
      <c r="R1430" t="s">
        <v>815</v>
      </c>
      <c r="S1430">
        <v>50</v>
      </c>
      <c r="T1430" t="s">
        <v>40</v>
      </c>
      <c r="U1430">
        <f>+IF(Tabla1[[#This Row],[MONEDA]]="PEN",Tabla1[[#This Row],[MONTO]],Tabla1[[#This Row],[MONTO]]*3.56)</f>
        <v>50</v>
      </c>
      <c r="V1430" t="s">
        <v>190</v>
      </c>
      <c r="W1430">
        <v>41217</v>
      </c>
      <c r="X1430" t="s">
        <v>81</v>
      </c>
      <c r="Y1430" t="s">
        <v>42</v>
      </c>
      <c r="Z1430" t="s">
        <v>43</v>
      </c>
      <c r="AA1430" t="s">
        <v>816</v>
      </c>
      <c r="AC1430" t="s">
        <v>817</v>
      </c>
      <c r="AD1430" t="s">
        <v>818</v>
      </c>
    </row>
    <row r="1431" spans="1:33" hidden="1" x14ac:dyDescent="0.25">
      <c r="A1431">
        <v>25397</v>
      </c>
      <c r="B1431" t="s">
        <v>32</v>
      </c>
      <c r="C1431">
        <v>1</v>
      </c>
      <c r="D1431" t="s">
        <v>9792</v>
      </c>
      <c r="E1431" t="s">
        <v>70</v>
      </c>
      <c r="F1431" t="s">
        <v>33</v>
      </c>
      <c r="G1431" t="s">
        <v>71</v>
      </c>
      <c r="H1431" t="s">
        <v>72</v>
      </c>
      <c r="I1431" t="s">
        <v>9793</v>
      </c>
      <c r="J1431" t="s">
        <v>9794</v>
      </c>
      <c r="K1431" t="s">
        <v>36</v>
      </c>
      <c r="L1431" t="s">
        <v>33</v>
      </c>
      <c r="M1431">
        <v>10044383042</v>
      </c>
      <c r="N1431" t="s">
        <v>814</v>
      </c>
      <c r="O1431" t="s">
        <v>76</v>
      </c>
      <c r="R1431" t="s">
        <v>9795</v>
      </c>
      <c r="S1431">
        <v>45</v>
      </c>
      <c r="T1431" t="s">
        <v>40</v>
      </c>
      <c r="U1431">
        <f>+IF(Tabla1[[#This Row],[MONEDA]]="PEN",Tabla1[[#This Row],[MONTO]],Tabla1[[#This Row],[MONTO]]*3.56)</f>
        <v>45</v>
      </c>
      <c r="V1431" t="s">
        <v>190</v>
      </c>
      <c r="W1431">
        <v>25256</v>
      </c>
      <c r="X1431" t="s">
        <v>81</v>
      </c>
      <c r="Y1431" t="s">
        <v>42</v>
      </c>
      <c r="Z1431" t="s">
        <v>82</v>
      </c>
      <c r="AA1431" t="s">
        <v>9796</v>
      </c>
      <c r="AC1431" t="s">
        <v>9797</v>
      </c>
      <c r="AD1431" t="s">
        <v>9798</v>
      </c>
    </row>
    <row r="1432" spans="1:33" hidden="1" x14ac:dyDescent="0.25">
      <c r="A1432">
        <v>40811</v>
      </c>
      <c r="B1432" t="s">
        <v>32</v>
      </c>
      <c r="C1432">
        <v>1</v>
      </c>
      <c r="D1432" t="s">
        <v>1875</v>
      </c>
      <c r="E1432" t="s">
        <v>70</v>
      </c>
      <c r="F1432" t="s">
        <v>33</v>
      </c>
      <c r="G1432" t="s">
        <v>71</v>
      </c>
      <c r="H1432" t="s">
        <v>35</v>
      </c>
      <c r="I1432" t="s">
        <v>1862</v>
      </c>
      <c r="J1432" t="s">
        <v>1876</v>
      </c>
      <c r="K1432" t="s">
        <v>36</v>
      </c>
      <c r="L1432" t="s">
        <v>33</v>
      </c>
      <c r="M1432">
        <v>20604978280</v>
      </c>
      <c r="N1432" t="s">
        <v>1877</v>
      </c>
      <c r="O1432" t="s">
        <v>76</v>
      </c>
      <c r="P1432" t="s">
        <v>38</v>
      </c>
      <c r="Q1432" t="s">
        <v>1878</v>
      </c>
      <c r="R1432" t="s">
        <v>1879</v>
      </c>
      <c r="S1432">
        <v>271.39999999999998</v>
      </c>
      <c r="T1432" t="s">
        <v>40</v>
      </c>
      <c r="U1432">
        <f>+IF(Tabla1[[#This Row],[MONEDA]]="PEN",Tabla1[[#This Row],[MONTO]],Tabla1[[#This Row],[MONTO]]*3.56)</f>
        <v>271.39999999999998</v>
      </c>
      <c r="X1432" t="s">
        <v>81</v>
      </c>
      <c r="Y1432" t="s">
        <v>42</v>
      </c>
      <c r="Z1432" t="s">
        <v>82</v>
      </c>
      <c r="AA1432" t="s">
        <v>1880</v>
      </c>
      <c r="AB1432" t="s">
        <v>1881</v>
      </c>
      <c r="AC1432" t="s">
        <v>1882</v>
      </c>
      <c r="AD1432" t="s">
        <v>1883</v>
      </c>
      <c r="AE1432">
        <v>271.39999999999998</v>
      </c>
      <c r="AG1432" t="s">
        <v>169</v>
      </c>
    </row>
    <row r="1433" spans="1:33" hidden="1" x14ac:dyDescent="0.25">
      <c r="A1433">
        <v>32061</v>
      </c>
      <c r="B1433" t="s">
        <v>32</v>
      </c>
      <c r="C1433">
        <v>1</v>
      </c>
      <c r="D1433" t="s">
        <v>5475</v>
      </c>
      <c r="E1433" t="s">
        <v>70</v>
      </c>
      <c r="F1433" t="s">
        <v>33</v>
      </c>
      <c r="G1433" t="s">
        <v>71</v>
      </c>
      <c r="H1433" t="s">
        <v>72</v>
      </c>
      <c r="I1433" t="s">
        <v>5475</v>
      </c>
      <c r="J1433" t="s">
        <v>5485</v>
      </c>
      <c r="K1433" t="s">
        <v>36</v>
      </c>
      <c r="L1433" t="s">
        <v>33</v>
      </c>
      <c r="M1433">
        <v>20605977406</v>
      </c>
      <c r="N1433" t="s">
        <v>5486</v>
      </c>
      <c r="O1433" t="s">
        <v>76</v>
      </c>
      <c r="R1433" t="s">
        <v>5487</v>
      </c>
      <c r="S1433">
        <v>72</v>
      </c>
      <c r="T1433" t="s">
        <v>40</v>
      </c>
      <c r="U1433">
        <f>+IF(Tabla1[[#This Row],[MONEDA]]="PEN",Tabla1[[#This Row],[MONTO]],Tabla1[[#This Row],[MONTO]]*3.56)</f>
        <v>72</v>
      </c>
      <c r="V1433" t="s">
        <v>190</v>
      </c>
      <c r="W1433">
        <v>29730</v>
      </c>
      <c r="X1433" t="s">
        <v>81</v>
      </c>
      <c r="Y1433" t="s">
        <v>42</v>
      </c>
      <c r="Z1433" t="s">
        <v>43</v>
      </c>
      <c r="AA1433" t="s">
        <v>5488</v>
      </c>
      <c r="AC1433" t="s">
        <v>5489</v>
      </c>
      <c r="AD1433" t="s">
        <v>5490</v>
      </c>
    </row>
    <row r="1434" spans="1:33" x14ac:dyDescent="0.25">
      <c r="A1434">
        <v>37292</v>
      </c>
      <c r="B1434" t="s">
        <v>32</v>
      </c>
      <c r="C1434">
        <v>1</v>
      </c>
      <c r="D1434" t="s">
        <v>3329</v>
      </c>
      <c r="E1434" t="s">
        <v>70</v>
      </c>
      <c r="F1434" t="s">
        <v>90</v>
      </c>
      <c r="G1434" t="s">
        <v>91</v>
      </c>
      <c r="H1434" t="s">
        <v>35</v>
      </c>
      <c r="I1434" t="s">
        <v>3330</v>
      </c>
      <c r="J1434" t="s">
        <v>3331</v>
      </c>
      <c r="K1434" t="s">
        <v>36</v>
      </c>
      <c r="L1434" t="s">
        <v>33</v>
      </c>
      <c r="M1434">
        <v>10044029451</v>
      </c>
      <c r="N1434" t="s">
        <v>3332</v>
      </c>
      <c r="P1434" t="s">
        <v>38</v>
      </c>
      <c r="Q1434">
        <v>43006404576081</v>
      </c>
      <c r="R1434" t="s">
        <v>3333</v>
      </c>
      <c r="S1434">
        <v>1335</v>
      </c>
      <c r="T1434" t="s">
        <v>40</v>
      </c>
      <c r="U1434">
        <f>+IF(Tabla1[[#This Row],[MONEDA]]="PEN",Tabla1[[#This Row],[MONTO]],Tabla1[[#This Row],[MONTO]]*3.56)</f>
        <v>1335</v>
      </c>
      <c r="X1434" t="s">
        <v>41</v>
      </c>
      <c r="Y1434" t="s">
        <v>42</v>
      </c>
      <c r="Z1434" t="s">
        <v>82</v>
      </c>
      <c r="AA1434" t="s">
        <v>3334</v>
      </c>
      <c r="AB1434" t="s">
        <v>3335</v>
      </c>
      <c r="AC1434" t="s">
        <v>3336</v>
      </c>
      <c r="AD1434" t="s">
        <v>3337</v>
      </c>
      <c r="AE1434">
        <v>1335</v>
      </c>
      <c r="AF1434" t="s">
        <v>87</v>
      </c>
      <c r="AG1434" t="s">
        <v>169</v>
      </c>
    </row>
    <row r="1435" spans="1:33" hidden="1" x14ac:dyDescent="0.25">
      <c r="A1435">
        <v>31327</v>
      </c>
      <c r="B1435" t="s">
        <v>32</v>
      </c>
      <c r="C1435">
        <v>1</v>
      </c>
      <c r="D1435" t="s">
        <v>5879</v>
      </c>
      <c r="E1435" t="s">
        <v>70</v>
      </c>
      <c r="F1435" t="s">
        <v>33</v>
      </c>
      <c r="G1435" t="s">
        <v>71</v>
      </c>
      <c r="H1435" t="s">
        <v>72</v>
      </c>
      <c r="I1435" t="s">
        <v>5880</v>
      </c>
      <c r="J1435" t="s">
        <v>5881</v>
      </c>
      <c r="K1435" t="s">
        <v>36</v>
      </c>
      <c r="L1435" t="s">
        <v>33</v>
      </c>
      <c r="M1435">
        <v>10449023132</v>
      </c>
      <c r="N1435" t="s">
        <v>5882</v>
      </c>
      <c r="O1435" t="s">
        <v>76</v>
      </c>
      <c r="R1435" t="s">
        <v>5883</v>
      </c>
      <c r="S1435">
        <v>28</v>
      </c>
      <c r="T1435" t="s">
        <v>40</v>
      </c>
      <c r="U1435">
        <f>+IF(Tabla1[[#This Row],[MONEDA]]="PEN",Tabla1[[#This Row],[MONTO]],Tabla1[[#This Row],[MONTO]]*3.56)</f>
        <v>28</v>
      </c>
      <c r="V1435" t="s">
        <v>190</v>
      </c>
      <c r="W1435">
        <v>29024</v>
      </c>
      <c r="X1435" t="s">
        <v>81</v>
      </c>
      <c r="Y1435" t="s">
        <v>42</v>
      </c>
      <c r="Z1435" t="s">
        <v>43</v>
      </c>
      <c r="AA1435" t="s">
        <v>5884</v>
      </c>
      <c r="AC1435" t="s">
        <v>5885</v>
      </c>
      <c r="AD1435" t="s">
        <v>5886</v>
      </c>
    </row>
    <row r="1436" spans="1:33" hidden="1" x14ac:dyDescent="0.25">
      <c r="A1436">
        <v>29917</v>
      </c>
      <c r="B1436" t="s">
        <v>32</v>
      </c>
      <c r="C1436">
        <v>1</v>
      </c>
      <c r="D1436" t="s">
        <v>6542</v>
      </c>
      <c r="E1436" t="s">
        <v>70</v>
      </c>
      <c r="F1436" t="s">
        <v>33</v>
      </c>
      <c r="G1436" t="s">
        <v>71</v>
      </c>
      <c r="H1436" t="s">
        <v>72</v>
      </c>
      <c r="I1436" t="s">
        <v>6543</v>
      </c>
      <c r="J1436" t="s">
        <v>6544</v>
      </c>
      <c r="K1436" t="s">
        <v>36</v>
      </c>
      <c r="L1436" t="s">
        <v>33</v>
      </c>
      <c r="M1436">
        <v>10449023132</v>
      </c>
      <c r="N1436" t="s">
        <v>5882</v>
      </c>
      <c r="O1436" t="s">
        <v>76</v>
      </c>
      <c r="R1436" t="s">
        <v>6545</v>
      </c>
      <c r="S1436">
        <v>30</v>
      </c>
      <c r="T1436" t="s">
        <v>40</v>
      </c>
      <c r="U1436">
        <f>+IF(Tabla1[[#This Row],[MONEDA]]="PEN",Tabla1[[#This Row],[MONTO]],Tabla1[[#This Row],[MONTO]]*3.56)</f>
        <v>30</v>
      </c>
      <c r="V1436" t="s">
        <v>190</v>
      </c>
      <c r="W1436">
        <v>28316</v>
      </c>
      <c r="X1436" t="s">
        <v>81</v>
      </c>
      <c r="Y1436" t="s">
        <v>42</v>
      </c>
      <c r="Z1436" t="s">
        <v>43</v>
      </c>
      <c r="AA1436" t="s">
        <v>6546</v>
      </c>
      <c r="AC1436" t="s">
        <v>6547</v>
      </c>
      <c r="AD1436" t="s">
        <v>6548</v>
      </c>
    </row>
    <row r="1437" spans="1:33" hidden="1" x14ac:dyDescent="0.25">
      <c r="A1437">
        <v>29836</v>
      </c>
      <c r="B1437" t="s">
        <v>32</v>
      </c>
      <c r="C1437">
        <v>1</v>
      </c>
      <c r="D1437" t="s">
        <v>6641</v>
      </c>
      <c r="E1437" t="s">
        <v>70</v>
      </c>
      <c r="F1437" t="s">
        <v>33</v>
      </c>
      <c r="G1437" t="s">
        <v>71</v>
      </c>
      <c r="H1437" t="s">
        <v>72</v>
      </c>
      <c r="I1437" t="s">
        <v>6642</v>
      </c>
      <c r="J1437" t="s">
        <v>6643</v>
      </c>
      <c r="K1437" t="s">
        <v>36</v>
      </c>
      <c r="L1437" t="s">
        <v>33</v>
      </c>
      <c r="M1437">
        <v>10449023132</v>
      </c>
      <c r="N1437" t="s">
        <v>5882</v>
      </c>
      <c r="O1437" t="s">
        <v>76</v>
      </c>
      <c r="R1437" t="s">
        <v>6644</v>
      </c>
      <c r="S1437">
        <v>32</v>
      </c>
      <c r="T1437" t="s">
        <v>40</v>
      </c>
      <c r="U1437">
        <f>+IF(Tabla1[[#This Row],[MONEDA]]="PEN",Tabla1[[#This Row],[MONTO]],Tabla1[[#This Row],[MONTO]]*3.56)</f>
        <v>32</v>
      </c>
      <c r="V1437" t="s">
        <v>190</v>
      </c>
      <c r="W1437">
        <v>28316</v>
      </c>
      <c r="X1437" t="s">
        <v>81</v>
      </c>
      <c r="Y1437" t="s">
        <v>42</v>
      </c>
      <c r="Z1437" t="s">
        <v>43</v>
      </c>
      <c r="AA1437" t="s">
        <v>6632</v>
      </c>
      <c r="AC1437" t="s">
        <v>6645</v>
      </c>
      <c r="AD1437" t="s">
        <v>6646</v>
      </c>
    </row>
    <row r="1438" spans="1:33" hidden="1" x14ac:dyDescent="0.25">
      <c r="A1438">
        <v>29835</v>
      </c>
      <c r="B1438" t="s">
        <v>32</v>
      </c>
      <c r="C1438">
        <v>1</v>
      </c>
      <c r="D1438" t="s">
        <v>6647</v>
      </c>
      <c r="E1438" t="s">
        <v>70</v>
      </c>
      <c r="F1438" t="s">
        <v>33</v>
      </c>
      <c r="G1438" t="s">
        <v>71</v>
      </c>
      <c r="H1438" t="s">
        <v>72</v>
      </c>
      <c r="I1438" t="s">
        <v>6648</v>
      </c>
      <c r="J1438" t="s">
        <v>6649</v>
      </c>
      <c r="K1438" t="s">
        <v>36</v>
      </c>
      <c r="L1438" t="s">
        <v>33</v>
      </c>
      <c r="M1438">
        <v>10449023132</v>
      </c>
      <c r="N1438" t="s">
        <v>5882</v>
      </c>
      <c r="O1438" t="s">
        <v>76</v>
      </c>
      <c r="R1438" t="s">
        <v>6447</v>
      </c>
      <c r="S1438">
        <v>30</v>
      </c>
      <c r="T1438" t="s">
        <v>40</v>
      </c>
      <c r="U1438">
        <f>+IF(Tabla1[[#This Row],[MONEDA]]="PEN",Tabla1[[#This Row],[MONTO]],Tabla1[[#This Row],[MONTO]]*3.56)</f>
        <v>30</v>
      </c>
      <c r="V1438" t="s">
        <v>190</v>
      </c>
      <c r="W1438">
        <v>28316</v>
      </c>
      <c r="X1438" t="s">
        <v>81</v>
      </c>
      <c r="Y1438" t="s">
        <v>42</v>
      </c>
      <c r="Z1438" t="s">
        <v>43</v>
      </c>
      <c r="AA1438" t="s">
        <v>6632</v>
      </c>
      <c r="AC1438" t="s">
        <v>6650</v>
      </c>
      <c r="AD1438" t="s">
        <v>6651</v>
      </c>
    </row>
    <row r="1439" spans="1:33" hidden="1" x14ac:dyDescent="0.25">
      <c r="A1439">
        <v>29828</v>
      </c>
      <c r="B1439" t="s">
        <v>32</v>
      </c>
      <c r="C1439">
        <v>1</v>
      </c>
      <c r="D1439" t="s">
        <v>6690</v>
      </c>
      <c r="E1439" t="s">
        <v>70</v>
      </c>
      <c r="F1439" t="s">
        <v>33</v>
      </c>
      <c r="G1439" t="s">
        <v>71</v>
      </c>
      <c r="H1439" t="s">
        <v>72</v>
      </c>
      <c r="I1439" t="s">
        <v>6691</v>
      </c>
      <c r="J1439" t="s">
        <v>6692</v>
      </c>
      <c r="K1439" t="s">
        <v>36</v>
      </c>
      <c r="L1439" t="s">
        <v>33</v>
      </c>
      <c r="M1439">
        <v>10449023132</v>
      </c>
      <c r="N1439" t="s">
        <v>5882</v>
      </c>
      <c r="O1439" t="s">
        <v>76</v>
      </c>
      <c r="R1439" t="s">
        <v>6693</v>
      </c>
      <c r="S1439">
        <v>15</v>
      </c>
      <c r="T1439" t="s">
        <v>40</v>
      </c>
      <c r="U1439">
        <f>+IF(Tabla1[[#This Row],[MONEDA]]="PEN",Tabla1[[#This Row],[MONTO]],Tabla1[[#This Row],[MONTO]]*3.56)</f>
        <v>15</v>
      </c>
      <c r="V1439" t="s">
        <v>190</v>
      </c>
      <c r="W1439">
        <v>28316</v>
      </c>
      <c r="X1439" t="s">
        <v>81</v>
      </c>
      <c r="Y1439" t="s">
        <v>42</v>
      </c>
      <c r="Z1439" t="s">
        <v>43</v>
      </c>
      <c r="AA1439" t="s">
        <v>6694</v>
      </c>
      <c r="AC1439" t="s">
        <v>6695</v>
      </c>
      <c r="AD1439" t="s">
        <v>6696</v>
      </c>
    </row>
    <row r="1440" spans="1:33" hidden="1" x14ac:dyDescent="0.25">
      <c r="A1440">
        <v>29827</v>
      </c>
      <c r="B1440" t="s">
        <v>32</v>
      </c>
      <c r="C1440">
        <v>1</v>
      </c>
      <c r="D1440" t="s">
        <v>6697</v>
      </c>
      <c r="E1440" t="s">
        <v>70</v>
      </c>
      <c r="F1440" t="s">
        <v>33</v>
      </c>
      <c r="G1440" t="s">
        <v>71</v>
      </c>
      <c r="H1440" t="s">
        <v>72</v>
      </c>
      <c r="I1440" t="s">
        <v>6698</v>
      </c>
      <c r="J1440" t="s">
        <v>6699</v>
      </c>
      <c r="K1440" t="s">
        <v>36</v>
      </c>
      <c r="L1440" t="s">
        <v>33</v>
      </c>
      <c r="M1440">
        <v>10449023132</v>
      </c>
      <c r="N1440" t="s">
        <v>5882</v>
      </c>
      <c r="O1440" t="s">
        <v>76</v>
      </c>
      <c r="R1440" t="s">
        <v>6700</v>
      </c>
      <c r="S1440">
        <v>67</v>
      </c>
      <c r="T1440" t="s">
        <v>40</v>
      </c>
      <c r="U1440">
        <f>+IF(Tabla1[[#This Row],[MONEDA]]="PEN",Tabla1[[#This Row],[MONTO]],Tabla1[[#This Row],[MONTO]]*3.56)</f>
        <v>67</v>
      </c>
      <c r="V1440" t="s">
        <v>190</v>
      </c>
      <c r="W1440">
        <v>28316</v>
      </c>
      <c r="X1440" t="s">
        <v>81</v>
      </c>
      <c r="Y1440" t="s">
        <v>42</v>
      </c>
      <c r="Z1440" t="s">
        <v>43</v>
      </c>
      <c r="AA1440" t="s">
        <v>6701</v>
      </c>
      <c r="AC1440" t="s">
        <v>6702</v>
      </c>
      <c r="AD1440" t="s">
        <v>6703</v>
      </c>
    </row>
    <row r="1441" spans="1:33" hidden="1" x14ac:dyDescent="0.25">
      <c r="A1441">
        <v>29122</v>
      </c>
      <c r="B1441" t="s">
        <v>32</v>
      </c>
      <c r="C1441">
        <v>2</v>
      </c>
      <c r="D1441" t="s">
        <v>7129</v>
      </c>
      <c r="E1441" t="s">
        <v>70</v>
      </c>
      <c r="F1441" t="s">
        <v>33</v>
      </c>
      <c r="G1441" t="s">
        <v>71</v>
      </c>
      <c r="H1441" t="s">
        <v>72</v>
      </c>
      <c r="I1441" t="s">
        <v>7130</v>
      </c>
      <c r="J1441" t="s">
        <v>7136</v>
      </c>
      <c r="K1441" t="s">
        <v>36</v>
      </c>
      <c r="L1441" t="s">
        <v>33</v>
      </c>
      <c r="M1441">
        <v>10449023132</v>
      </c>
      <c r="N1441" t="s">
        <v>5882</v>
      </c>
      <c r="O1441" t="s">
        <v>76</v>
      </c>
      <c r="R1441" t="s">
        <v>7137</v>
      </c>
      <c r="S1441">
        <v>43</v>
      </c>
      <c r="T1441" t="s">
        <v>40</v>
      </c>
      <c r="U1441">
        <f>+IF(Tabla1[[#This Row],[MONEDA]]="PEN",Tabla1[[#This Row],[MONTO]],Tabla1[[#This Row],[MONTO]]*3.56)</f>
        <v>43</v>
      </c>
      <c r="V1441" t="s">
        <v>190</v>
      </c>
      <c r="W1441">
        <v>27036</v>
      </c>
      <c r="X1441" t="s">
        <v>81</v>
      </c>
      <c r="Y1441" t="s">
        <v>42</v>
      </c>
      <c r="Z1441" t="s">
        <v>43</v>
      </c>
      <c r="AA1441" t="s">
        <v>7138</v>
      </c>
      <c r="AC1441" t="s">
        <v>7139</v>
      </c>
      <c r="AD1441" t="s">
        <v>7140</v>
      </c>
    </row>
    <row r="1442" spans="1:33" hidden="1" x14ac:dyDescent="0.25">
      <c r="A1442">
        <v>29052</v>
      </c>
      <c r="B1442" t="s">
        <v>32</v>
      </c>
      <c r="C1442">
        <v>2</v>
      </c>
      <c r="D1442" t="s">
        <v>7224</v>
      </c>
      <c r="E1442" t="s">
        <v>70</v>
      </c>
      <c r="F1442" t="s">
        <v>33</v>
      </c>
      <c r="G1442" t="s">
        <v>71</v>
      </c>
      <c r="H1442" t="s">
        <v>72</v>
      </c>
      <c r="I1442" t="s">
        <v>7225</v>
      </c>
      <c r="J1442" t="s">
        <v>7226</v>
      </c>
      <c r="K1442" t="s">
        <v>36</v>
      </c>
      <c r="L1442" t="s">
        <v>33</v>
      </c>
      <c r="M1442">
        <v>10449023132</v>
      </c>
      <c r="N1442" t="s">
        <v>5882</v>
      </c>
      <c r="O1442" t="s">
        <v>76</v>
      </c>
      <c r="R1442" t="s">
        <v>7227</v>
      </c>
      <c r="S1442">
        <v>24</v>
      </c>
      <c r="T1442" t="s">
        <v>40</v>
      </c>
      <c r="U1442">
        <f>+IF(Tabla1[[#This Row],[MONEDA]]="PEN",Tabla1[[#This Row],[MONTO]],Tabla1[[#This Row],[MONTO]]*3.56)</f>
        <v>24</v>
      </c>
      <c r="V1442" t="s">
        <v>190</v>
      </c>
      <c r="W1442">
        <v>27036</v>
      </c>
      <c r="X1442" t="s">
        <v>81</v>
      </c>
      <c r="Y1442" t="s">
        <v>42</v>
      </c>
      <c r="Z1442" t="s">
        <v>43</v>
      </c>
      <c r="AA1442" t="s">
        <v>7196</v>
      </c>
      <c r="AC1442" t="s">
        <v>7228</v>
      </c>
      <c r="AD1442" t="s">
        <v>7229</v>
      </c>
    </row>
    <row r="1443" spans="1:33" hidden="1" x14ac:dyDescent="0.25">
      <c r="A1443">
        <v>38400</v>
      </c>
      <c r="B1443" t="s">
        <v>32</v>
      </c>
      <c r="C1443">
        <v>1</v>
      </c>
      <c r="D1443" t="s">
        <v>2945</v>
      </c>
      <c r="E1443" t="s">
        <v>70</v>
      </c>
      <c r="F1443" t="s">
        <v>33</v>
      </c>
      <c r="G1443" t="s">
        <v>71</v>
      </c>
      <c r="H1443" t="s">
        <v>35</v>
      </c>
      <c r="I1443" t="s">
        <v>2945</v>
      </c>
      <c r="J1443" t="s">
        <v>2946</v>
      </c>
      <c r="K1443" t="s">
        <v>36</v>
      </c>
      <c r="L1443" t="s">
        <v>33</v>
      </c>
      <c r="M1443">
        <v>10459809185</v>
      </c>
      <c r="N1443" t="s">
        <v>2947</v>
      </c>
      <c r="O1443" t="s">
        <v>76</v>
      </c>
      <c r="R1443" t="s">
        <v>2948</v>
      </c>
      <c r="S1443">
        <v>37.5</v>
      </c>
      <c r="T1443" t="s">
        <v>40</v>
      </c>
      <c r="U1443">
        <f>+IF(Tabla1[[#This Row],[MONEDA]]="PEN",Tabla1[[#This Row],[MONTO]],Tabla1[[#This Row],[MONTO]]*3.56)</f>
        <v>37.5</v>
      </c>
      <c r="V1443" t="s">
        <v>190</v>
      </c>
      <c r="W1443">
        <v>34656</v>
      </c>
      <c r="X1443" t="s">
        <v>81</v>
      </c>
      <c r="Y1443" t="s">
        <v>42</v>
      </c>
      <c r="Z1443" t="s">
        <v>43</v>
      </c>
      <c r="AA1443" t="s">
        <v>2949</v>
      </c>
      <c r="AC1443" t="s">
        <v>2950</v>
      </c>
      <c r="AD1443" t="s">
        <v>2951</v>
      </c>
    </row>
    <row r="1444" spans="1:33" hidden="1" x14ac:dyDescent="0.25">
      <c r="A1444">
        <v>34686</v>
      </c>
      <c r="B1444" t="s">
        <v>32</v>
      </c>
      <c r="C1444">
        <v>1</v>
      </c>
      <c r="D1444" t="s">
        <v>4518</v>
      </c>
      <c r="E1444" t="s">
        <v>70</v>
      </c>
      <c r="F1444" t="s">
        <v>33</v>
      </c>
      <c r="G1444" t="s">
        <v>71</v>
      </c>
      <c r="H1444" t="s">
        <v>72</v>
      </c>
      <c r="I1444" t="s">
        <v>4519</v>
      </c>
      <c r="J1444" t="s">
        <v>4520</v>
      </c>
      <c r="K1444" t="s">
        <v>36</v>
      </c>
      <c r="L1444" t="s">
        <v>33</v>
      </c>
      <c r="M1444">
        <v>10459809185</v>
      </c>
      <c r="N1444" t="s">
        <v>2947</v>
      </c>
      <c r="O1444" t="s">
        <v>76</v>
      </c>
      <c r="P1444" t="s">
        <v>38</v>
      </c>
      <c r="Q1444">
        <v>43031659247049</v>
      </c>
      <c r="R1444" t="s">
        <v>4521</v>
      </c>
      <c r="S1444">
        <v>640</v>
      </c>
      <c r="T1444" t="s">
        <v>40</v>
      </c>
      <c r="U1444">
        <f>+IF(Tabla1[[#This Row],[MONEDA]]="PEN",Tabla1[[#This Row],[MONTO]],Tabla1[[#This Row],[MONTO]]*3.56)</f>
        <v>640</v>
      </c>
      <c r="X1444" t="s">
        <v>81</v>
      </c>
      <c r="Y1444" t="s">
        <v>42</v>
      </c>
      <c r="Z1444" t="s">
        <v>43</v>
      </c>
      <c r="AA1444" t="s">
        <v>4522</v>
      </c>
      <c r="AB1444" t="s">
        <v>4523</v>
      </c>
      <c r="AC1444" t="s">
        <v>4524</v>
      </c>
      <c r="AD1444" t="s">
        <v>4525</v>
      </c>
      <c r="AE1444">
        <v>640</v>
      </c>
      <c r="AF1444" t="s">
        <v>87</v>
      </c>
      <c r="AG1444" t="s">
        <v>169</v>
      </c>
    </row>
    <row r="1445" spans="1:33" hidden="1" x14ac:dyDescent="0.25">
      <c r="A1445">
        <v>32059</v>
      </c>
      <c r="B1445" t="s">
        <v>32</v>
      </c>
      <c r="C1445">
        <v>1</v>
      </c>
      <c r="D1445" t="s">
        <v>5475</v>
      </c>
      <c r="E1445" t="s">
        <v>70</v>
      </c>
      <c r="F1445" t="s">
        <v>33</v>
      </c>
      <c r="G1445" t="s">
        <v>71</v>
      </c>
      <c r="H1445" t="s">
        <v>72</v>
      </c>
      <c r="I1445" t="s">
        <v>5475</v>
      </c>
      <c r="J1445" t="s">
        <v>5476</v>
      </c>
      <c r="K1445" t="s">
        <v>36</v>
      </c>
      <c r="L1445" t="s">
        <v>33</v>
      </c>
      <c r="M1445">
        <v>10459809185</v>
      </c>
      <c r="N1445" t="s">
        <v>2947</v>
      </c>
      <c r="R1445" t="s">
        <v>5477</v>
      </c>
      <c r="S1445">
        <v>15</v>
      </c>
      <c r="T1445" t="s">
        <v>40</v>
      </c>
      <c r="U1445">
        <f>+IF(Tabla1[[#This Row],[MONEDA]]="PEN",Tabla1[[#This Row],[MONTO]],Tabla1[[#This Row],[MONTO]]*3.56)</f>
        <v>15</v>
      </c>
      <c r="V1445" t="s">
        <v>190</v>
      </c>
      <c r="W1445">
        <v>29730</v>
      </c>
      <c r="X1445" t="s">
        <v>81</v>
      </c>
      <c r="Y1445" t="s">
        <v>42</v>
      </c>
      <c r="Z1445" t="s">
        <v>43</v>
      </c>
      <c r="AA1445" t="s">
        <v>5478</v>
      </c>
      <c r="AC1445" t="s">
        <v>5479</v>
      </c>
      <c r="AD1445" t="s">
        <v>5480</v>
      </c>
    </row>
    <row r="1446" spans="1:33" hidden="1" x14ac:dyDescent="0.25">
      <c r="A1446">
        <v>29981</v>
      </c>
      <c r="B1446" t="s">
        <v>32</v>
      </c>
      <c r="C1446">
        <v>2</v>
      </c>
      <c r="D1446" t="s">
        <v>6482</v>
      </c>
      <c r="E1446" t="s">
        <v>70</v>
      </c>
      <c r="F1446" t="s">
        <v>33</v>
      </c>
      <c r="G1446" t="s">
        <v>71</v>
      </c>
      <c r="H1446" t="s">
        <v>35</v>
      </c>
      <c r="I1446" t="s">
        <v>6483</v>
      </c>
      <c r="J1446" t="s">
        <v>6484</v>
      </c>
      <c r="K1446" t="s">
        <v>36</v>
      </c>
      <c r="L1446" t="s">
        <v>33</v>
      </c>
      <c r="M1446">
        <v>10459809185</v>
      </c>
      <c r="N1446" t="s">
        <v>2947</v>
      </c>
      <c r="O1446" t="s">
        <v>76</v>
      </c>
      <c r="P1446" t="s">
        <v>38</v>
      </c>
      <c r="Q1446" t="s">
        <v>6485</v>
      </c>
      <c r="R1446" t="s">
        <v>6486</v>
      </c>
      <c r="S1446">
        <v>355</v>
      </c>
      <c r="T1446" t="s">
        <v>40</v>
      </c>
      <c r="U1446">
        <f>+IF(Tabla1[[#This Row],[MONEDA]]="PEN",Tabla1[[#This Row],[MONTO]],Tabla1[[#This Row],[MONTO]]*3.56)</f>
        <v>355</v>
      </c>
      <c r="X1446" t="s">
        <v>81</v>
      </c>
      <c r="Y1446" t="s">
        <v>42</v>
      </c>
      <c r="Z1446" t="s">
        <v>43</v>
      </c>
      <c r="AA1446" t="s">
        <v>6487</v>
      </c>
      <c r="AB1446" t="s">
        <v>6488</v>
      </c>
      <c r="AC1446" t="s">
        <v>6489</v>
      </c>
      <c r="AD1446" t="s">
        <v>6490</v>
      </c>
      <c r="AE1446">
        <v>355</v>
      </c>
      <c r="AF1446" t="s">
        <v>87</v>
      </c>
      <c r="AG1446" t="s">
        <v>169</v>
      </c>
    </row>
    <row r="1447" spans="1:33" hidden="1" x14ac:dyDescent="0.25">
      <c r="A1447">
        <v>29120</v>
      </c>
      <c r="B1447" t="s">
        <v>32</v>
      </c>
      <c r="C1447">
        <v>2</v>
      </c>
      <c r="D1447" t="s">
        <v>7141</v>
      </c>
      <c r="E1447" t="s">
        <v>70</v>
      </c>
      <c r="F1447" t="s">
        <v>33</v>
      </c>
      <c r="G1447" t="s">
        <v>71</v>
      </c>
      <c r="H1447" t="s">
        <v>72</v>
      </c>
      <c r="I1447" t="s">
        <v>7142</v>
      </c>
      <c r="J1447" t="s">
        <v>7143</v>
      </c>
      <c r="K1447" t="s">
        <v>36</v>
      </c>
      <c r="L1447" t="s">
        <v>33</v>
      </c>
      <c r="M1447">
        <v>10459809185</v>
      </c>
      <c r="N1447" t="s">
        <v>2947</v>
      </c>
      <c r="O1447" t="s">
        <v>76</v>
      </c>
      <c r="R1447" t="s">
        <v>7144</v>
      </c>
      <c r="S1447">
        <v>23.5</v>
      </c>
      <c r="T1447" t="s">
        <v>40</v>
      </c>
      <c r="U1447">
        <f>+IF(Tabla1[[#This Row],[MONEDA]]="PEN",Tabla1[[#This Row],[MONTO]],Tabla1[[#This Row],[MONTO]]*3.56)</f>
        <v>23.5</v>
      </c>
      <c r="V1447" t="s">
        <v>190</v>
      </c>
      <c r="W1447">
        <v>27036</v>
      </c>
      <c r="X1447" t="s">
        <v>81</v>
      </c>
      <c r="Y1447" t="s">
        <v>42</v>
      </c>
      <c r="Z1447" t="s">
        <v>43</v>
      </c>
      <c r="AA1447" t="s">
        <v>7145</v>
      </c>
      <c r="AC1447" t="s">
        <v>7146</v>
      </c>
      <c r="AD1447" t="s">
        <v>7147</v>
      </c>
    </row>
    <row r="1448" spans="1:33" hidden="1" x14ac:dyDescent="0.25">
      <c r="A1448">
        <v>29108</v>
      </c>
      <c r="B1448" t="s">
        <v>32</v>
      </c>
      <c r="C1448">
        <v>2</v>
      </c>
      <c r="D1448" t="s">
        <v>7180</v>
      </c>
      <c r="E1448" t="s">
        <v>70</v>
      </c>
      <c r="F1448" t="s">
        <v>33</v>
      </c>
      <c r="G1448" t="s">
        <v>71</v>
      </c>
      <c r="H1448" t="s">
        <v>72</v>
      </c>
      <c r="I1448" t="s">
        <v>7181</v>
      </c>
      <c r="J1448" t="s">
        <v>7182</v>
      </c>
      <c r="K1448" t="s">
        <v>36</v>
      </c>
      <c r="L1448" t="s">
        <v>33</v>
      </c>
      <c r="M1448">
        <v>10459809185</v>
      </c>
      <c r="N1448" t="s">
        <v>2947</v>
      </c>
      <c r="O1448" t="s">
        <v>76</v>
      </c>
      <c r="R1448" t="s">
        <v>7183</v>
      </c>
      <c r="S1448">
        <v>82</v>
      </c>
      <c r="T1448" t="s">
        <v>40</v>
      </c>
      <c r="U1448">
        <f>+IF(Tabla1[[#This Row],[MONEDA]]="PEN",Tabla1[[#This Row],[MONTO]],Tabla1[[#This Row],[MONTO]]*3.56)</f>
        <v>82</v>
      </c>
      <c r="V1448" t="s">
        <v>190</v>
      </c>
      <c r="W1448">
        <v>27036</v>
      </c>
      <c r="X1448" t="s">
        <v>81</v>
      </c>
      <c r="Y1448" t="s">
        <v>42</v>
      </c>
      <c r="Z1448" t="s">
        <v>43</v>
      </c>
      <c r="AA1448" t="s">
        <v>7184</v>
      </c>
      <c r="AC1448" t="s">
        <v>7185</v>
      </c>
      <c r="AD1448" t="s">
        <v>7186</v>
      </c>
    </row>
    <row r="1449" spans="1:33" hidden="1" x14ac:dyDescent="0.25">
      <c r="A1449">
        <v>29017</v>
      </c>
      <c r="B1449" t="s">
        <v>32</v>
      </c>
      <c r="C1449">
        <v>1</v>
      </c>
      <c r="D1449" t="s">
        <v>7336</v>
      </c>
      <c r="E1449" t="s">
        <v>70</v>
      </c>
      <c r="F1449" t="s">
        <v>33</v>
      </c>
      <c r="G1449" t="s">
        <v>71</v>
      </c>
      <c r="H1449" t="s">
        <v>72</v>
      </c>
      <c r="I1449" t="s">
        <v>7315</v>
      </c>
      <c r="J1449" t="s">
        <v>7337</v>
      </c>
      <c r="K1449" t="s">
        <v>36</v>
      </c>
      <c r="L1449" t="s">
        <v>33</v>
      </c>
      <c r="M1449">
        <v>10459809185</v>
      </c>
      <c r="N1449" t="s">
        <v>2947</v>
      </c>
      <c r="O1449" t="s">
        <v>76</v>
      </c>
      <c r="P1449" t="s">
        <v>38</v>
      </c>
      <c r="Q1449" t="s">
        <v>6485</v>
      </c>
      <c r="R1449" t="s">
        <v>7338</v>
      </c>
      <c r="S1449">
        <v>852</v>
      </c>
      <c r="T1449" t="s">
        <v>40</v>
      </c>
      <c r="U1449">
        <f>+IF(Tabla1[[#This Row],[MONEDA]]="PEN",Tabla1[[#This Row],[MONTO]],Tabla1[[#This Row],[MONTO]]*3.56)</f>
        <v>852</v>
      </c>
      <c r="X1449" t="s">
        <v>81</v>
      </c>
      <c r="Y1449" t="s">
        <v>42</v>
      </c>
      <c r="Z1449" t="s">
        <v>43</v>
      </c>
      <c r="AA1449" t="s">
        <v>7339</v>
      </c>
      <c r="AB1449" t="s">
        <v>7340</v>
      </c>
      <c r="AC1449" t="s">
        <v>7341</v>
      </c>
      <c r="AD1449" t="s">
        <v>7342</v>
      </c>
      <c r="AE1449">
        <v>826.44</v>
      </c>
      <c r="AF1449" t="s">
        <v>87</v>
      </c>
      <c r="AG1449" t="s">
        <v>169</v>
      </c>
    </row>
    <row r="1450" spans="1:33" hidden="1" x14ac:dyDescent="0.25">
      <c r="A1450">
        <v>28341</v>
      </c>
      <c r="B1450" t="s">
        <v>32</v>
      </c>
      <c r="C1450">
        <v>1</v>
      </c>
      <c r="D1450" t="s">
        <v>7757</v>
      </c>
      <c r="E1450" t="s">
        <v>70</v>
      </c>
      <c r="F1450" t="s">
        <v>33</v>
      </c>
      <c r="G1450" t="s">
        <v>71</v>
      </c>
      <c r="H1450" t="s">
        <v>72</v>
      </c>
      <c r="I1450" t="s">
        <v>7758</v>
      </c>
      <c r="J1450" t="s">
        <v>7759</v>
      </c>
      <c r="K1450" t="s">
        <v>36</v>
      </c>
      <c r="L1450" t="s">
        <v>33</v>
      </c>
      <c r="M1450">
        <v>10459809185</v>
      </c>
      <c r="N1450" t="s">
        <v>2947</v>
      </c>
      <c r="O1450" t="s">
        <v>76</v>
      </c>
      <c r="R1450" t="s">
        <v>7760</v>
      </c>
      <c r="S1450">
        <v>30</v>
      </c>
      <c r="T1450" t="s">
        <v>40</v>
      </c>
      <c r="U1450">
        <f>+IF(Tabla1[[#This Row],[MONEDA]]="PEN",Tabla1[[#This Row],[MONTO]],Tabla1[[#This Row],[MONTO]]*3.56)</f>
        <v>30</v>
      </c>
      <c r="V1450" t="s">
        <v>190</v>
      </c>
      <c r="W1450">
        <v>25908</v>
      </c>
      <c r="X1450" t="s">
        <v>81</v>
      </c>
      <c r="Y1450" t="s">
        <v>42</v>
      </c>
      <c r="Z1450" t="s">
        <v>43</v>
      </c>
      <c r="AA1450" t="s">
        <v>7761</v>
      </c>
      <c r="AC1450" t="s">
        <v>7762</v>
      </c>
      <c r="AD1450" t="s">
        <v>7763</v>
      </c>
    </row>
    <row r="1451" spans="1:33" hidden="1" x14ac:dyDescent="0.25">
      <c r="A1451">
        <v>28340</v>
      </c>
      <c r="B1451" t="s">
        <v>32</v>
      </c>
      <c r="C1451">
        <v>1</v>
      </c>
      <c r="D1451" t="s">
        <v>7764</v>
      </c>
      <c r="E1451" t="s">
        <v>70</v>
      </c>
      <c r="F1451" t="s">
        <v>33</v>
      </c>
      <c r="G1451" t="s">
        <v>71</v>
      </c>
      <c r="H1451" t="s">
        <v>72</v>
      </c>
      <c r="I1451" t="s">
        <v>7765</v>
      </c>
      <c r="J1451" t="s">
        <v>7766</v>
      </c>
      <c r="K1451" t="s">
        <v>36</v>
      </c>
      <c r="L1451" t="s">
        <v>33</v>
      </c>
      <c r="M1451">
        <v>10459809185</v>
      </c>
      <c r="N1451" t="s">
        <v>2947</v>
      </c>
      <c r="O1451" t="s">
        <v>76</v>
      </c>
      <c r="R1451" t="s">
        <v>7760</v>
      </c>
      <c r="S1451">
        <v>14</v>
      </c>
      <c r="T1451" t="s">
        <v>40</v>
      </c>
      <c r="U1451">
        <f>+IF(Tabla1[[#This Row],[MONEDA]]="PEN",Tabla1[[#This Row],[MONTO]],Tabla1[[#This Row],[MONTO]]*3.56)</f>
        <v>14</v>
      </c>
      <c r="V1451" t="s">
        <v>190</v>
      </c>
      <c r="W1451">
        <v>25908</v>
      </c>
      <c r="X1451" t="s">
        <v>81</v>
      </c>
      <c r="Y1451" t="s">
        <v>42</v>
      </c>
      <c r="Z1451" t="s">
        <v>43</v>
      </c>
      <c r="AA1451" t="s">
        <v>7767</v>
      </c>
      <c r="AC1451" t="s">
        <v>7768</v>
      </c>
      <c r="AD1451" t="s">
        <v>7769</v>
      </c>
    </row>
    <row r="1452" spans="1:33" hidden="1" x14ac:dyDescent="0.25">
      <c r="A1452">
        <v>26907</v>
      </c>
      <c r="B1452" t="s">
        <v>32</v>
      </c>
      <c r="C1452">
        <v>1</v>
      </c>
      <c r="D1452" t="s">
        <v>8795</v>
      </c>
      <c r="E1452" t="s">
        <v>70</v>
      </c>
      <c r="F1452" t="s">
        <v>33</v>
      </c>
      <c r="G1452" t="s">
        <v>71</v>
      </c>
      <c r="H1452" t="s">
        <v>72</v>
      </c>
      <c r="I1452" t="s">
        <v>8774</v>
      </c>
      <c r="J1452" t="s">
        <v>8796</v>
      </c>
      <c r="K1452" t="s">
        <v>36</v>
      </c>
      <c r="L1452" t="s">
        <v>33</v>
      </c>
      <c r="M1452">
        <v>10459809185</v>
      </c>
      <c r="N1452" t="s">
        <v>2947</v>
      </c>
      <c r="O1452" t="s">
        <v>76</v>
      </c>
      <c r="P1452" t="s">
        <v>38</v>
      </c>
      <c r="Q1452" t="s">
        <v>6485</v>
      </c>
      <c r="R1452" t="s">
        <v>8797</v>
      </c>
      <c r="S1452">
        <v>190</v>
      </c>
      <c r="T1452" t="s">
        <v>40</v>
      </c>
      <c r="U1452">
        <f>+IF(Tabla1[[#This Row],[MONEDA]]="PEN",Tabla1[[#This Row],[MONTO]],Tabla1[[#This Row],[MONTO]]*3.56)</f>
        <v>190</v>
      </c>
      <c r="X1452" t="s">
        <v>81</v>
      </c>
      <c r="Y1452" t="s">
        <v>42</v>
      </c>
      <c r="Z1452" t="s">
        <v>43</v>
      </c>
      <c r="AA1452" t="s">
        <v>8798</v>
      </c>
      <c r="AB1452" t="s">
        <v>8799</v>
      </c>
      <c r="AC1452" t="s">
        <v>8800</v>
      </c>
      <c r="AD1452" t="s">
        <v>8801</v>
      </c>
      <c r="AE1452">
        <v>190</v>
      </c>
      <c r="AF1452" t="s">
        <v>87</v>
      </c>
      <c r="AG1452" t="s">
        <v>169</v>
      </c>
    </row>
    <row r="1453" spans="1:33" hidden="1" x14ac:dyDescent="0.25">
      <c r="A1453">
        <v>26859</v>
      </c>
      <c r="B1453" t="s">
        <v>32</v>
      </c>
      <c r="C1453">
        <v>2</v>
      </c>
      <c r="D1453" t="s">
        <v>8832</v>
      </c>
      <c r="E1453" t="s">
        <v>70</v>
      </c>
      <c r="F1453" t="s">
        <v>33</v>
      </c>
      <c r="G1453" t="s">
        <v>71</v>
      </c>
      <c r="H1453" t="s">
        <v>72</v>
      </c>
      <c r="I1453" t="s">
        <v>8833</v>
      </c>
      <c r="J1453" t="s">
        <v>8834</v>
      </c>
      <c r="K1453" t="s">
        <v>36</v>
      </c>
      <c r="L1453" t="s">
        <v>33</v>
      </c>
      <c r="M1453">
        <v>10459809185</v>
      </c>
      <c r="N1453" t="s">
        <v>2947</v>
      </c>
      <c r="O1453" t="s">
        <v>76</v>
      </c>
      <c r="R1453" t="s">
        <v>8835</v>
      </c>
      <c r="S1453">
        <v>14</v>
      </c>
      <c r="T1453" t="s">
        <v>40</v>
      </c>
      <c r="U1453">
        <f>+IF(Tabla1[[#This Row],[MONEDA]]="PEN",Tabla1[[#This Row],[MONTO]],Tabla1[[#This Row],[MONTO]]*3.56)</f>
        <v>14</v>
      </c>
      <c r="V1453" t="s">
        <v>190</v>
      </c>
      <c r="W1453">
        <v>26301</v>
      </c>
      <c r="X1453" t="s">
        <v>81</v>
      </c>
      <c r="Y1453" t="s">
        <v>42</v>
      </c>
      <c r="Z1453" t="s">
        <v>43</v>
      </c>
      <c r="AA1453" t="s">
        <v>8836</v>
      </c>
      <c r="AC1453" t="s">
        <v>8837</v>
      </c>
      <c r="AD1453" t="s">
        <v>8838</v>
      </c>
    </row>
    <row r="1454" spans="1:33" hidden="1" x14ac:dyDescent="0.25">
      <c r="A1454">
        <v>26741</v>
      </c>
      <c r="B1454" t="s">
        <v>32</v>
      </c>
      <c r="C1454">
        <v>1</v>
      </c>
      <c r="D1454" t="s">
        <v>9054</v>
      </c>
      <c r="E1454" t="s">
        <v>70</v>
      </c>
      <c r="F1454" t="s">
        <v>33</v>
      </c>
      <c r="G1454" t="s">
        <v>71</v>
      </c>
      <c r="H1454" t="s">
        <v>72</v>
      </c>
      <c r="I1454" t="s">
        <v>9055</v>
      </c>
      <c r="J1454" t="s">
        <v>9056</v>
      </c>
      <c r="K1454" t="s">
        <v>36</v>
      </c>
      <c r="L1454" t="s">
        <v>33</v>
      </c>
      <c r="M1454">
        <v>10459809185</v>
      </c>
      <c r="N1454" t="s">
        <v>2947</v>
      </c>
      <c r="O1454" t="s">
        <v>76</v>
      </c>
      <c r="R1454" t="s">
        <v>9057</v>
      </c>
      <c r="S1454">
        <v>21.5</v>
      </c>
      <c r="T1454" t="s">
        <v>40</v>
      </c>
      <c r="U1454">
        <f>+IF(Tabla1[[#This Row],[MONEDA]]="PEN",Tabla1[[#This Row],[MONTO]],Tabla1[[#This Row],[MONTO]]*3.56)</f>
        <v>21.5</v>
      </c>
      <c r="V1454" t="s">
        <v>190</v>
      </c>
      <c r="W1454">
        <v>25908</v>
      </c>
      <c r="X1454" t="s">
        <v>81</v>
      </c>
      <c r="Y1454" t="s">
        <v>42</v>
      </c>
      <c r="Z1454" t="s">
        <v>82</v>
      </c>
      <c r="AA1454" t="s">
        <v>9058</v>
      </c>
      <c r="AC1454" t="s">
        <v>9059</v>
      </c>
      <c r="AD1454" t="s">
        <v>9060</v>
      </c>
    </row>
    <row r="1455" spans="1:33" hidden="1" x14ac:dyDescent="0.25">
      <c r="A1455">
        <v>26713</v>
      </c>
      <c r="B1455" t="s">
        <v>32</v>
      </c>
      <c r="C1455">
        <v>1</v>
      </c>
      <c r="D1455" t="s">
        <v>9221</v>
      </c>
      <c r="E1455" t="s">
        <v>70</v>
      </c>
      <c r="F1455" t="s">
        <v>33</v>
      </c>
      <c r="G1455" t="s">
        <v>71</v>
      </c>
      <c r="H1455" t="s">
        <v>72</v>
      </c>
      <c r="I1455" t="s">
        <v>9222</v>
      </c>
      <c r="J1455" t="s">
        <v>9232</v>
      </c>
      <c r="K1455" t="s">
        <v>36</v>
      </c>
      <c r="L1455" t="s">
        <v>33</v>
      </c>
      <c r="M1455">
        <v>10459809185</v>
      </c>
      <c r="N1455" t="s">
        <v>2947</v>
      </c>
      <c r="O1455" t="s">
        <v>76</v>
      </c>
      <c r="R1455" t="s">
        <v>9233</v>
      </c>
      <c r="S1455">
        <v>39</v>
      </c>
      <c r="T1455" t="s">
        <v>40</v>
      </c>
      <c r="U1455">
        <f>+IF(Tabla1[[#This Row],[MONEDA]]="PEN",Tabla1[[#This Row],[MONTO]],Tabla1[[#This Row],[MONTO]]*3.56)</f>
        <v>39</v>
      </c>
      <c r="V1455" t="s">
        <v>190</v>
      </c>
      <c r="W1455">
        <v>25256</v>
      </c>
      <c r="X1455" t="s">
        <v>81</v>
      </c>
      <c r="Y1455" t="s">
        <v>42</v>
      </c>
      <c r="Z1455" t="s">
        <v>82</v>
      </c>
      <c r="AA1455" t="s">
        <v>9234</v>
      </c>
      <c r="AC1455" t="s">
        <v>9235</v>
      </c>
      <c r="AD1455" t="s">
        <v>9236</v>
      </c>
    </row>
    <row r="1456" spans="1:33" hidden="1" x14ac:dyDescent="0.25">
      <c r="A1456">
        <v>25905</v>
      </c>
      <c r="B1456" t="s">
        <v>32</v>
      </c>
      <c r="C1456">
        <v>1</v>
      </c>
      <c r="D1456" t="s">
        <v>9539</v>
      </c>
      <c r="E1456" t="s">
        <v>70</v>
      </c>
      <c r="F1456" t="s">
        <v>33</v>
      </c>
      <c r="G1456" t="s">
        <v>71</v>
      </c>
      <c r="H1456" t="s">
        <v>72</v>
      </c>
      <c r="I1456" t="s">
        <v>9519</v>
      </c>
      <c r="J1456" t="s">
        <v>9540</v>
      </c>
      <c r="K1456" t="s">
        <v>36</v>
      </c>
      <c r="L1456" t="s">
        <v>33</v>
      </c>
      <c r="M1456">
        <v>10459809185</v>
      </c>
      <c r="N1456" t="s">
        <v>2947</v>
      </c>
      <c r="O1456" t="s">
        <v>76</v>
      </c>
      <c r="P1456" t="s">
        <v>38</v>
      </c>
      <c r="Q1456" t="s">
        <v>6485</v>
      </c>
      <c r="R1456" t="s">
        <v>9541</v>
      </c>
      <c r="S1456">
        <v>446.5</v>
      </c>
      <c r="T1456" t="s">
        <v>40</v>
      </c>
      <c r="U1456">
        <f>+IF(Tabla1[[#This Row],[MONEDA]]="PEN",Tabla1[[#This Row],[MONTO]],Tabla1[[#This Row],[MONTO]]*3.56)</f>
        <v>446.5</v>
      </c>
      <c r="X1456" t="s">
        <v>81</v>
      </c>
      <c r="Y1456" t="s">
        <v>42</v>
      </c>
      <c r="Z1456" t="s">
        <v>82</v>
      </c>
      <c r="AA1456" t="s">
        <v>9542</v>
      </c>
      <c r="AB1456" t="s">
        <v>9543</v>
      </c>
      <c r="AC1456" t="s">
        <v>9544</v>
      </c>
      <c r="AD1456" t="s">
        <v>9545</v>
      </c>
      <c r="AE1456">
        <v>446.5</v>
      </c>
      <c r="AF1456" t="s">
        <v>87</v>
      </c>
      <c r="AG1456" t="s">
        <v>169</v>
      </c>
    </row>
    <row r="1457" spans="1:33" hidden="1" x14ac:dyDescent="0.25">
      <c r="A1457">
        <v>25379</v>
      </c>
      <c r="B1457" t="s">
        <v>32</v>
      </c>
      <c r="C1457">
        <v>1</v>
      </c>
      <c r="D1457" t="s">
        <v>9861</v>
      </c>
      <c r="E1457" t="s">
        <v>70</v>
      </c>
      <c r="F1457" t="s">
        <v>33</v>
      </c>
      <c r="G1457" t="s">
        <v>71</v>
      </c>
      <c r="H1457" t="s">
        <v>72</v>
      </c>
      <c r="I1457" t="s">
        <v>9862</v>
      </c>
      <c r="J1457" t="s">
        <v>9863</v>
      </c>
      <c r="K1457" t="s">
        <v>36</v>
      </c>
      <c r="L1457" t="s">
        <v>33</v>
      </c>
      <c r="M1457">
        <v>10459809185</v>
      </c>
      <c r="N1457" t="s">
        <v>2947</v>
      </c>
      <c r="O1457" t="s">
        <v>76</v>
      </c>
      <c r="R1457" t="s">
        <v>9864</v>
      </c>
      <c r="S1457">
        <v>16</v>
      </c>
      <c r="T1457" t="s">
        <v>40</v>
      </c>
      <c r="U1457">
        <f>+IF(Tabla1[[#This Row],[MONEDA]]="PEN",Tabla1[[#This Row],[MONTO]],Tabla1[[#This Row],[MONTO]]*3.56)</f>
        <v>16</v>
      </c>
      <c r="V1457" t="s">
        <v>190</v>
      </c>
      <c r="W1457">
        <v>25256</v>
      </c>
      <c r="X1457" t="s">
        <v>81</v>
      </c>
      <c r="Y1457" t="s">
        <v>42</v>
      </c>
      <c r="Z1457" t="s">
        <v>82</v>
      </c>
      <c r="AA1457" t="s">
        <v>9865</v>
      </c>
      <c r="AD1457" t="s">
        <v>9866</v>
      </c>
    </row>
    <row r="1458" spans="1:33" hidden="1" x14ac:dyDescent="0.25">
      <c r="A1458">
        <v>25105</v>
      </c>
      <c r="B1458" t="s">
        <v>32</v>
      </c>
      <c r="C1458">
        <v>1</v>
      </c>
      <c r="D1458" t="s">
        <v>10017</v>
      </c>
      <c r="E1458" t="s">
        <v>70</v>
      </c>
      <c r="F1458" t="s">
        <v>33</v>
      </c>
      <c r="G1458" t="s">
        <v>71</v>
      </c>
      <c r="H1458" t="s">
        <v>72</v>
      </c>
      <c r="I1458" t="s">
        <v>10018</v>
      </c>
      <c r="J1458" t="s">
        <v>10019</v>
      </c>
      <c r="K1458" t="s">
        <v>36</v>
      </c>
      <c r="L1458" t="s">
        <v>33</v>
      </c>
      <c r="M1458">
        <v>10459809185</v>
      </c>
      <c r="N1458" t="s">
        <v>2947</v>
      </c>
      <c r="O1458" t="s">
        <v>76</v>
      </c>
      <c r="P1458" t="s">
        <v>38</v>
      </c>
      <c r="Q1458" t="s">
        <v>6485</v>
      </c>
      <c r="R1458" t="s">
        <v>10020</v>
      </c>
      <c r="S1458">
        <v>288.5</v>
      </c>
      <c r="T1458" t="s">
        <v>40</v>
      </c>
      <c r="U1458">
        <f>+IF(Tabla1[[#This Row],[MONEDA]]="PEN",Tabla1[[#This Row],[MONTO]],Tabla1[[#This Row],[MONTO]]*3.56)</f>
        <v>288.5</v>
      </c>
      <c r="X1458" t="s">
        <v>81</v>
      </c>
      <c r="Y1458" t="s">
        <v>42</v>
      </c>
      <c r="Z1458" t="s">
        <v>82</v>
      </c>
      <c r="AA1458" t="s">
        <v>10021</v>
      </c>
      <c r="AB1458" t="s">
        <v>10022</v>
      </c>
      <c r="AC1458" t="s">
        <v>10023</v>
      </c>
      <c r="AD1458" t="s">
        <v>10024</v>
      </c>
      <c r="AE1458">
        <v>288.5</v>
      </c>
      <c r="AF1458" t="s">
        <v>87</v>
      </c>
      <c r="AG1458" t="s">
        <v>169</v>
      </c>
    </row>
    <row r="1459" spans="1:33" hidden="1" x14ac:dyDescent="0.25">
      <c r="A1459">
        <v>24093</v>
      </c>
      <c r="B1459" t="s">
        <v>32</v>
      </c>
      <c r="C1459">
        <v>1</v>
      </c>
      <c r="D1459" t="s">
        <v>10815</v>
      </c>
      <c r="E1459" t="s">
        <v>70</v>
      </c>
      <c r="F1459" t="s">
        <v>33</v>
      </c>
      <c r="G1459" t="s">
        <v>71</v>
      </c>
      <c r="H1459" t="s">
        <v>72</v>
      </c>
      <c r="I1459" t="s">
        <v>10816</v>
      </c>
      <c r="J1459" t="s">
        <v>10817</v>
      </c>
      <c r="K1459" t="s">
        <v>36</v>
      </c>
      <c r="L1459" t="s">
        <v>33</v>
      </c>
      <c r="M1459">
        <v>10459809185</v>
      </c>
      <c r="N1459" t="s">
        <v>2947</v>
      </c>
      <c r="O1459" t="s">
        <v>76</v>
      </c>
      <c r="R1459" t="s">
        <v>10818</v>
      </c>
      <c r="S1459">
        <v>70</v>
      </c>
      <c r="T1459" t="s">
        <v>40</v>
      </c>
      <c r="U1459">
        <f>+IF(Tabla1[[#This Row],[MONEDA]]="PEN",Tabla1[[#This Row],[MONTO]],Tabla1[[#This Row],[MONTO]]*3.56)</f>
        <v>70</v>
      </c>
      <c r="V1459" t="s">
        <v>190</v>
      </c>
      <c r="W1459">
        <v>21787</v>
      </c>
      <c r="X1459" t="s">
        <v>81</v>
      </c>
      <c r="Y1459" t="s">
        <v>42</v>
      </c>
      <c r="Z1459" t="s">
        <v>82</v>
      </c>
      <c r="AA1459" t="s">
        <v>10819</v>
      </c>
      <c r="AC1459" t="s">
        <v>10820</v>
      </c>
      <c r="AD1459" t="s">
        <v>10821</v>
      </c>
    </row>
    <row r="1460" spans="1:33" hidden="1" x14ac:dyDescent="0.25">
      <c r="A1460">
        <v>23965</v>
      </c>
      <c r="B1460" t="s">
        <v>32</v>
      </c>
      <c r="C1460">
        <v>1</v>
      </c>
      <c r="D1460" t="s">
        <v>10924</v>
      </c>
      <c r="E1460" t="s">
        <v>70</v>
      </c>
      <c r="F1460" t="s">
        <v>33</v>
      </c>
      <c r="G1460" t="s">
        <v>9422</v>
      </c>
      <c r="H1460" t="s">
        <v>72</v>
      </c>
      <c r="I1460" t="s">
        <v>10888</v>
      </c>
      <c r="J1460" t="s">
        <v>10925</v>
      </c>
      <c r="K1460" t="s">
        <v>36</v>
      </c>
      <c r="L1460" t="s">
        <v>33</v>
      </c>
      <c r="M1460">
        <v>10459809185</v>
      </c>
      <c r="N1460" t="s">
        <v>2947</v>
      </c>
      <c r="O1460" t="s">
        <v>9423</v>
      </c>
      <c r="P1460" t="s">
        <v>38</v>
      </c>
      <c r="Q1460" t="s">
        <v>6485</v>
      </c>
      <c r="R1460" t="s">
        <v>10926</v>
      </c>
      <c r="S1460">
        <v>413</v>
      </c>
      <c r="T1460" t="s">
        <v>40</v>
      </c>
      <c r="U1460">
        <f>+IF(Tabla1[[#This Row],[MONEDA]]="PEN",Tabla1[[#This Row],[MONTO]],Tabla1[[#This Row],[MONTO]]*3.56)</f>
        <v>413</v>
      </c>
      <c r="X1460" t="s">
        <v>41</v>
      </c>
      <c r="Y1460" t="s">
        <v>42</v>
      </c>
      <c r="Z1460" t="s">
        <v>43</v>
      </c>
      <c r="AA1460" t="s">
        <v>10927</v>
      </c>
      <c r="AB1460" t="s">
        <v>10928</v>
      </c>
      <c r="AC1460" t="s">
        <v>10929</v>
      </c>
      <c r="AD1460" t="s">
        <v>10930</v>
      </c>
      <c r="AE1460">
        <v>413</v>
      </c>
      <c r="AF1460" t="s">
        <v>87</v>
      </c>
      <c r="AG1460" t="s">
        <v>169</v>
      </c>
    </row>
    <row r="1461" spans="1:33" hidden="1" x14ac:dyDescent="0.25">
      <c r="A1461">
        <v>23344</v>
      </c>
      <c r="B1461" t="s">
        <v>32</v>
      </c>
      <c r="C1461">
        <v>1</v>
      </c>
      <c r="D1461" t="s">
        <v>11253</v>
      </c>
      <c r="E1461" t="s">
        <v>70</v>
      </c>
      <c r="F1461" t="s">
        <v>33</v>
      </c>
      <c r="G1461" t="s">
        <v>9422</v>
      </c>
      <c r="H1461" t="s">
        <v>72</v>
      </c>
      <c r="I1461" t="s">
        <v>11254</v>
      </c>
      <c r="J1461" t="s">
        <v>11255</v>
      </c>
      <c r="K1461" t="s">
        <v>36</v>
      </c>
      <c r="L1461" t="s">
        <v>33</v>
      </c>
      <c r="M1461">
        <v>10459809185</v>
      </c>
      <c r="N1461" t="s">
        <v>2947</v>
      </c>
      <c r="O1461" t="s">
        <v>9423</v>
      </c>
      <c r="P1461" t="s">
        <v>38</v>
      </c>
      <c r="Q1461" t="s">
        <v>6485</v>
      </c>
      <c r="R1461" t="s">
        <v>11256</v>
      </c>
      <c r="S1461">
        <v>369</v>
      </c>
      <c r="T1461" t="s">
        <v>40</v>
      </c>
      <c r="U1461">
        <f>+IF(Tabla1[[#This Row],[MONEDA]]="PEN",Tabla1[[#This Row],[MONTO]],Tabla1[[#This Row],[MONTO]]*3.56)</f>
        <v>369</v>
      </c>
      <c r="X1461" t="s">
        <v>41</v>
      </c>
      <c r="Y1461" t="s">
        <v>42</v>
      </c>
      <c r="Z1461" t="s">
        <v>43</v>
      </c>
      <c r="AA1461" t="s">
        <v>11257</v>
      </c>
      <c r="AB1461" t="s">
        <v>11258</v>
      </c>
      <c r="AC1461" t="s">
        <v>11259</v>
      </c>
      <c r="AD1461" t="s">
        <v>11260</v>
      </c>
      <c r="AE1461">
        <v>369</v>
      </c>
      <c r="AF1461" t="s">
        <v>87</v>
      </c>
      <c r="AG1461" t="s">
        <v>169</v>
      </c>
    </row>
    <row r="1462" spans="1:33" hidden="1" x14ac:dyDescent="0.25">
      <c r="A1462">
        <v>22869</v>
      </c>
      <c r="B1462" t="s">
        <v>32</v>
      </c>
      <c r="C1462">
        <v>1</v>
      </c>
      <c r="D1462" t="s">
        <v>11689</v>
      </c>
      <c r="E1462" t="s">
        <v>70</v>
      </c>
      <c r="F1462" t="s">
        <v>33</v>
      </c>
      <c r="G1462" t="s">
        <v>71</v>
      </c>
      <c r="H1462" t="s">
        <v>72</v>
      </c>
      <c r="I1462" t="s">
        <v>11690</v>
      </c>
      <c r="J1462" t="s">
        <v>11691</v>
      </c>
      <c r="K1462" t="s">
        <v>36</v>
      </c>
      <c r="L1462" t="s">
        <v>33</v>
      </c>
      <c r="M1462">
        <v>10459809185</v>
      </c>
      <c r="N1462" t="s">
        <v>2947</v>
      </c>
      <c r="O1462" t="s">
        <v>76</v>
      </c>
      <c r="R1462" t="s">
        <v>11692</v>
      </c>
      <c r="S1462">
        <v>42</v>
      </c>
      <c r="T1462" t="s">
        <v>40</v>
      </c>
      <c r="U1462">
        <f>+IF(Tabla1[[#This Row],[MONEDA]]="PEN",Tabla1[[#This Row],[MONTO]],Tabla1[[#This Row],[MONTO]]*3.56)</f>
        <v>42</v>
      </c>
      <c r="V1462" t="s">
        <v>190</v>
      </c>
      <c r="W1462">
        <v>20973</v>
      </c>
      <c r="X1462" t="s">
        <v>81</v>
      </c>
      <c r="Y1462" t="s">
        <v>42</v>
      </c>
      <c r="Z1462" t="s">
        <v>82</v>
      </c>
      <c r="AA1462" t="s">
        <v>11693</v>
      </c>
      <c r="AC1462" t="s">
        <v>11694</v>
      </c>
      <c r="AD1462" t="s">
        <v>11695</v>
      </c>
    </row>
    <row r="1463" spans="1:33" hidden="1" x14ac:dyDescent="0.25">
      <c r="A1463">
        <v>22464</v>
      </c>
      <c r="B1463" t="s">
        <v>32</v>
      </c>
      <c r="C1463">
        <v>1</v>
      </c>
      <c r="D1463" t="s">
        <v>11860</v>
      </c>
      <c r="E1463" t="s">
        <v>70</v>
      </c>
      <c r="F1463" t="s">
        <v>33</v>
      </c>
      <c r="G1463" t="s">
        <v>9422</v>
      </c>
      <c r="H1463" t="s">
        <v>72</v>
      </c>
      <c r="I1463" t="s">
        <v>11846</v>
      </c>
      <c r="J1463" t="s">
        <v>11861</v>
      </c>
      <c r="K1463" t="s">
        <v>36</v>
      </c>
      <c r="L1463" t="s">
        <v>33</v>
      </c>
      <c r="M1463">
        <v>10459809185</v>
      </c>
      <c r="N1463" t="s">
        <v>2947</v>
      </c>
      <c r="O1463" t="s">
        <v>9423</v>
      </c>
      <c r="P1463" t="s">
        <v>38</v>
      </c>
      <c r="Q1463" t="s">
        <v>6485</v>
      </c>
      <c r="R1463" t="s">
        <v>7338</v>
      </c>
      <c r="S1463">
        <v>658</v>
      </c>
      <c r="T1463" t="s">
        <v>40</v>
      </c>
      <c r="U1463">
        <f>+IF(Tabla1[[#This Row],[MONEDA]]="PEN",Tabla1[[#This Row],[MONTO]],Tabla1[[#This Row],[MONTO]]*3.56)</f>
        <v>658</v>
      </c>
      <c r="X1463" t="s">
        <v>81</v>
      </c>
      <c r="Y1463" t="s">
        <v>42</v>
      </c>
      <c r="Z1463" t="s">
        <v>43</v>
      </c>
      <c r="AA1463" t="s">
        <v>11862</v>
      </c>
      <c r="AB1463" t="s">
        <v>11863</v>
      </c>
      <c r="AC1463" t="s">
        <v>11864</v>
      </c>
      <c r="AD1463" t="s">
        <v>11865</v>
      </c>
      <c r="AE1463">
        <v>658</v>
      </c>
      <c r="AF1463" t="s">
        <v>87</v>
      </c>
      <c r="AG1463" t="s">
        <v>169</v>
      </c>
    </row>
    <row r="1464" spans="1:33" hidden="1" x14ac:dyDescent="0.25">
      <c r="A1464">
        <v>22244</v>
      </c>
      <c r="B1464" t="s">
        <v>32</v>
      </c>
      <c r="C1464">
        <v>1</v>
      </c>
      <c r="D1464" t="s">
        <v>11995</v>
      </c>
      <c r="E1464" t="s">
        <v>70</v>
      </c>
      <c r="F1464" t="s">
        <v>33</v>
      </c>
      <c r="G1464" t="s">
        <v>9422</v>
      </c>
      <c r="H1464" t="s">
        <v>72</v>
      </c>
      <c r="I1464" t="s">
        <v>11981</v>
      </c>
      <c r="J1464" t="s">
        <v>11996</v>
      </c>
      <c r="K1464" t="s">
        <v>36</v>
      </c>
      <c r="L1464" t="s">
        <v>33</v>
      </c>
      <c r="M1464">
        <v>10459809185</v>
      </c>
      <c r="N1464" t="s">
        <v>2947</v>
      </c>
      <c r="O1464" t="s">
        <v>9423</v>
      </c>
      <c r="P1464" t="s">
        <v>38</v>
      </c>
      <c r="Q1464" t="s">
        <v>6485</v>
      </c>
      <c r="R1464" t="s">
        <v>11997</v>
      </c>
      <c r="S1464">
        <v>840</v>
      </c>
      <c r="T1464" t="s">
        <v>40</v>
      </c>
      <c r="U1464">
        <f>+IF(Tabla1[[#This Row],[MONEDA]]="PEN",Tabla1[[#This Row],[MONTO]],Tabla1[[#This Row],[MONTO]]*3.56)</f>
        <v>840</v>
      </c>
      <c r="X1464" t="s">
        <v>81</v>
      </c>
      <c r="Y1464" t="s">
        <v>42</v>
      </c>
      <c r="Z1464" t="s">
        <v>43</v>
      </c>
      <c r="AA1464" t="s">
        <v>11998</v>
      </c>
      <c r="AB1464" t="s">
        <v>11999</v>
      </c>
      <c r="AC1464" t="s">
        <v>12000</v>
      </c>
      <c r="AD1464" t="s">
        <v>12001</v>
      </c>
      <c r="AE1464">
        <v>814.8</v>
      </c>
      <c r="AF1464" t="s">
        <v>87</v>
      </c>
      <c r="AG1464" t="s">
        <v>169</v>
      </c>
    </row>
    <row r="1465" spans="1:33" hidden="1" x14ac:dyDescent="0.25">
      <c r="A1465">
        <v>21790</v>
      </c>
      <c r="B1465" t="s">
        <v>32</v>
      </c>
      <c r="C1465">
        <v>1</v>
      </c>
      <c r="D1465" t="s">
        <v>12227</v>
      </c>
      <c r="E1465" t="s">
        <v>70</v>
      </c>
      <c r="F1465" t="s">
        <v>33</v>
      </c>
      <c r="G1465" t="s">
        <v>71</v>
      </c>
      <c r="H1465" t="s">
        <v>72</v>
      </c>
      <c r="I1465" t="s">
        <v>12202</v>
      </c>
      <c r="J1465" t="s">
        <v>12228</v>
      </c>
      <c r="K1465" t="s">
        <v>36</v>
      </c>
      <c r="L1465" t="s">
        <v>33</v>
      </c>
      <c r="M1465">
        <v>10459809185</v>
      </c>
      <c r="N1465" t="s">
        <v>2947</v>
      </c>
      <c r="O1465" t="s">
        <v>76</v>
      </c>
      <c r="P1465" t="s">
        <v>38</v>
      </c>
      <c r="Q1465" t="s">
        <v>6485</v>
      </c>
      <c r="R1465" t="s">
        <v>12229</v>
      </c>
      <c r="S1465">
        <v>502.5</v>
      </c>
      <c r="T1465" t="s">
        <v>40</v>
      </c>
      <c r="U1465">
        <f>+IF(Tabla1[[#This Row],[MONEDA]]="PEN",Tabla1[[#This Row],[MONTO]],Tabla1[[#This Row],[MONTO]]*3.56)</f>
        <v>502.5</v>
      </c>
      <c r="X1465" t="s">
        <v>81</v>
      </c>
      <c r="Y1465" t="s">
        <v>42</v>
      </c>
      <c r="Z1465" t="s">
        <v>43</v>
      </c>
      <c r="AA1465" t="s">
        <v>12230</v>
      </c>
      <c r="AB1465" t="s">
        <v>12231</v>
      </c>
      <c r="AC1465" t="s">
        <v>12232</v>
      </c>
      <c r="AD1465" t="s">
        <v>12233</v>
      </c>
      <c r="AE1465">
        <v>502.5</v>
      </c>
      <c r="AF1465" t="s">
        <v>87</v>
      </c>
      <c r="AG1465" t="s">
        <v>169</v>
      </c>
    </row>
    <row r="1466" spans="1:33" hidden="1" x14ac:dyDescent="0.25">
      <c r="A1466">
        <v>20969</v>
      </c>
      <c r="B1466" t="s">
        <v>32</v>
      </c>
      <c r="C1466">
        <v>1</v>
      </c>
      <c r="D1466" t="s">
        <v>12758</v>
      </c>
      <c r="E1466" t="s">
        <v>70</v>
      </c>
      <c r="F1466" t="s">
        <v>33</v>
      </c>
      <c r="G1466" t="s">
        <v>71</v>
      </c>
      <c r="H1466" t="s">
        <v>72</v>
      </c>
      <c r="I1466" t="s">
        <v>12751</v>
      </c>
      <c r="J1466" t="s">
        <v>12759</v>
      </c>
      <c r="K1466" t="s">
        <v>36</v>
      </c>
      <c r="L1466" t="s">
        <v>33</v>
      </c>
      <c r="M1466">
        <v>10459809185</v>
      </c>
      <c r="N1466" t="s">
        <v>2947</v>
      </c>
      <c r="O1466" t="s">
        <v>76</v>
      </c>
      <c r="P1466" t="s">
        <v>38</v>
      </c>
      <c r="Q1466" t="s">
        <v>6485</v>
      </c>
      <c r="R1466" t="s">
        <v>12760</v>
      </c>
      <c r="S1466">
        <v>401</v>
      </c>
      <c r="T1466" t="s">
        <v>40</v>
      </c>
      <c r="U1466">
        <f>+IF(Tabla1[[#This Row],[MONEDA]]="PEN",Tabla1[[#This Row],[MONTO]],Tabla1[[#This Row],[MONTO]]*3.56)</f>
        <v>401</v>
      </c>
      <c r="X1466" t="s">
        <v>81</v>
      </c>
      <c r="Y1466" t="s">
        <v>42</v>
      </c>
      <c r="Z1466" t="s">
        <v>43</v>
      </c>
      <c r="AA1466" t="s">
        <v>12761</v>
      </c>
      <c r="AB1466" t="s">
        <v>12762</v>
      </c>
      <c r="AC1466" t="s">
        <v>12763</v>
      </c>
      <c r="AD1466" t="s">
        <v>12764</v>
      </c>
      <c r="AE1466">
        <v>401</v>
      </c>
      <c r="AF1466" t="s">
        <v>87</v>
      </c>
      <c r="AG1466" t="s">
        <v>169</v>
      </c>
    </row>
    <row r="1467" spans="1:33" hidden="1" x14ac:dyDescent="0.25">
      <c r="A1467">
        <v>45791</v>
      </c>
      <c r="B1467" t="s">
        <v>32</v>
      </c>
      <c r="C1467">
        <v>6</v>
      </c>
      <c r="D1467" t="s">
        <v>187</v>
      </c>
      <c r="E1467" t="s">
        <v>70</v>
      </c>
      <c r="F1467" t="s">
        <v>130</v>
      </c>
      <c r="G1467" t="s">
        <v>131</v>
      </c>
      <c r="H1467" t="s">
        <v>132</v>
      </c>
      <c r="I1467" t="s">
        <v>187</v>
      </c>
      <c r="J1467" t="s">
        <v>188</v>
      </c>
      <c r="K1467" t="s">
        <v>36</v>
      </c>
      <c r="L1467" t="s">
        <v>33</v>
      </c>
      <c r="R1467" t="s">
        <v>189</v>
      </c>
      <c r="S1467">
        <v>6247.48</v>
      </c>
      <c r="T1467" t="s">
        <v>40</v>
      </c>
      <c r="U1467">
        <f>+IF(Tabla1[[#This Row],[MONEDA]]="PEN",Tabla1[[#This Row],[MONTO]],Tabla1[[#This Row],[MONTO]]*3.56)</f>
        <v>6247.48</v>
      </c>
      <c r="V1467" t="s">
        <v>190</v>
      </c>
      <c r="W1467">
        <v>45045</v>
      </c>
      <c r="X1467" t="s">
        <v>139</v>
      </c>
      <c r="Y1467" t="s">
        <v>51</v>
      </c>
      <c r="Z1467" t="s">
        <v>43</v>
      </c>
      <c r="AA1467" t="s">
        <v>191</v>
      </c>
    </row>
    <row r="1468" spans="1:33" hidden="1" x14ac:dyDescent="0.25">
      <c r="A1468">
        <v>45768</v>
      </c>
      <c r="B1468" t="s">
        <v>32</v>
      </c>
      <c r="C1468">
        <v>6</v>
      </c>
      <c r="D1468" t="s">
        <v>192</v>
      </c>
      <c r="E1468" t="s">
        <v>70</v>
      </c>
      <c r="F1468" t="s">
        <v>130</v>
      </c>
      <c r="G1468" t="s">
        <v>131</v>
      </c>
      <c r="H1468" t="s">
        <v>132</v>
      </c>
      <c r="I1468" t="s">
        <v>192</v>
      </c>
      <c r="J1468" t="s">
        <v>193</v>
      </c>
      <c r="K1468" t="s">
        <v>36</v>
      </c>
      <c r="L1468" t="s">
        <v>33</v>
      </c>
      <c r="R1468" t="s">
        <v>194</v>
      </c>
      <c r="S1468">
        <v>56739.77</v>
      </c>
      <c r="T1468" t="s">
        <v>40</v>
      </c>
      <c r="U1468">
        <f>+IF(Tabla1[[#This Row],[MONEDA]]="PEN",Tabla1[[#This Row],[MONTO]],Tabla1[[#This Row],[MONTO]]*3.56)</f>
        <v>56739.77</v>
      </c>
      <c r="V1468" t="s">
        <v>190</v>
      </c>
      <c r="W1468">
        <v>45043</v>
      </c>
      <c r="X1468" t="s">
        <v>139</v>
      </c>
      <c r="Y1468" t="s">
        <v>51</v>
      </c>
      <c r="Z1468" t="s">
        <v>43</v>
      </c>
      <c r="AA1468" t="s">
        <v>195</v>
      </c>
    </row>
    <row r="1469" spans="1:33" hidden="1" x14ac:dyDescent="0.25">
      <c r="A1469">
        <v>45644</v>
      </c>
      <c r="B1469" t="s">
        <v>32</v>
      </c>
      <c r="C1469">
        <v>6</v>
      </c>
      <c r="D1469" t="s">
        <v>196</v>
      </c>
      <c r="E1469" t="s">
        <v>70</v>
      </c>
      <c r="F1469" t="s">
        <v>130</v>
      </c>
      <c r="G1469" t="s">
        <v>131</v>
      </c>
      <c r="H1469" t="s">
        <v>132</v>
      </c>
      <c r="I1469" t="s">
        <v>196</v>
      </c>
      <c r="J1469" t="s">
        <v>197</v>
      </c>
      <c r="K1469" t="s">
        <v>36</v>
      </c>
      <c r="L1469" t="s">
        <v>33</v>
      </c>
      <c r="R1469" t="s">
        <v>198</v>
      </c>
      <c r="S1469">
        <v>6009.26</v>
      </c>
      <c r="T1469" t="s">
        <v>40</v>
      </c>
      <c r="U1469">
        <f>+IF(Tabla1[[#This Row],[MONEDA]]="PEN",Tabla1[[#This Row],[MONTO]],Tabla1[[#This Row],[MONTO]]*3.56)</f>
        <v>6009.26</v>
      </c>
      <c r="V1469" t="s">
        <v>190</v>
      </c>
      <c r="W1469">
        <v>44875</v>
      </c>
      <c r="X1469" t="s">
        <v>139</v>
      </c>
      <c r="Y1469" t="s">
        <v>51</v>
      </c>
      <c r="Z1469" t="s">
        <v>43</v>
      </c>
      <c r="AA1469" t="s">
        <v>199</v>
      </c>
    </row>
    <row r="1470" spans="1:33" hidden="1" x14ac:dyDescent="0.25">
      <c r="A1470">
        <v>45508</v>
      </c>
      <c r="B1470" t="s">
        <v>32</v>
      </c>
      <c r="C1470">
        <v>6</v>
      </c>
      <c r="D1470" t="s">
        <v>200</v>
      </c>
      <c r="E1470" t="s">
        <v>70</v>
      </c>
      <c r="F1470" t="s">
        <v>130</v>
      </c>
      <c r="G1470" t="s">
        <v>131</v>
      </c>
      <c r="H1470" t="s">
        <v>132</v>
      </c>
      <c r="I1470" t="s">
        <v>200</v>
      </c>
      <c r="J1470" t="s">
        <v>201</v>
      </c>
      <c r="K1470" t="s">
        <v>36</v>
      </c>
      <c r="L1470" t="s">
        <v>33</v>
      </c>
      <c r="R1470" t="s">
        <v>202</v>
      </c>
      <c r="S1470">
        <v>3295.84</v>
      </c>
      <c r="T1470" t="s">
        <v>40</v>
      </c>
      <c r="U1470">
        <f>+IF(Tabla1[[#This Row],[MONEDA]]="PEN",Tabla1[[#This Row],[MONTO]],Tabla1[[#This Row],[MONTO]]*3.56)</f>
        <v>3295.84</v>
      </c>
      <c r="V1470" t="s">
        <v>190</v>
      </c>
      <c r="W1470">
        <v>44872</v>
      </c>
      <c r="X1470" t="s">
        <v>139</v>
      </c>
      <c r="Y1470" t="s">
        <v>51</v>
      </c>
      <c r="Z1470" t="s">
        <v>43</v>
      </c>
      <c r="AA1470" t="s">
        <v>203</v>
      </c>
    </row>
    <row r="1471" spans="1:33" hidden="1" x14ac:dyDescent="0.25">
      <c r="A1471">
        <v>45470</v>
      </c>
      <c r="B1471" t="s">
        <v>32</v>
      </c>
      <c r="C1471">
        <v>6</v>
      </c>
      <c r="D1471" t="s">
        <v>204</v>
      </c>
      <c r="E1471" t="s">
        <v>70</v>
      </c>
      <c r="F1471" t="s">
        <v>130</v>
      </c>
      <c r="G1471" t="s">
        <v>131</v>
      </c>
      <c r="H1471" t="s">
        <v>132</v>
      </c>
      <c r="I1471" t="s">
        <v>204</v>
      </c>
      <c r="J1471" t="s">
        <v>205</v>
      </c>
      <c r="K1471" t="s">
        <v>36</v>
      </c>
      <c r="L1471" t="s">
        <v>33</v>
      </c>
      <c r="R1471" t="s">
        <v>206</v>
      </c>
      <c r="S1471">
        <v>4756.67</v>
      </c>
      <c r="T1471" t="s">
        <v>40</v>
      </c>
      <c r="U1471">
        <f>+IF(Tabla1[[#This Row],[MONEDA]]="PEN",Tabla1[[#This Row],[MONTO]],Tabla1[[#This Row],[MONTO]]*3.56)</f>
        <v>4756.67</v>
      </c>
      <c r="V1471" t="s">
        <v>190</v>
      </c>
      <c r="W1471">
        <v>44870</v>
      </c>
      <c r="X1471" t="s">
        <v>139</v>
      </c>
      <c r="Y1471" t="s">
        <v>51</v>
      </c>
      <c r="Z1471" t="s">
        <v>43</v>
      </c>
      <c r="AA1471" t="s">
        <v>207</v>
      </c>
    </row>
    <row r="1472" spans="1:33" hidden="1" x14ac:dyDescent="0.25">
      <c r="A1472">
        <v>45438</v>
      </c>
      <c r="B1472" t="s">
        <v>32</v>
      </c>
      <c r="C1472">
        <v>6</v>
      </c>
      <c r="D1472" t="s">
        <v>208</v>
      </c>
      <c r="E1472" t="s">
        <v>70</v>
      </c>
      <c r="F1472" t="s">
        <v>130</v>
      </c>
      <c r="G1472" t="s">
        <v>131</v>
      </c>
      <c r="H1472" t="s">
        <v>132</v>
      </c>
      <c r="I1472" t="s">
        <v>208</v>
      </c>
      <c r="J1472" t="s">
        <v>209</v>
      </c>
      <c r="K1472" t="s">
        <v>36</v>
      </c>
      <c r="L1472" t="s">
        <v>33</v>
      </c>
      <c r="R1472" t="s">
        <v>210</v>
      </c>
      <c r="S1472">
        <v>43546.78</v>
      </c>
      <c r="T1472" t="s">
        <v>40</v>
      </c>
      <c r="U1472">
        <f>+IF(Tabla1[[#This Row],[MONEDA]]="PEN",Tabla1[[#This Row],[MONTO]],Tabla1[[#This Row],[MONTO]]*3.56)</f>
        <v>43546.78</v>
      </c>
      <c r="V1472" t="s">
        <v>190</v>
      </c>
      <c r="W1472">
        <v>44868</v>
      </c>
      <c r="X1472" t="s">
        <v>139</v>
      </c>
      <c r="Y1472" t="s">
        <v>51</v>
      </c>
      <c r="Z1472" t="s">
        <v>43</v>
      </c>
      <c r="AA1472" t="s">
        <v>211</v>
      </c>
    </row>
    <row r="1473" spans="1:33" x14ac:dyDescent="0.25">
      <c r="A1473">
        <v>44436</v>
      </c>
      <c r="B1473" t="s">
        <v>32</v>
      </c>
      <c r="C1473">
        <v>1</v>
      </c>
      <c r="D1473" t="s">
        <v>506</v>
      </c>
      <c r="E1473" t="s">
        <v>70</v>
      </c>
      <c r="F1473" t="s">
        <v>130</v>
      </c>
      <c r="G1473" t="s">
        <v>132</v>
      </c>
      <c r="H1473" t="s">
        <v>132</v>
      </c>
      <c r="I1473" t="s">
        <v>507</v>
      </c>
      <c r="J1473" t="s">
        <v>507</v>
      </c>
      <c r="K1473" t="s">
        <v>36</v>
      </c>
      <c r="L1473" t="s">
        <v>33</v>
      </c>
      <c r="O1473" t="s">
        <v>508</v>
      </c>
      <c r="P1473" t="s">
        <v>62</v>
      </c>
      <c r="Q1473" t="s">
        <v>509</v>
      </c>
      <c r="R1473" t="s">
        <v>510</v>
      </c>
      <c r="S1473">
        <v>4304.8599999999997</v>
      </c>
      <c r="T1473" t="s">
        <v>40</v>
      </c>
      <c r="U1473">
        <f>+IF(Tabla1[[#This Row],[MONEDA]]="PEN",Tabla1[[#This Row],[MONTO]],Tabla1[[#This Row],[MONTO]]*3.56)</f>
        <v>4304.8599999999997</v>
      </c>
      <c r="X1473" t="s">
        <v>139</v>
      </c>
      <c r="Y1473" t="s">
        <v>42</v>
      </c>
      <c r="Z1473" t="s">
        <v>511</v>
      </c>
      <c r="AA1473" t="s">
        <v>512</v>
      </c>
      <c r="AB1473" t="s">
        <v>513</v>
      </c>
      <c r="AC1473" t="s">
        <v>514</v>
      </c>
      <c r="AE1473">
        <v>4304.8599999999997</v>
      </c>
      <c r="AG1473" t="s">
        <v>515</v>
      </c>
    </row>
    <row r="1474" spans="1:33" x14ac:dyDescent="0.25">
      <c r="A1474">
        <v>44429</v>
      </c>
      <c r="B1474" t="s">
        <v>32</v>
      </c>
      <c r="C1474">
        <v>3</v>
      </c>
      <c r="D1474" t="s">
        <v>516</v>
      </c>
      <c r="E1474" t="s">
        <v>70</v>
      </c>
      <c r="F1474" t="s">
        <v>130</v>
      </c>
      <c r="G1474" t="s">
        <v>132</v>
      </c>
      <c r="H1474" t="s">
        <v>132</v>
      </c>
      <c r="I1474" t="s">
        <v>516</v>
      </c>
      <c r="J1474" t="s">
        <v>516</v>
      </c>
      <c r="K1474" t="s">
        <v>36</v>
      </c>
      <c r="L1474" t="s">
        <v>33</v>
      </c>
      <c r="O1474" t="s">
        <v>517</v>
      </c>
      <c r="P1474" t="s">
        <v>38</v>
      </c>
      <c r="Q1474" t="s">
        <v>518</v>
      </c>
      <c r="R1474" t="s">
        <v>510</v>
      </c>
      <c r="S1474">
        <v>2312.9299999999998</v>
      </c>
      <c r="T1474" t="s">
        <v>40</v>
      </c>
      <c r="U1474">
        <f>+IF(Tabla1[[#This Row],[MONEDA]]="PEN",Tabla1[[#This Row],[MONTO]],Tabla1[[#This Row],[MONTO]]*3.56)</f>
        <v>2312.9299999999998</v>
      </c>
      <c r="X1474" t="s">
        <v>139</v>
      </c>
      <c r="Y1474" t="s">
        <v>51</v>
      </c>
      <c r="Z1474" t="s">
        <v>43</v>
      </c>
      <c r="AA1474" t="s">
        <v>519</v>
      </c>
      <c r="AB1474" t="s">
        <v>520</v>
      </c>
      <c r="AC1474" t="s">
        <v>521</v>
      </c>
      <c r="AE1474">
        <v>2312.9299999999998</v>
      </c>
      <c r="AF1474" t="s">
        <v>87</v>
      </c>
      <c r="AG1474" t="s">
        <v>169</v>
      </c>
    </row>
    <row r="1475" spans="1:33" hidden="1" x14ac:dyDescent="0.25">
      <c r="A1475">
        <v>44380</v>
      </c>
      <c r="B1475" t="s">
        <v>32</v>
      </c>
      <c r="C1475">
        <v>1</v>
      </c>
      <c r="D1475" t="s">
        <v>530</v>
      </c>
      <c r="E1475" t="s">
        <v>70</v>
      </c>
      <c r="F1475" t="s">
        <v>33</v>
      </c>
      <c r="G1475" t="s">
        <v>71</v>
      </c>
      <c r="H1475" t="s">
        <v>35</v>
      </c>
      <c r="I1475" t="s">
        <v>530</v>
      </c>
      <c r="J1475" t="s">
        <v>530</v>
      </c>
      <c r="K1475" t="s">
        <v>36</v>
      </c>
      <c r="L1475" t="s">
        <v>33</v>
      </c>
      <c r="R1475" t="s">
        <v>531</v>
      </c>
      <c r="S1475">
        <v>4.0999999999999996</v>
      </c>
      <c r="T1475" t="s">
        <v>40</v>
      </c>
      <c r="U1475">
        <f>+IF(Tabla1[[#This Row],[MONEDA]]="PEN",Tabla1[[#This Row],[MONTO]],Tabla1[[#This Row],[MONTO]]*3.56)</f>
        <v>4.0999999999999996</v>
      </c>
      <c r="V1475" t="s">
        <v>190</v>
      </c>
      <c r="W1475">
        <v>41217</v>
      </c>
      <c r="X1475" t="s">
        <v>41</v>
      </c>
      <c r="Y1475" t="s">
        <v>42</v>
      </c>
      <c r="Z1475" t="s">
        <v>43</v>
      </c>
      <c r="AA1475" t="s">
        <v>532</v>
      </c>
      <c r="AC1475" t="s">
        <v>533</v>
      </c>
      <c r="AD1475" t="s">
        <v>534</v>
      </c>
    </row>
    <row r="1476" spans="1:33" hidden="1" x14ac:dyDescent="0.25">
      <c r="A1476">
        <v>44298</v>
      </c>
      <c r="B1476" t="s">
        <v>32</v>
      </c>
      <c r="C1476">
        <v>1</v>
      </c>
      <c r="D1476" t="s">
        <v>549</v>
      </c>
      <c r="E1476" t="s">
        <v>70</v>
      </c>
      <c r="F1476" t="s">
        <v>33</v>
      </c>
      <c r="G1476" t="s">
        <v>71</v>
      </c>
      <c r="H1476" t="s">
        <v>35</v>
      </c>
      <c r="I1476" t="s">
        <v>549</v>
      </c>
      <c r="J1476" t="s">
        <v>550</v>
      </c>
      <c r="K1476" t="s">
        <v>36</v>
      </c>
      <c r="L1476" t="s">
        <v>33</v>
      </c>
      <c r="O1476" t="s">
        <v>76</v>
      </c>
      <c r="R1476" t="s">
        <v>551</v>
      </c>
      <c r="S1476">
        <v>46.4</v>
      </c>
      <c r="T1476" t="s">
        <v>40</v>
      </c>
      <c r="U1476">
        <f>+IF(Tabla1[[#This Row],[MONEDA]]="PEN",Tabla1[[#This Row],[MONTO]],Tabla1[[#This Row],[MONTO]]*3.56)</f>
        <v>46.4</v>
      </c>
      <c r="V1476" t="s">
        <v>190</v>
      </c>
      <c r="W1476">
        <v>41217</v>
      </c>
      <c r="X1476" t="s">
        <v>81</v>
      </c>
      <c r="Y1476" t="s">
        <v>42</v>
      </c>
      <c r="Z1476" t="s">
        <v>43</v>
      </c>
      <c r="AA1476" t="s">
        <v>552</v>
      </c>
      <c r="AC1476" t="s">
        <v>553</v>
      </c>
      <c r="AD1476" t="s">
        <v>554</v>
      </c>
    </row>
    <row r="1477" spans="1:33" hidden="1" x14ac:dyDescent="0.25">
      <c r="A1477">
        <v>44295</v>
      </c>
      <c r="B1477" t="s">
        <v>32</v>
      </c>
      <c r="C1477">
        <v>1</v>
      </c>
      <c r="D1477" t="s">
        <v>562</v>
      </c>
      <c r="E1477" t="s">
        <v>70</v>
      </c>
      <c r="F1477" t="s">
        <v>33</v>
      </c>
      <c r="G1477" t="s">
        <v>71</v>
      </c>
      <c r="H1477" t="s">
        <v>35</v>
      </c>
      <c r="I1477" t="s">
        <v>562</v>
      </c>
      <c r="J1477" t="s">
        <v>563</v>
      </c>
      <c r="K1477" t="s">
        <v>36</v>
      </c>
      <c r="L1477" t="s">
        <v>33</v>
      </c>
      <c r="O1477" t="s">
        <v>76</v>
      </c>
      <c r="R1477" t="s">
        <v>564</v>
      </c>
      <c r="S1477">
        <v>40</v>
      </c>
      <c r="T1477" t="s">
        <v>40</v>
      </c>
      <c r="U1477">
        <f>+IF(Tabla1[[#This Row],[MONEDA]]="PEN",Tabla1[[#This Row],[MONTO]],Tabla1[[#This Row],[MONTO]]*3.56)</f>
        <v>40</v>
      </c>
      <c r="V1477" t="s">
        <v>190</v>
      </c>
      <c r="W1477">
        <v>41217</v>
      </c>
      <c r="X1477" t="s">
        <v>81</v>
      </c>
      <c r="Y1477" t="s">
        <v>42</v>
      </c>
      <c r="Z1477" t="s">
        <v>43</v>
      </c>
      <c r="AA1477" t="s">
        <v>565</v>
      </c>
      <c r="AC1477" t="s">
        <v>566</v>
      </c>
      <c r="AD1477" t="s">
        <v>567</v>
      </c>
    </row>
    <row r="1478" spans="1:33" hidden="1" x14ac:dyDescent="0.25">
      <c r="A1478">
        <v>43767</v>
      </c>
      <c r="B1478" t="s">
        <v>32</v>
      </c>
      <c r="C1478">
        <v>1</v>
      </c>
      <c r="D1478" t="s">
        <v>667</v>
      </c>
      <c r="E1478" t="s">
        <v>70</v>
      </c>
      <c r="F1478" t="s">
        <v>33</v>
      </c>
      <c r="G1478" t="s">
        <v>71</v>
      </c>
      <c r="H1478" t="s">
        <v>35</v>
      </c>
      <c r="I1478" t="s">
        <v>667</v>
      </c>
      <c r="J1478" t="s">
        <v>668</v>
      </c>
      <c r="K1478" t="s">
        <v>36</v>
      </c>
      <c r="L1478" t="s">
        <v>33</v>
      </c>
      <c r="O1478" t="s">
        <v>76</v>
      </c>
      <c r="R1478" t="s">
        <v>669</v>
      </c>
      <c r="S1478">
        <v>82</v>
      </c>
      <c r="T1478" t="s">
        <v>40</v>
      </c>
      <c r="U1478">
        <f>+IF(Tabla1[[#This Row],[MONEDA]]="PEN",Tabla1[[#This Row],[MONTO]],Tabla1[[#This Row],[MONTO]]*3.56)</f>
        <v>82</v>
      </c>
      <c r="V1478" t="s">
        <v>190</v>
      </c>
      <c r="W1478">
        <v>41217</v>
      </c>
      <c r="X1478" t="s">
        <v>81</v>
      </c>
      <c r="Y1478" t="s">
        <v>42</v>
      </c>
      <c r="Z1478" t="s">
        <v>43</v>
      </c>
      <c r="AA1478" t="s">
        <v>670</v>
      </c>
      <c r="AC1478" t="s">
        <v>671</v>
      </c>
      <c r="AD1478" t="s">
        <v>672</v>
      </c>
    </row>
    <row r="1479" spans="1:33" hidden="1" x14ac:dyDescent="0.25">
      <c r="A1479">
        <v>43765</v>
      </c>
      <c r="B1479" t="s">
        <v>32</v>
      </c>
      <c r="C1479">
        <v>1</v>
      </c>
      <c r="D1479" t="s">
        <v>673</v>
      </c>
      <c r="E1479" t="s">
        <v>70</v>
      </c>
      <c r="F1479" t="s">
        <v>33</v>
      </c>
      <c r="G1479" t="s">
        <v>71</v>
      </c>
      <c r="H1479" t="s">
        <v>35</v>
      </c>
      <c r="I1479" t="s">
        <v>673</v>
      </c>
      <c r="J1479" t="s">
        <v>674</v>
      </c>
      <c r="K1479" t="s">
        <v>36</v>
      </c>
      <c r="L1479" t="s">
        <v>33</v>
      </c>
      <c r="O1479" t="s">
        <v>76</v>
      </c>
      <c r="R1479" t="s">
        <v>675</v>
      </c>
      <c r="S1479">
        <v>70</v>
      </c>
      <c r="T1479" t="s">
        <v>40</v>
      </c>
      <c r="U1479">
        <f>+IF(Tabla1[[#This Row],[MONEDA]]="PEN",Tabla1[[#This Row],[MONTO]],Tabla1[[#This Row],[MONTO]]*3.56)</f>
        <v>70</v>
      </c>
      <c r="V1479" t="s">
        <v>190</v>
      </c>
      <c r="W1479">
        <v>41217</v>
      </c>
      <c r="X1479" t="s">
        <v>81</v>
      </c>
      <c r="Y1479" t="s">
        <v>42</v>
      </c>
      <c r="Z1479" t="s">
        <v>43</v>
      </c>
      <c r="AA1479" t="s">
        <v>676</v>
      </c>
      <c r="AC1479" t="s">
        <v>677</v>
      </c>
      <c r="AD1479" t="s">
        <v>678</v>
      </c>
    </row>
    <row r="1480" spans="1:33" hidden="1" x14ac:dyDescent="0.25">
      <c r="A1480">
        <v>43764</v>
      </c>
      <c r="B1480" t="s">
        <v>32</v>
      </c>
      <c r="C1480">
        <v>1</v>
      </c>
      <c r="D1480" t="s">
        <v>679</v>
      </c>
      <c r="E1480" t="s">
        <v>70</v>
      </c>
      <c r="F1480" t="s">
        <v>33</v>
      </c>
      <c r="G1480" t="s">
        <v>71</v>
      </c>
      <c r="H1480" t="s">
        <v>35</v>
      </c>
      <c r="I1480" t="s">
        <v>679</v>
      </c>
      <c r="J1480" t="s">
        <v>680</v>
      </c>
      <c r="K1480" t="s">
        <v>36</v>
      </c>
      <c r="L1480" t="s">
        <v>33</v>
      </c>
      <c r="O1480" t="s">
        <v>76</v>
      </c>
      <c r="R1480" t="s">
        <v>681</v>
      </c>
      <c r="S1480">
        <v>60</v>
      </c>
      <c r="T1480" t="s">
        <v>40</v>
      </c>
      <c r="U1480">
        <f>+IF(Tabla1[[#This Row],[MONEDA]]="PEN",Tabla1[[#This Row],[MONTO]],Tabla1[[#This Row],[MONTO]]*3.56)</f>
        <v>60</v>
      </c>
      <c r="V1480" t="s">
        <v>190</v>
      </c>
      <c r="W1480">
        <v>41217</v>
      </c>
      <c r="X1480" t="s">
        <v>81</v>
      </c>
      <c r="Y1480" t="s">
        <v>42</v>
      </c>
      <c r="Z1480" t="s">
        <v>43</v>
      </c>
      <c r="AA1480" t="s">
        <v>682</v>
      </c>
      <c r="AC1480" t="s">
        <v>683</v>
      </c>
      <c r="AD1480" t="s">
        <v>684</v>
      </c>
    </row>
    <row r="1481" spans="1:33" hidden="1" x14ac:dyDescent="0.25">
      <c r="A1481">
        <v>43762</v>
      </c>
      <c r="B1481" t="s">
        <v>32</v>
      </c>
      <c r="C1481">
        <v>1</v>
      </c>
      <c r="D1481" t="s">
        <v>685</v>
      </c>
      <c r="E1481" t="s">
        <v>70</v>
      </c>
      <c r="F1481" t="s">
        <v>33</v>
      </c>
      <c r="G1481" t="s">
        <v>71</v>
      </c>
      <c r="H1481" t="s">
        <v>35</v>
      </c>
      <c r="I1481" t="s">
        <v>685</v>
      </c>
      <c r="J1481" t="s">
        <v>686</v>
      </c>
      <c r="K1481" t="s">
        <v>36</v>
      </c>
      <c r="L1481" t="s">
        <v>33</v>
      </c>
      <c r="O1481" t="s">
        <v>76</v>
      </c>
      <c r="R1481" t="s">
        <v>687</v>
      </c>
      <c r="S1481">
        <v>50</v>
      </c>
      <c r="T1481" t="s">
        <v>40</v>
      </c>
      <c r="U1481">
        <f>+IF(Tabla1[[#This Row],[MONEDA]]="PEN",Tabla1[[#This Row],[MONTO]],Tabla1[[#This Row],[MONTO]]*3.56)</f>
        <v>50</v>
      </c>
      <c r="V1481" t="s">
        <v>190</v>
      </c>
      <c r="W1481">
        <v>41217</v>
      </c>
      <c r="X1481" t="s">
        <v>81</v>
      </c>
      <c r="Y1481" t="s">
        <v>42</v>
      </c>
      <c r="Z1481" t="s">
        <v>43</v>
      </c>
      <c r="AA1481" t="s">
        <v>688</v>
      </c>
      <c r="AC1481" t="s">
        <v>689</v>
      </c>
      <c r="AD1481" t="s">
        <v>690</v>
      </c>
    </row>
    <row r="1482" spans="1:33" hidden="1" x14ac:dyDescent="0.25">
      <c r="A1482">
        <v>43755</v>
      </c>
      <c r="B1482" t="s">
        <v>32</v>
      </c>
      <c r="C1482">
        <v>1</v>
      </c>
      <c r="D1482" t="s">
        <v>691</v>
      </c>
      <c r="E1482" t="s">
        <v>70</v>
      </c>
      <c r="F1482" t="s">
        <v>33</v>
      </c>
      <c r="G1482" t="s">
        <v>71</v>
      </c>
      <c r="H1482" t="s">
        <v>35</v>
      </c>
      <c r="I1482" t="s">
        <v>691</v>
      </c>
      <c r="J1482" t="s">
        <v>692</v>
      </c>
      <c r="K1482" t="s">
        <v>36</v>
      </c>
      <c r="L1482" t="s">
        <v>33</v>
      </c>
      <c r="O1482" t="s">
        <v>76</v>
      </c>
      <c r="R1482" t="s">
        <v>693</v>
      </c>
      <c r="S1482">
        <v>50</v>
      </c>
      <c r="T1482" t="s">
        <v>40</v>
      </c>
      <c r="U1482">
        <f>+IF(Tabla1[[#This Row],[MONEDA]]="PEN",Tabla1[[#This Row],[MONTO]],Tabla1[[#This Row],[MONTO]]*3.56)</f>
        <v>50</v>
      </c>
      <c r="V1482" t="s">
        <v>190</v>
      </c>
      <c r="W1482">
        <v>41217</v>
      </c>
      <c r="X1482" t="s">
        <v>81</v>
      </c>
      <c r="Y1482" t="s">
        <v>42</v>
      </c>
      <c r="Z1482" t="s">
        <v>43</v>
      </c>
      <c r="AA1482" t="s">
        <v>694</v>
      </c>
      <c r="AC1482" t="s">
        <v>695</v>
      </c>
      <c r="AD1482" t="s">
        <v>696</v>
      </c>
    </row>
    <row r="1483" spans="1:33" hidden="1" x14ac:dyDescent="0.25">
      <c r="A1483">
        <v>43754</v>
      </c>
      <c r="B1483" t="s">
        <v>32</v>
      </c>
      <c r="C1483">
        <v>1</v>
      </c>
      <c r="D1483" t="s">
        <v>697</v>
      </c>
      <c r="E1483" t="s">
        <v>70</v>
      </c>
      <c r="F1483" t="s">
        <v>33</v>
      </c>
      <c r="G1483" t="s">
        <v>71</v>
      </c>
      <c r="H1483" t="s">
        <v>35</v>
      </c>
      <c r="I1483" t="s">
        <v>697</v>
      </c>
      <c r="J1483" t="s">
        <v>698</v>
      </c>
      <c r="K1483" t="s">
        <v>36</v>
      </c>
      <c r="L1483" t="s">
        <v>33</v>
      </c>
      <c r="O1483" t="s">
        <v>76</v>
      </c>
      <c r="R1483" t="s">
        <v>699</v>
      </c>
      <c r="S1483">
        <v>40</v>
      </c>
      <c r="T1483" t="s">
        <v>40</v>
      </c>
      <c r="U1483">
        <f>+IF(Tabla1[[#This Row],[MONEDA]]="PEN",Tabla1[[#This Row],[MONTO]],Tabla1[[#This Row],[MONTO]]*3.56)</f>
        <v>40</v>
      </c>
      <c r="V1483" t="s">
        <v>190</v>
      </c>
      <c r="W1483">
        <v>41217</v>
      </c>
      <c r="X1483" t="s">
        <v>81</v>
      </c>
      <c r="Y1483" t="s">
        <v>42</v>
      </c>
      <c r="Z1483" t="s">
        <v>43</v>
      </c>
      <c r="AA1483" t="s">
        <v>700</v>
      </c>
      <c r="AC1483" t="s">
        <v>701</v>
      </c>
      <c r="AD1483" t="s">
        <v>702</v>
      </c>
    </row>
    <row r="1484" spans="1:33" hidden="1" x14ac:dyDescent="0.25">
      <c r="A1484">
        <v>43749</v>
      </c>
      <c r="B1484" t="s">
        <v>32</v>
      </c>
      <c r="C1484">
        <v>1</v>
      </c>
      <c r="D1484" t="s">
        <v>703</v>
      </c>
      <c r="E1484" t="s">
        <v>70</v>
      </c>
      <c r="F1484" t="s">
        <v>33</v>
      </c>
      <c r="G1484" t="s">
        <v>71</v>
      </c>
      <c r="H1484" t="s">
        <v>35</v>
      </c>
      <c r="I1484" t="s">
        <v>703</v>
      </c>
      <c r="J1484" t="s">
        <v>704</v>
      </c>
      <c r="K1484" t="s">
        <v>36</v>
      </c>
      <c r="L1484" t="s">
        <v>33</v>
      </c>
      <c r="O1484" t="s">
        <v>76</v>
      </c>
      <c r="R1484" t="s">
        <v>705</v>
      </c>
      <c r="S1484">
        <v>38</v>
      </c>
      <c r="T1484" t="s">
        <v>40</v>
      </c>
      <c r="U1484">
        <f>+IF(Tabla1[[#This Row],[MONEDA]]="PEN",Tabla1[[#This Row],[MONTO]],Tabla1[[#This Row],[MONTO]]*3.56)</f>
        <v>38</v>
      </c>
      <c r="V1484" t="s">
        <v>190</v>
      </c>
      <c r="W1484">
        <v>41217</v>
      </c>
      <c r="X1484" t="s">
        <v>81</v>
      </c>
      <c r="Y1484" t="s">
        <v>42</v>
      </c>
      <c r="Z1484" t="s">
        <v>43</v>
      </c>
      <c r="AA1484" t="s">
        <v>706</v>
      </c>
      <c r="AC1484" t="s">
        <v>707</v>
      </c>
      <c r="AD1484" t="s">
        <v>708</v>
      </c>
    </row>
    <row r="1485" spans="1:33" hidden="1" x14ac:dyDescent="0.25">
      <c r="A1485">
        <v>43748</v>
      </c>
      <c r="B1485" t="s">
        <v>32</v>
      </c>
      <c r="C1485">
        <v>1</v>
      </c>
      <c r="D1485" t="s">
        <v>709</v>
      </c>
      <c r="E1485" t="s">
        <v>70</v>
      </c>
      <c r="F1485" t="s">
        <v>33</v>
      </c>
      <c r="G1485" t="s">
        <v>71</v>
      </c>
      <c r="H1485" t="s">
        <v>35</v>
      </c>
      <c r="I1485" t="s">
        <v>709</v>
      </c>
      <c r="J1485" t="s">
        <v>710</v>
      </c>
      <c r="K1485" t="s">
        <v>36</v>
      </c>
      <c r="L1485" t="s">
        <v>33</v>
      </c>
      <c r="O1485" t="s">
        <v>76</v>
      </c>
      <c r="R1485" t="s">
        <v>711</v>
      </c>
      <c r="S1485">
        <v>30</v>
      </c>
      <c r="T1485" t="s">
        <v>40</v>
      </c>
      <c r="U1485">
        <f>+IF(Tabla1[[#This Row],[MONEDA]]="PEN",Tabla1[[#This Row],[MONTO]],Tabla1[[#This Row],[MONTO]]*3.56)</f>
        <v>30</v>
      </c>
      <c r="V1485" t="s">
        <v>190</v>
      </c>
      <c r="W1485">
        <v>41217</v>
      </c>
      <c r="X1485" t="s">
        <v>81</v>
      </c>
      <c r="Y1485" t="s">
        <v>42</v>
      </c>
      <c r="Z1485" t="s">
        <v>43</v>
      </c>
      <c r="AA1485" t="s">
        <v>712</v>
      </c>
      <c r="AC1485" t="s">
        <v>713</v>
      </c>
      <c r="AD1485" t="s">
        <v>714</v>
      </c>
    </row>
    <row r="1486" spans="1:33" hidden="1" x14ac:dyDescent="0.25">
      <c r="A1486">
        <v>43745</v>
      </c>
      <c r="B1486" t="s">
        <v>32</v>
      </c>
      <c r="C1486">
        <v>1</v>
      </c>
      <c r="D1486" t="s">
        <v>715</v>
      </c>
      <c r="E1486" t="s">
        <v>70</v>
      </c>
      <c r="F1486" t="s">
        <v>33</v>
      </c>
      <c r="G1486" t="s">
        <v>71</v>
      </c>
      <c r="H1486" t="s">
        <v>35</v>
      </c>
      <c r="I1486" t="s">
        <v>715</v>
      </c>
      <c r="J1486" t="s">
        <v>716</v>
      </c>
      <c r="K1486" t="s">
        <v>36</v>
      </c>
      <c r="L1486" t="s">
        <v>33</v>
      </c>
      <c r="O1486" t="s">
        <v>76</v>
      </c>
      <c r="R1486" t="s">
        <v>717</v>
      </c>
      <c r="S1486">
        <v>30</v>
      </c>
      <c r="T1486" t="s">
        <v>40</v>
      </c>
      <c r="U1486">
        <f>+IF(Tabla1[[#This Row],[MONEDA]]="PEN",Tabla1[[#This Row],[MONTO]],Tabla1[[#This Row],[MONTO]]*3.56)</f>
        <v>30</v>
      </c>
      <c r="V1486" t="s">
        <v>190</v>
      </c>
      <c r="W1486">
        <v>41217</v>
      </c>
      <c r="X1486" t="s">
        <v>81</v>
      </c>
      <c r="Y1486" t="s">
        <v>42</v>
      </c>
      <c r="Z1486" t="s">
        <v>43</v>
      </c>
      <c r="AA1486" t="s">
        <v>718</v>
      </c>
      <c r="AC1486" t="s">
        <v>719</v>
      </c>
      <c r="AD1486" t="s">
        <v>720</v>
      </c>
    </row>
    <row r="1487" spans="1:33" hidden="1" x14ac:dyDescent="0.25">
      <c r="A1487">
        <v>43744</v>
      </c>
      <c r="B1487" t="s">
        <v>32</v>
      </c>
      <c r="C1487">
        <v>1</v>
      </c>
      <c r="D1487" t="s">
        <v>721</v>
      </c>
      <c r="E1487" t="s">
        <v>70</v>
      </c>
      <c r="F1487" t="s">
        <v>33</v>
      </c>
      <c r="G1487" t="s">
        <v>71</v>
      </c>
      <c r="H1487" t="s">
        <v>35</v>
      </c>
      <c r="I1487" t="s">
        <v>721</v>
      </c>
      <c r="J1487" t="s">
        <v>722</v>
      </c>
      <c r="K1487" t="s">
        <v>36</v>
      </c>
      <c r="L1487" t="s">
        <v>33</v>
      </c>
      <c r="O1487" t="s">
        <v>76</v>
      </c>
      <c r="R1487" t="s">
        <v>723</v>
      </c>
      <c r="S1487">
        <v>25</v>
      </c>
      <c r="T1487" t="s">
        <v>40</v>
      </c>
      <c r="U1487">
        <f>+IF(Tabla1[[#This Row],[MONEDA]]="PEN",Tabla1[[#This Row],[MONTO]],Tabla1[[#This Row],[MONTO]]*3.56)</f>
        <v>25</v>
      </c>
      <c r="V1487" t="s">
        <v>190</v>
      </c>
      <c r="W1487">
        <v>41217</v>
      </c>
      <c r="X1487" t="s">
        <v>81</v>
      </c>
      <c r="Y1487" t="s">
        <v>42</v>
      </c>
      <c r="Z1487" t="s">
        <v>43</v>
      </c>
      <c r="AA1487" t="s">
        <v>724</v>
      </c>
      <c r="AC1487" t="s">
        <v>725</v>
      </c>
      <c r="AD1487" t="s">
        <v>726</v>
      </c>
    </row>
    <row r="1488" spans="1:33" hidden="1" x14ac:dyDescent="0.25">
      <c r="A1488">
        <v>43743</v>
      </c>
      <c r="B1488" t="s">
        <v>32</v>
      </c>
      <c r="C1488">
        <v>1</v>
      </c>
      <c r="D1488" t="s">
        <v>727</v>
      </c>
      <c r="E1488" t="s">
        <v>70</v>
      </c>
      <c r="F1488" t="s">
        <v>33</v>
      </c>
      <c r="G1488" t="s">
        <v>71</v>
      </c>
      <c r="H1488" t="s">
        <v>35</v>
      </c>
      <c r="I1488" t="s">
        <v>727</v>
      </c>
      <c r="J1488" t="s">
        <v>728</v>
      </c>
      <c r="K1488" t="s">
        <v>36</v>
      </c>
      <c r="L1488" t="s">
        <v>33</v>
      </c>
      <c r="O1488" t="s">
        <v>76</v>
      </c>
      <c r="R1488" t="s">
        <v>729</v>
      </c>
      <c r="S1488">
        <v>25</v>
      </c>
      <c r="T1488" t="s">
        <v>40</v>
      </c>
      <c r="U1488">
        <f>+IF(Tabla1[[#This Row],[MONEDA]]="PEN",Tabla1[[#This Row],[MONTO]],Tabla1[[#This Row],[MONTO]]*3.56)</f>
        <v>25</v>
      </c>
      <c r="V1488" t="s">
        <v>190</v>
      </c>
      <c r="W1488">
        <v>41217</v>
      </c>
      <c r="X1488" t="s">
        <v>81</v>
      </c>
      <c r="Y1488" t="s">
        <v>42</v>
      </c>
      <c r="Z1488" t="s">
        <v>43</v>
      </c>
      <c r="AA1488" t="s">
        <v>730</v>
      </c>
      <c r="AC1488" t="s">
        <v>731</v>
      </c>
      <c r="AD1488" t="s">
        <v>732</v>
      </c>
    </row>
    <row r="1489" spans="1:33" hidden="1" x14ac:dyDescent="0.25">
      <c r="A1489">
        <v>43742</v>
      </c>
      <c r="B1489" t="s">
        <v>32</v>
      </c>
      <c r="C1489">
        <v>1</v>
      </c>
      <c r="D1489" t="s">
        <v>733</v>
      </c>
      <c r="E1489" t="s">
        <v>70</v>
      </c>
      <c r="F1489" t="s">
        <v>33</v>
      </c>
      <c r="G1489" t="s">
        <v>71</v>
      </c>
      <c r="H1489" t="s">
        <v>35</v>
      </c>
      <c r="I1489" t="s">
        <v>733</v>
      </c>
      <c r="J1489" t="s">
        <v>734</v>
      </c>
      <c r="K1489" t="s">
        <v>36</v>
      </c>
      <c r="L1489" t="s">
        <v>33</v>
      </c>
      <c r="O1489" t="s">
        <v>76</v>
      </c>
      <c r="R1489" t="s">
        <v>735</v>
      </c>
      <c r="S1489">
        <v>25</v>
      </c>
      <c r="T1489" t="s">
        <v>40</v>
      </c>
      <c r="U1489">
        <f>+IF(Tabla1[[#This Row],[MONEDA]]="PEN",Tabla1[[#This Row],[MONTO]],Tabla1[[#This Row],[MONTO]]*3.56)</f>
        <v>25</v>
      </c>
      <c r="V1489" t="s">
        <v>190</v>
      </c>
      <c r="W1489">
        <v>41217</v>
      </c>
      <c r="X1489" t="s">
        <v>81</v>
      </c>
      <c r="Y1489" t="s">
        <v>42</v>
      </c>
      <c r="Z1489" t="s">
        <v>43</v>
      </c>
      <c r="AA1489" t="s">
        <v>736</v>
      </c>
      <c r="AC1489" t="s">
        <v>737</v>
      </c>
      <c r="AD1489" t="s">
        <v>738</v>
      </c>
    </row>
    <row r="1490" spans="1:33" hidden="1" x14ac:dyDescent="0.25">
      <c r="A1490">
        <v>43741</v>
      </c>
      <c r="B1490" t="s">
        <v>32</v>
      </c>
      <c r="C1490">
        <v>1</v>
      </c>
      <c r="D1490" t="s">
        <v>739</v>
      </c>
      <c r="E1490" t="s">
        <v>70</v>
      </c>
      <c r="F1490" t="s">
        <v>33</v>
      </c>
      <c r="G1490" t="s">
        <v>71</v>
      </c>
      <c r="H1490" t="s">
        <v>35</v>
      </c>
      <c r="I1490" t="s">
        <v>739</v>
      </c>
      <c r="J1490" t="s">
        <v>740</v>
      </c>
      <c r="K1490" t="s">
        <v>36</v>
      </c>
      <c r="L1490" t="s">
        <v>33</v>
      </c>
      <c r="O1490" t="s">
        <v>76</v>
      </c>
      <c r="R1490" t="s">
        <v>741</v>
      </c>
      <c r="S1490">
        <v>22</v>
      </c>
      <c r="T1490" t="s">
        <v>40</v>
      </c>
      <c r="U1490">
        <f>+IF(Tabla1[[#This Row],[MONEDA]]="PEN",Tabla1[[#This Row],[MONTO]],Tabla1[[#This Row],[MONTO]]*3.56)</f>
        <v>22</v>
      </c>
      <c r="V1490" t="s">
        <v>190</v>
      </c>
      <c r="W1490">
        <v>41217</v>
      </c>
      <c r="X1490" t="s">
        <v>81</v>
      </c>
      <c r="Y1490" t="s">
        <v>42</v>
      </c>
      <c r="Z1490" t="s">
        <v>43</v>
      </c>
      <c r="AA1490" t="s">
        <v>742</v>
      </c>
      <c r="AC1490" t="s">
        <v>743</v>
      </c>
      <c r="AD1490" t="s">
        <v>744</v>
      </c>
    </row>
    <row r="1491" spans="1:33" hidden="1" x14ac:dyDescent="0.25">
      <c r="A1491">
        <v>43740</v>
      </c>
      <c r="B1491" t="s">
        <v>32</v>
      </c>
      <c r="C1491">
        <v>1</v>
      </c>
      <c r="D1491" t="s">
        <v>745</v>
      </c>
      <c r="E1491" t="s">
        <v>70</v>
      </c>
      <c r="F1491" t="s">
        <v>33</v>
      </c>
      <c r="G1491" t="s">
        <v>71</v>
      </c>
      <c r="H1491" t="s">
        <v>35</v>
      </c>
      <c r="I1491" t="s">
        <v>745</v>
      </c>
      <c r="J1491" t="s">
        <v>746</v>
      </c>
      <c r="K1491" t="s">
        <v>36</v>
      </c>
      <c r="L1491" t="s">
        <v>33</v>
      </c>
      <c r="O1491" t="s">
        <v>76</v>
      </c>
      <c r="R1491" t="s">
        <v>747</v>
      </c>
      <c r="S1491">
        <v>13</v>
      </c>
      <c r="T1491" t="s">
        <v>40</v>
      </c>
      <c r="U1491">
        <f>+IF(Tabla1[[#This Row],[MONEDA]]="PEN",Tabla1[[#This Row],[MONTO]],Tabla1[[#This Row],[MONTO]]*3.56)</f>
        <v>13</v>
      </c>
      <c r="V1491" t="s">
        <v>190</v>
      </c>
      <c r="W1491">
        <v>41217</v>
      </c>
      <c r="X1491" t="s">
        <v>81</v>
      </c>
      <c r="Y1491" t="s">
        <v>42</v>
      </c>
      <c r="Z1491" t="s">
        <v>43</v>
      </c>
      <c r="AA1491" t="s">
        <v>748</v>
      </c>
      <c r="AC1491" t="s">
        <v>749</v>
      </c>
      <c r="AD1491" t="s">
        <v>750</v>
      </c>
    </row>
    <row r="1492" spans="1:33" hidden="1" x14ac:dyDescent="0.25">
      <c r="A1492">
        <v>43459</v>
      </c>
      <c r="B1492" t="s">
        <v>32</v>
      </c>
      <c r="C1492">
        <v>1</v>
      </c>
      <c r="D1492" t="s">
        <v>786</v>
      </c>
      <c r="E1492" t="s">
        <v>70</v>
      </c>
      <c r="F1492" t="s">
        <v>33</v>
      </c>
      <c r="G1492" t="s">
        <v>71</v>
      </c>
      <c r="H1492" t="s">
        <v>35</v>
      </c>
      <c r="I1492" t="s">
        <v>786</v>
      </c>
      <c r="J1492" t="s">
        <v>787</v>
      </c>
      <c r="K1492" t="s">
        <v>36</v>
      </c>
      <c r="L1492" t="s">
        <v>33</v>
      </c>
      <c r="O1492" t="s">
        <v>76</v>
      </c>
      <c r="R1492" t="s">
        <v>788</v>
      </c>
      <c r="S1492">
        <v>210</v>
      </c>
      <c r="T1492" t="s">
        <v>40</v>
      </c>
      <c r="U1492">
        <f>+IF(Tabla1[[#This Row],[MONEDA]]="PEN",Tabla1[[#This Row],[MONTO]],Tabla1[[#This Row],[MONTO]]*3.56)</f>
        <v>210</v>
      </c>
      <c r="V1492" t="s">
        <v>190</v>
      </c>
      <c r="W1492">
        <v>41217</v>
      </c>
      <c r="X1492" t="s">
        <v>81</v>
      </c>
      <c r="Y1492" t="s">
        <v>42</v>
      </c>
      <c r="Z1492" t="s">
        <v>43</v>
      </c>
      <c r="AA1492" t="s">
        <v>789</v>
      </c>
      <c r="AC1492" t="s">
        <v>790</v>
      </c>
      <c r="AD1492" t="s">
        <v>791</v>
      </c>
    </row>
    <row r="1493" spans="1:33" hidden="1" x14ac:dyDescent="0.25">
      <c r="A1493">
        <v>43444</v>
      </c>
      <c r="B1493" t="s">
        <v>32</v>
      </c>
      <c r="C1493">
        <v>1</v>
      </c>
      <c r="D1493" t="s">
        <v>856</v>
      </c>
      <c r="E1493" t="s">
        <v>70</v>
      </c>
      <c r="F1493" t="s">
        <v>33</v>
      </c>
      <c r="G1493" t="s">
        <v>71</v>
      </c>
      <c r="H1493" t="s">
        <v>35</v>
      </c>
      <c r="I1493" t="s">
        <v>856</v>
      </c>
      <c r="J1493" t="s">
        <v>857</v>
      </c>
      <c r="K1493" t="s">
        <v>36</v>
      </c>
      <c r="L1493" t="s">
        <v>33</v>
      </c>
      <c r="O1493" t="s">
        <v>76</v>
      </c>
      <c r="R1493" t="s">
        <v>858</v>
      </c>
      <c r="S1493">
        <v>352</v>
      </c>
      <c r="T1493" t="s">
        <v>40</v>
      </c>
      <c r="U1493">
        <f>+IF(Tabla1[[#This Row],[MONEDA]]="PEN",Tabla1[[#This Row],[MONTO]],Tabla1[[#This Row],[MONTO]]*3.56)</f>
        <v>352</v>
      </c>
      <c r="V1493" t="s">
        <v>190</v>
      </c>
      <c r="W1493">
        <v>41217</v>
      </c>
      <c r="X1493" t="s">
        <v>81</v>
      </c>
      <c r="Y1493" t="s">
        <v>42</v>
      </c>
      <c r="Z1493" t="s">
        <v>43</v>
      </c>
      <c r="AA1493" t="s">
        <v>859</v>
      </c>
      <c r="AC1493" t="s">
        <v>860</v>
      </c>
      <c r="AD1493" t="s">
        <v>861</v>
      </c>
    </row>
    <row r="1494" spans="1:33" hidden="1" x14ac:dyDescent="0.25">
      <c r="A1494">
        <v>43313</v>
      </c>
      <c r="B1494" t="s">
        <v>32</v>
      </c>
      <c r="C1494">
        <v>1</v>
      </c>
      <c r="D1494" t="s">
        <v>862</v>
      </c>
      <c r="E1494" t="s">
        <v>70</v>
      </c>
      <c r="F1494" t="s">
        <v>33</v>
      </c>
      <c r="G1494" t="s">
        <v>71</v>
      </c>
      <c r="H1494" t="s">
        <v>35</v>
      </c>
      <c r="I1494" t="s">
        <v>862</v>
      </c>
      <c r="J1494" t="s">
        <v>863</v>
      </c>
      <c r="K1494" t="s">
        <v>36</v>
      </c>
      <c r="L1494" t="s">
        <v>33</v>
      </c>
      <c r="O1494" t="s">
        <v>76</v>
      </c>
      <c r="R1494" t="s">
        <v>864</v>
      </c>
      <c r="S1494">
        <v>20</v>
      </c>
      <c r="T1494" t="s">
        <v>40</v>
      </c>
      <c r="U1494">
        <f>+IF(Tabla1[[#This Row],[MONEDA]]="PEN",Tabla1[[#This Row],[MONTO]],Tabla1[[#This Row],[MONTO]]*3.56)</f>
        <v>20</v>
      </c>
      <c r="V1494" t="s">
        <v>190</v>
      </c>
      <c r="W1494">
        <v>41217</v>
      </c>
      <c r="X1494" t="s">
        <v>81</v>
      </c>
      <c r="Y1494" t="s">
        <v>42</v>
      </c>
      <c r="Z1494" t="s">
        <v>43</v>
      </c>
      <c r="AA1494" t="s">
        <v>865</v>
      </c>
      <c r="AC1494" t="s">
        <v>866</v>
      </c>
      <c r="AD1494" t="s">
        <v>867</v>
      </c>
    </row>
    <row r="1495" spans="1:33" x14ac:dyDescent="0.25">
      <c r="A1495">
        <v>42412</v>
      </c>
      <c r="B1495" t="s">
        <v>32</v>
      </c>
      <c r="C1495">
        <v>1</v>
      </c>
      <c r="D1495" t="s">
        <v>1105</v>
      </c>
      <c r="E1495" t="s">
        <v>70</v>
      </c>
      <c r="F1495" t="s">
        <v>157</v>
      </c>
      <c r="G1495" t="s">
        <v>158</v>
      </c>
      <c r="H1495" t="s">
        <v>159</v>
      </c>
      <c r="I1495" t="s">
        <v>1106</v>
      </c>
      <c r="J1495" t="s">
        <v>1107</v>
      </c>
      <c r="K1495" t="s">
        <v>36</v>
      </c>
      <c r="L1495" t="s">
        <v>33</v>
      </c>
      <c r="M1495">
        <v>20533151435</v>
      </c>
      <c r="P1495" t="s">
        <v>38</v>
      </c>
      <c r="Q1495" t="s">
        <v>163</v>
      </c>
      <c r="R1495" t="s">
        <v>1108</v>
      </c>
      <c r="S1495">
        <v>457.84</v>
      </c>
      <c r="T1495" t="s">
        <v>40</v>
      </c>
      <c r="U1495">
        <f>+IF(Tabla1[[#This Row],[MONEDA]]="PEN",Tabla1[[#This Row],[MONTO]],Tabla1[[#This Row],[MONTO]]*3.56)</f>
        <v>457.84</v>
      </c>
      <c r="X1495" t="s">
        <v>41</v>
      </c>
      <c r="Y1495" t="s">
        <v>42</v>
      </c>
      <c r="Z1495" t="s">
        <v>82</v>
      </c>
      <c r="AA1495" t="s">
        <v>1109</v>
      </c>
      <c r="AB1495" t="s">
        <v>1110</v>
      </c>
      <c r="AC1495" t="s">
        <v>1111</v>
      </c>
      <c r="AD1495" t="s">
        <v>1112</v>
      </c>
      <c r="AE1495">
        <v>457.84</v>
      </c>
      <c r="AF1495" t="s">
        <v>87</v>
      </c>
      <c r="AG1495" t="s">
        <v>169</v>
      </c>
    </row>
    <row r="1496" spans="1:33" hidden="1" x14ac:dyDescent="0.25">
      <c r="A1496">
        <v>42287</v>
      </c>
      <c r="B1496" t="s">
        <v>32</v>
      </c>
      <c r="C1496">
        <v>1</v>
      </c>
      <c r="D1496" t="s">
        <v>1228</v>
      </c>
      <c r="E1496" t="s">
        <v>70</v>
      </c>
      <c r="F1496" t="s">
        <v>33</v>
      </c>
      <c r="G1496" t="s">
        <v>71</v>
      </c>
      <c r="H1496" t="s">
        <v>35</v>
      </c>
      <c r="I1496" t="s">
        <v>1228</v>
      </c>
      <c r="J1496" t="s">
        <v>1228</v>
      </c>
      <c r="K1496" t="s">
        <v>36</v>
      </c>
      <c r="L1496" t="s">
        <v>33</v>
      </c>
      <c r="R1496" t="s">
        <v>1229</v>
      </c>
      <c r="S1496">
        <v>5.6</v>
      </c>
      <c r="T1496" t="s">
        <v>40</v>
      </c>
      <c r="U1496">
        <f>+IF(Tabla1[[#This Row],[MONEDA]]="PEN",Tabla1[[#This Row],[MONTO]],Tabla1[[#This Row],[MONTO]]*3.56)</f>
        <v>5.6</v>
      </c>
      <c r="V1496" t="s">
        <v>190</v>
      </c>
      <c r="W1496">
        <v>39699</v>
      </c>
      <c r="X1496" t="s">
        <v>41</v>
      </c>
      <c r="Y1496" t="s">
        <v>42</v>
      </c>
      <c r="Z1496" t="s">
        <v>43</v>
      </c>
      <c r="AA1496" t="s">
        <v>1230</v>
      </c>
      <c r="AC1496" t="s">
        <v>1231</v>
      </c>
      <c r="AD1496" t="s">
        <v>1232</v>
      </c>
    </row>
    <row r="1497" spans="1:33" hidden="1" x14ac:dyDescent="0.25">
      <c r="A1497">
        <v>42222</v>
      </c>
      <c r="B1497" t="s">
        <v>32</v>
      </c>
      <c r="C1497">
        <v>6</v>
      </c>
      <c r="D1497" t="s">
        <v>1244</v>
      </c>
      <c r="E1497" t="s">
        <v>70</v>
      </c>
      <c r="F1497" t="s">
        <v>130</v>
      </c>
      <c r="G1497" t="s">
        <v>131</v>
      </c>
      <c r="H1497" t="s">
        <v>132</v>
      </c>
      <c r="I1497" t="s">
        <v>1244</v>
      </c>
      <c r="J1497" t="s">
        <v>1245</v>
      </c>
      <c r="K1497" t="s">
        <v>36</v>
      </c>
      <c r="L1497" t="s">
        <v>33</v>
      </c>
      <c r="R1497" t="s">
        <v>1246</v>
      </c>
      <c r="S1497">
        <v>2010.57</v>
      </c>
      <c r="T1497" t="s">
        <v>40</v>
      </c>
      <c r="U1497">
        <f>+IF(Tabla1[[#This Row],[MONEDA]]="PEN",Tabla1[[#This Row],[MONTO]],Tabla1[[#This Row],[MONTO]]*3.56)</f>
        <v>2010.57</v>
      </c>
      <c r="V1497" t="s">
        <v>190</v>
      </c>
      <c r="W1497">
        <v>42030</v>
      </c>
      <c r="X1497" t="s">
        <v>139</v>
      </c>
      <c r="Y1497" t="s">
        <v>51</v>
      </c>
      <c r="Z1497" t="s">
        <v>43</v>
      </c>
      <c r="AA1497" t="s">
        <v>1247</v>
      </c>
    </row>
    <row r="1498" spans="1:33" hidden="1" x14ac:dyDescent="0.25">
      <c r="A1498">
        <v>42196</v>
      </c>
      <c r="B1498" t="s">
        <v>32</v>
      </c>
      <c r="C1498">
        <v>6</v>
      </c>
      <c r="D1498" t="s">
        <v>1248</v>
      </c>
      <c r="E1498" t="s">
        <v>70</v>
      </c>
      <c r="F1498" t="s">
        <v>130</v>
      </c>
      <c r="G1498" t="s">
        <v>131</v>
      </c>
      <c r="H1498" t="s">
        <v>132</v>
      </c>
      <c r="I1498" t="s">
        <v>1248</v>
      </c>
      <c r="J1498" t="s">
        <v>1249</v>
      </c>
      <c r="K1498" t="s">
        <v>36</v>
      </c>
      <c r="L1498" t="s">
        <v>33</v>
      </c>
      <c r="R1498" t="s">
        <v>1246</v>
      </c>
      <c r="S1498">
        <v>3784.69</v>
      </c>
      <c r="T1498" t="s">
        <v>40</v>
      </c>
      <c r="U1498">
        <f>+IF(Tabla1[[#This Row],[MONEDA]]="PEN",Tabla1[[#This Row],[MONTO]],Tabla1[[#This Row],[MONTO]]*3.56)</f>
        <v>3784.69</v>
      </c>
      <c r="V1498" t="s">
        <v>190</v>
      </c>
      <c r="W1498">
        <v>42029</v>
      </c>
      <c r="X1498" t="s">
        <v>139</v>
      </c>
      <c r="Y1498" t="s">
        <v>51</v>
      </c>
      <c r="Z1498" t="s">
        <v>43</v>
      </c>
      <c r="AA1498" t="s">
        <v>1250</v>
      </c>
    </row>
    <row r="1499" spans="1:33" hidden="1" x14ac:dyDescent="0.25">
      <c r="A1499">
        <v>42178</v>
      </c>
      <c r="B1499" t="s">
        <v>32</v>
      </c>
      <c r="C1499">
        <v>6</v>
      </c>
      <c r="D1499" t="s">
        <v>1251</v>
      </c>
      <c r="E1499" t="s">
        <v>70</v>
      </c>
      <c r="F1499" t="s">
        <v>130</v>
      </c>
      <c r="G1499" t="s">
        <v>131</v>
      </c>
      <c r="H1499" t="s">
        <v>132</v>
      </c>
      <c r="I1499" t="s">
        <v>1251</v>
      </c>
      <c r="J1499" t="s">
        <v>1252</v>
      </c>
      <c r="K1499" t="s">
        <v>36</v>
      </c>
      <c r="L1499" t="s">
        <v>33</v>
      </c>
      <c r="R1499" t="s">
        <v>1253</v>
      </c>
      <c r="S1499">
        <v>10062.89</v>
      </c>
      <c r="T1499" t="s">
        <v>40</v>
      </c>
      <c r="U1499">
        <f>+IF(Tabla1[[#This Row],[MONEDA]]="PEN",Tabla1[[#This Row],[MONTO]],Tabla1[[#This Row],[MONTO]]*3.56)</f>
        <v>10062.89</v>
      </c>
      <c r="V1499" t="s">
        <v>190</v>
      </c>
      <c r="W1499">
        <v>42028</v>
      </c>
      <c r="X1499" t="s">
        <v>139</v>
      </c>
      <c r="Y1499" t="s">
        <v>42</v>
      </c>
      <c r="Z1499" t="s">
        <v>43</v>
      </c>
      <c r="AA1499" t="s">
        <v>1254</v>
      </c>
    </row>
    <row r="1500" spans="1:33" hidden="1" x14ac:dyDescent="0.25">
      <c r="A1500">
        <v>42148</v>
      </c>
      <c r="B1500" t="s">
        <v>32</v>
      </c>
      <c r="C1500">
        <v>6</v>
      </c>
      <c r="D1500" t="s">
        <v>1255</v>
      </c>
      <c r="E1500" t="s">
        <v>70</v>
      </c>
      <c r="F1500" t="s">
        <v>130</v>
      </c>
      <c r="G1500" t="s">
        <v>131</v>
      </c>
      <c r="H1500" t="s">
        <v>132</v>
      </c>
      <c r="I1500" t="s">
        <v>1255</v>
      </c>
      <c r="J1500" t="s">
        <v>1256</v>
      </c>
      <c r="K1500" t="s">
        <v>36</v>
      </c>
      <c r="L1500" t="s">
        <v>33</v>
      </c>
      <c r="R1500" t="s">
        <v>1257</v>
      </c>
      <c r="S1500">
        <v>10298.07</v>
      </c>
      <c r="T1500" t="s">
        <v>40</v>
      </c>
      <c r="U1500">
        <f>+IF(Tabla1[[#This Row],[MONEDA]]="PEN",Tabla1[[#This Row],[MONTO]],Tabla1[[#This Row],[MONTO]]*3.56)</f>
        <v>10298.07</v>
      </c>
      <c r="V1500" t="s">
        <v>190</v>
      </c>
      <c r="W1500">
        <v>42027</v>
      </c>
      <c r="X1500" t="s">
        <v>139</v>
      </c>
      <c r="Y1500" t="s">
        <v>51</v>
      </c>
      <c r="Z1500" t="s">
        <v>43</v>
      </c>
      <c r="AA1500" t="s">
        <v>1258</v>
      </c>
    </row>
    <row r="1501" spans="1:33" hidden="1" x14ac:dyDescent="0.25">
      <c r="A1501">
        <v>42115</v>
      </c>
      <c r="B1501" t="s">
        <v>32</v>
      </c>
      <c r="C1501">
        <v>6</v>
      </c>
      <c r="D1501" t="s">
        <v>1259</v>
      </c>
      <c r="E1501" t="s">
        <v>70</v>
      </c>
      <c r="F1501" t="s">
        <v>130</v>
      </c>
      <c r="G1501" t="s">
        <v>131</v>
      </c>
      <c r="H1501" t="s">
        <v>132</v>
      </c>
      <c r="I1501" t="s">
        <v>1259</v>
      </c>
      <c r="J1501" t="s">
        <v>1260</v>
      </c>
      <c r="K1501" t="s">
        <v>36</v>
      </c>
      <c r="L1501" t="s">
        <v>33</v>
      </c>
      <c r="R1501" t="s">
        <v>1261</v>
      </c>
      <c r="S1501">
        <v>98564.89</v>
      </c>
      <c r="T1501" t="s">
        <v>40</v>
      </c>
      <c r="U1501">
        <f>+IF(Tabla1[[#This Row],[MONEDA]]="PEN",Tabla1[[#This Row],[MONTO]],Tabla1[[#This Row],[MONTO]]*3.56)</f>
        <v>98564.89</v>
      </c>
      <c r="V1501" t="s">
        <v>190</v>
      </c>
      <c r="W1501">
        <v>42025</v>
      </c>
      <c r="X1501" t="s">
        <v>139</v>
      </c>
      <c r="Y1501" t="s">
        <v>51</v>
      </c>
      <c r="Z1501" t="s">
        <v>43</v>
      </c>
      <c r="AA1501" t="s">
        <v>1262</v>
      </c>
    </row>
    <row r="1502" spans="1:33" hidden="1" x14ac:dyDescent="0.25">
      <c r="A1502">
        <v>42070</v>
      </c>
      <c r="B1502" t="s">
        <v>32</v>
      </c>
      <c r="C1502">
        <v>6</v>
      </c>
      <c r="D1502" t="s">
        <v>1266</v>
      </c>
      <c r="E1502" t="s">
        <v>70</v>
      </c>
      <c r="F1502" t="s">
        <v>130</v>
      </c>
      <c r="G1502" t="s">
        <v>131</v>
      </c>
      <c r="H1502" t="s">
        <v>132</v>
      </c>
      <c r="I1502" t="s">
        <v>1266</v>
      </c>
      <c r="J1502" t="s">
        <v>1267</v>
      </c>
      <c r="K1502" t="s">
        <v>36</v>
      </c>
      <c r="L1502" t="s">
        <v>33</v>
      </c>
      <c r="R1502" t="s">
        <v>1268</v>
      </c>
      <c r="S1502">
        <v>1314.99</v>
      </c>
      <c r="T1502" t="s">
        <v>40</v>
      </c>
      <c r="U1502">
        <f>+IF(Tabla1[[#This Row],[MONEDA]]="PEN",Tabla1[[#This Row],[MONTO]],Tabla1[[#This Row],[MONTO]]*3.56)</f>
        <v>1314.99</v>
      </c>
      <c r="V1502" t="s">
        <v>190</v>
      </c>
      <c r="W1502">
        <v>41983</v>
      </c>
      <c r="X1502" t="s">
        <v>139</v>
      </c>
      <c r="Y1502" t="s">
        <v>51</v>
      </c>
      <c r="Z1502" t="s">
        <v>43</v>
      </c>
      <c r="AA1502" t="s">
        <v>1269</v>
      </c>
    </row>
    <row r="1503" spans="1:33" hidden="1" x14ac:dyDescent="0.25">
      <c r="A1503">
        <v>42047</v>
      </c>
      <c r="B1503" t="s">
        <v>32</v>
      </c>
      <c r="C1503">
        <v>6</v>
      </c>
      <c r="D1503" t="s">
        <v>1270</v>
      </c>
      <c r="E1503" t="s">
        <v>70</v>
      </c>
      <c r="F1503" t="s">
        <v>130</v>
      </c>
      <c r="G1503" t="s">
        <v>131</v>
      </c>
      <c r="H1503" t="s">
        <v>132</v>
      </c>
      <c r="I1503" t="s">
        <v>1270</v>
      </c>
      <c r="J1503" t="s">
        <v>1271</v>
      </c>
      <c r="K1503" t="s">
        <v>36</v>
      </c>
      <c r="L1503" t="s">
        <v>33</v>
      </c>
      <c r="R1503" t="s">
        <v>1272</v>
      </c>
      <c r="S1503">
        <v>12748.74</v>
      </c>
      <c r="T1503" t="s">
        <v>40</v>
      </c>
      <c r="U1503">
        <f>+IF(Tabla1[[#This Row],[MONEDA]]="PEN",Tabla1[[#This Row],[MONTO]],Tabla1[[#This Row],[MONTO]]*3.56)</f>
        <v>12748.74</v>
      </c>
      <c r="V1503" t="s">
        <v>190</v>
      </c>
      <c r="W1503">
        <v>41982</v>
      </c>
      <c r="X1503" t="s">
        <v>139</v>
      </c>
      <c r="Y1503" t="s">
        <v>51</v>
      </c>
      <c r="Z1503" t="s">
        <v>43</v>
      </c>
      <c r="AA1503" t="s">
        <v>1273</v>
      </c>
    </row>
    <row r="1504" spans="1:33" x14ac:dyDescent="0.25">
      <c r="A1504">
        <v>41560</v>
      </c>
      <c r="B1504" t="s">
        <v>32</v>
      </c>
      <c r="C1504">
        <v>1</v>
      </c>
      <c r="D1504" t="s">
        <v>1327</v>
      </c>
      <c r="E1504" t="s">
        <v>70</v>
      </c>
      <c r="F1504" t="s">
        <v>157</v>
      </c>
      <c r="G1504" t="s">
        <v>158</v>
      </c>
      <c r="H1504" t="s">
        <v>159</v>
      </c>
      <c r="I1504" t="s">
        <v>1328</v>
      </c>
      <c r="J1504" t="s">
        <v>1329</v>
      </c>
      <c r="K1504" t="s">
        <v>36</v>
      </c>
      <c r="L1504" t="s">
        <v>33</v>
      </c>
      <c r="M1504">
        <v>20533151435</v>
      </c>
      <c r="P1504" t="s">
        <v>38</v>
      </c>
      <c r="Q1504" t="s">
        <v>163</v>
      </c>
      <c r="R1504" t="s">
        <v>1330</v>
      </c>
      <c r="S1504">
        <v>228.92</v>
      </c>
      <c r="T1504" t="s">
        <v>40</v>
      </c>
      <c r="U1504">
        <f>+IF(Tabla1[[#This Row],[MONEDA]]="PEN",Tabla1[[#This Row],[MONTO]],Tabla1[[#This Row],[MONTO]]*3.56)</f>
        <v>228.92</v>
      </c>
      <c r="X1504" t="s">
        <v>41</v>
      </c>
      <c r="Y1504" t="s">
        <v>42</v>
      </c>
      <c r="Z1504" t="s">
        <v>82</v>
      </c>
      <c r="AA1504" t="s">
        <v>1331</v>
      </c>
      <c r="AB1504" t="s">
        <v>1332</v>
      </c>
      <c r="AC1504" t="s">
        <v>1333</v>
      </c>
      <c r="AD1504" t="s">
        <v>1334</v>
      </c>
      <c r="AE1504">
        <v>228.92</v>
      </c>
      <c r="AF1504" t="s">
        <v>87</v>
      </c>
      <c r="AG1504" t="s">
        <v>169</v>
      </c>
    </row>
    <row r="1505" spans="1:33" x14ac:dyDescent="0.25">
      <c r="A1505">
        <v>41495</v>
      </c>
      <c r="B1505" t="s">
        <v>32</v>
      </c>
      <c r="C1505">
        <v>3</v>
      </c>
      <c r="D1505" t="s">
        <v>1372</v>
      </c>
      <c r="E1505" t="s">
        <v>70</v>
      </c>
      <c r="F1505" t="s">
        <v>130</v>
      </c>
      <c r="G1505" t="s">
        <v>132</v>
      </c>
      <c r="H1505" t="s">
        <v>132</v>
      </c>
      <c r="I1505" t="s">
        <v>1373</v>
      </c>
      <c r="J1505" t="s">
        <v>1373</v>
      </c>
      <c r="K1505" t="s">
        <v>36</v>
      </c>
      <c r="L1505" t="s">
        <v>33</v>
      </c>
      <c r="O1505" t="s">
        <v>1374</v>
      </c>
      <c r="P1505" t="s">
        <v>38</v>
      </c>
      <c r="Q1505" t="s">
        <v>1375</v>
      </c>
      <c r="R1505" t="s">
        <v>510</v>
      </c>
      <c r="S1505">
        <v>3049.73</v>
      </c>
      <c r="T1505" t="s">
        <v>40</v>
      </c>
      <c r="U1505">
        <f>+IF(Tabla1[[#This Row],[MONEDA]]="PEN",Tabla1[[#This Row],[MONTO]],Tabla1[[#This Row],[MONTO]]*3.56)</f>
        <v>3049.73</v>
      </c>
      <c r="X1505" t="s">
        <v>139</v>
      </c>
      <c r="Y1505" t="s">
        <v>42</v>
      </c>
      <c r="Z1505" t="s">
        <v>511</v>
      </c>
      <c r="AA1505" t="s">
        <v>1376</v>
      </c>
      <c r="AB1505" t="s">
        <v>1377</v>
      </c>
      <c r="AC1505" t="s">
        <v>1378</v>
      </c>
      <c r="AE1505">
        <v>3049.73</v>
      </c>
      <c r="AF1505" t="s">
        <v>87</v>
      </c>
      <c r="AG1505" t="s">
        <v>169</v>
      </c>
    </row>
    <row r="1506" spans="1:33" hidden="1" x14ac:dyDescent="0.25">
      <c r="A1506">
        <v>41425</v>
      </c>
      <c r="B1506" t="s">
        <v>32</v>
      </c>
      <c r="C1506">
        <v>1</v>
      </c>
      <c r="D1506" t="s">
        <v>1409</v>
      </c>
      <c r="E1506" t="s">
        <v>70</v>
      </c>
      <c r="F1506" t="s">
        <v>33</v>
      </c>
      <c r="G1506" t="s">
        <v>71</v>
      </c>
      <c r="H1506" t="s">
        <v>35</v>
      </c>
      <c r="I1506" t="s">
        <v>1409</v>
      </c>
      <c r="J1506" t="s">
        <v>1410</v>
      </c>
      <c r="K1506" t="s">
        <v>36</v>
      </c>
      <c r="L1506" t="s">
        <v>33</v>
      </c>
      <c r="O1506" t="s">
        <v>76</v>
      </c>
      <c r="R1506" t="s">
        <v>1411</v>
      </c>
      <c r="S1506">
        <v>15</v>
      </c>
      <c r="T1506" t="s">
        <v>40</v>
      </c>
      <c r="U1506">
        <f>+IF(Tabla1[[#This Row],[MONEDA]]="PEN",Tabla1[[#This Row],[MONTO]],Tabla1[[#This Row],[MONTO]]*3.56)</f>
        <v>15</v>
      </c>
      <c r="V1506" t="s">
        <v>190</v>
      </c>
      <c r="W1506">
        <v>39699</v>
      </c>
      <c r="X1506" t="s">
        <v>81</v>
      </c>
      <c r="Y1506" t="s">
        <v>42</v>
      </c>
      <c r="Z1506" t="s">
        <v>43</v>
      </c>
      <c r="AA1506" t="s">
        <v>1412</v>
      </c>
      <c r="AC1506" t="s">
        <v>1413</v>
      </c>
      <c r="AD1506" t="s">
        <v>1414</v>
      </c>
    </row>
    <row r="1507" spans="1:33" hidden="1" x14ac:dyDescent="0.25">
      <c r="A1507">
        <v>41424</v>
      </c>
      <c r="B1507" t="s">
        <v>32</v>
      </c>
      <c r="C1507">
        <v>1</v>
      </c>
      <c r="D1507" t="s">
        <v>1415</v>
      </c>
      <c r="E1507" t="s">
        <v>70</v>
      </c>
      <c r="F1507" t="s">
        <v>33</v>
      </c>
      <c r="G1507" t="s">
        <v>71</v>
      </c>
      <c r="H1507" t="s">
        <v>35</v>
      </c>
      <c r="I1507" t="s">
        <v>1415</v>
      </c>
      <c r="J1507" t="s">
        <v>1416</v>
      </c>
      <c r="K1507" t="s">
        <v>36</v>
      </c>
      <c r="L1507" t="s">
        <v>33</v>
      </c>
      <c r="O1507" t="s">
        <v>76</v>
      </c>
      <c r="R1507" t="s">
        <v>1417</v>
      </c>
      <c r="S1507">
        <v>74.900000000000006</v>
      </c>
      <c r="T1507" t="s">
        <v>40</v>
      </c>
      <c r="U1507">
        <f>+IF(Tabla1[[#This Row],[MONEDA]]="PEN",Tabla1[[#This Row],[MONTO]],Tabla1[[#This Row],[MONTO]]*3.56)</f>
        <v>74.900000000000006</v>
      </c>
      <c r="V1507" t="s">
        <v>190</v>
      </c>
      <c r="W1507">
        <v>39699</v>
      </c>
      <c r="X1507" t="s">
        <v>81</v>
      </c>
      <c r="Y1507" t="s">
        <v>42</v>
      </c>
      <c r="Z1507" t="s">
        <v>43</v>
      </c>
      <c r="AA1507" t="s">
        <v>1418</v>
      </c>
      <c r="AC1507" t="s">
        <v>1419</v>
      </c>
      <c r="AD1507" t="s">
        <v>1420</v>
      </c>
    </row>
    <row r="1508" spans="1:33" hidden="1" x14ac:dyDescent="0.25">
      <c r="A1508">
        <v>41423</v>
      </c>
      <c r="B1508" t="s">
        <v>32</v>
      </c>
      <c r="C1508">
        <v>1</v>
      </c>
      <c r="D1508" t="s">
        <v>1421</v>
      </c>
      <c r="E1508" t="s">
        <v>70</v>
      </c>
      <c r="F1508" t="s">
        <v>33</v>
      </c>
      <c r="G1508" t="s">
        <v>71</v>
      </c>
      <c r="H1508" t="s">
        <v>35</v>
      </c>
      <c r="I1508" t="s">
        <v>1421</v>
      </c>
      <c r="J1508" t="s">
        <v>1422</v>
      </c>
      <c r="K1508" t="s">
        <v>36</v>
      </c>
      <c r="L1508" t="s">
        <v>33</v>
      </c>
      <c r="O1508" t="s">
        <v>76</v>
      </c>
      <c r="R1508" t="s">
        <v>1423</v>
      </c>
      <c r="S1508">
        <v>45</v>
      </c>
      <c r="T1508" t="s">
        <v>40</v>
      </c>
      <c r="U1508">
        <f>+IF(Tabla1[[#This Row],[MONEDA]]="PEN",Tabla1[[#This Row],[MONTO]],Tabla1[[#This Row],[MONTO]]*3.56)</f>
        <v>45</v>
      </c>
      <c r="V1508" t="s">
        <v>190</v>
      </c>
      <c r="W1508">
        <v>39699</v>
      </c>
      <c r="X1508" t="s">
        <v>81</v>
      </c>
      <c r="Y1508" t="s">
        <v>42</v>
      </c>
      <c r="Z1508" t="s">
        <v>43</v>
      </c>
      <c r="AA1508" t="s">
        <v>1424</v>
      </c>
      <c r="AC1508" t="s">
        <v>1425</v>
      </c>
      <c r="AD1508" t="s">
        <v>1426</v>
      </c>
    </row>
    <row r="1509" spans="1:33" hidden="1" x14ac:dyDescent="0.25">
      <c r="A1509">
        <v>41422</v>
      </c>
      <c r="B1509" t="s">
        <v>32</v>
      </c>
      <c r="C1509">
        <v>1</v>
      </c>
      <c r="D1509" t="s">
        <v>1427</v>
      </c>
      <c r="E1509" t="s">
        <v>70</v>
      </c>
      <c r="F1509" t="s">
        <v>33</v>
      </c>
      <c r="G1509" t="s">
        <v>71</v>
      </c>
      <c r="H1509" t="s">
        <v>35</v>
      </c>
      <c r="I1509" t="s">
        <v>1427</v>
      </c>
      <c r="J1509" t="s">
        <v>1428</v>
      </c>
      <c r="K1509" t="s">
        <v>36</v>
      </c>
      <c r="L1509" t="s">
        <v>33</v>
      </c>
      <c r="O1509" t="s">
        <v>76</v>
      </c>
      <c r="R1509" t="s">
        <v>1429</v>
      </c>
      <c r="S1509">
        <v>30</v>
      </c>
      <c r="T1509" t="s">
        <v>40</v>
      </c>
      <c r="U1509">
        <f>+IF(Tabla1[[#This Row],[MONEDA]]="PEN",Tabla1[[#This Row],[MONTO]],Tabla1[[#This Row],[MONTO]]*3.56)</f>
        <v>30</v>
      </c>
      <c r="V1509" t="s">
        <v>190</v>
      </c>
      <c r="W1509">
        <v>39699</v>
      </c>
      <c r="X1509" t="s">
        <v>81</v>
      </c>
      <c r="Y1509" t="s">
        <v>42</v>
      </c>
      <c r="Z1509" t="s">
        <v>43</v>
      </c>
      <c r="AA1509" t="s">
        <v>1430</v>
      </c>
      <c r="AC1509" t="s">
        <v>1431</v>
      </c>
      <c r="AD1509" t="s">
        <v>1432</v>
      </c>
    </row>
    <row r="1510" spans="1:33" hidden="1" x14ac:dyDescent="0.25">
      <c r="A1510">
        <v>41417</v>
      </c>
      <c r="B1510" t="s">
        <v>32</v>
      </c>
      <c r="C1510">
        <v>1</v>
      </c>
      <c r="D1510" t="s">
        <v>1439</v>
      </c>
      <c r="E1510" t="s">
        <v>70</v>
      </c>
      <c r="F1510" t="s">
        <v>33</v>
      </c>
      <c r="G1510" t="s">
        <v>71</v>
      </c>
      <c r="H1510" t="s">
        <v>35</v>
      </c>
      <c r="I1510" t="s">
        <v>1439</v>
      </c>
      <c r="J1510" t="s">
        <v>1440</v>
      </c>
      <c r="K1510" t="s">
        <v>36</v>
      </c>
      <c r="L1510" t="s">
        <v>33</v>
      </c>
      <c r="O1510" t="s">
        <v>76</v>
      </c>
      <c r="R1510" t="s">
        <v>1441</v>
      </c>
      <c r="S1510">
        <v>75</v>
      </c>
      <c r="T1510" t="s">
        <v>40</v>
      </c>
      <c r="U1510">
        <f>+IF(Tabla1[[#This Row],[MONEDA]]="PEN",Tabla1[[#This Row],[MONTO]],Tabla1[[#This Row],[MONTO]]*3.56)</f>
        <v>75</v>
      </c>
      <c r="V1510" t="s">
        <v>190</v>
      </c>
      <c r="W1510">
        <v>39699</v>
      </c>
      <c r="X1510" t="s">
        <v>81</v>
      </c>
      <c r="Y1510" t="s">
        <v>42</v>
      </c>
      <c r="Z1510" t="s">
        <v>43</v>
      </c>
      <c r="AA1510" t="s">
        <v>1442</v>
      </c>
      <c r="AC1510" t="s">
        <v>1443</v>
      </c>
      <c r="AD1510" t="s">
        <v>1444</v>
      </c>
    </row>
    <row r="1511" spans="1:33" hidden="1" x14ac:dyDescent="0.25">
      <c r="A1511">
        <v>41416</v>
      </c>
      <c r="B1511" t="s">
        <v>32</v>
      </c>
      <c r="C1511">
        <v>1</v>
      </c>
      <c r="D1511" t="s">
        <v>1445</v>
      </c>
      <c r="E1511" t="s">
        <v>70</v>
      </c>
      <c r="F1511" t="s">
        <v>33</v>
      </c>
      <c r="G1511" t="s">
        <v>71</v>
      </c>
      <c r="H1511" t="s">
        <v>35</v>
      </c>
      <c r="I1511" t="s">
        <v>1445</v>
      </c>
      <c r="J1511" t="s">
        <v>1446</v>
      </c>
      <c r="K1511" t="s">
        <v>36</v>
      </c>
      <c r="L1511" t="s">
        <v>33</v>
      </c>
      <c r="O1511" t="s">
        <v>76</v>
      </c>
      <c r="R1511" t="s">
        <v>1447</v>
      </c>
      <c r="S1511">
        <v>38</v>
      </c>
      <c r="T1511" t="s">
        <v>40</v>
      </c>
      <c r="U1511">
        <f>+IF(Tabla1[[#This Row],[MONEDA]]="PEN",Tabla1[[#This Row],[MONTO]],Tabla1[[#This Row],[MONTO]]*3.56)</f>
        <v>38</v>
      </c>
      <c r="V1511" t="s">
        <v>190</v>
      </c>
      <c r="W1511">
        <v>39699</v>
      </c>
      <c r="X1511" t="s">
        <v>81</v>
      </c>
      <c r="Y1511" t="s">
        <v>42</v>
      </c>
      <c r="Z1511" t="s">
        <v>43</v>
      </c>
      <c r="AA1511" t="s">
        <v>1448</v>
      </c>
      <c r="AC1511" t="s">
        <v>1449</v>
      </c>
      <c r="AD1511" t="s">
        <v>1450</v>
      </c>
    </row>
    <row r="1512" spans="1:33" hidden="1" x14ac:dyDescent="0.25">
      <c r="A1512">
        <v>41415</v>
      </c>
      <c r="B1512" t="s">
        <v>32</v>
      </c>
      <c r="C1512">
        <v>1</v>
      </c>
      <c r="D1512" t="s">
        <v>1451</v>
      </c>
      <c r="E1512" t="s">
        <v>70</v>
      </c>
      <c r="F1512" t="s">
        <v>33</v>
      </c>
      <c r="G1512" t="s">
        <v>71</v>
      </c>
      <c r="H1512" t="s">
        <v>35</v>
      </c>
      <c r="I1512" t="s">
        <v>1451</v>
      </c>
      <c r="J1512" t="s">
        <v>1452</v>
      </c>
      <c r="K1512" t="s">
        <v>36</v>
      </c>
      <c r="L1512" t="s">
        <v>33</v>
      </c>
      <c r="O1512" t="s">
        <v>76</v>
      </c>
      <c r="R1512" t="s">
        <v>1453</v>
      </c>
      <c r="S1512">
        <v>33</v>
      </c>
      <c r="T1512" t="s">
        <v>40</v>
      </c>
      <c r="U1512">
        <f>+IF(Tabla1[[#This Row],[MONEDA]]="PEN",Tabla1[[#This Row],[MONTO]],Tabla1[[#This Row],[MONTO]]*3.56)</f>
        <v>33</v>
      </c>
      <c r="V1512" t="s">
        <v>190</v>
      </c>
      <c r="W1512">
        <v>39699</v>
      </c>
      <c r="X1512" t="s">
        <v>81</v>
      </c>
      <c r="Y1512" t="s">
        <v>42</v>
      </c>
      <c r="Z1512" t="s">
        <v>43</v>
      </c>
      <c r="AA1512" t="s">
        <v>1454</v>
      </c>
      <c r="AC1512" t="s">
        <v>1455</v>
      </c>
      <c r="AD1512" t="s">
        <v>1456</v>
      </c>
    </row>
    <row r="1513" spans="1:33" hidden="1" x14ac:dyDescent="0.25">
      <c r="A1513">
        <v>41414</v>
      </c>
      <c r="B1513" t="s">
        <v>32</v>
      </c>
      <c r="C1513">
        <v>1</v>
      </c>
      <c r="D1513" t="s">
        <v>1457</v>
      </c>
      <c r="E1513" t="s">
        <v>70</v>
      </c>
      <c r="F1513" t="s">
        <v>33</v>
      </c>
      <c r="G1513" t="s">
        <v>71</v>
      </c>
      <c r="H1513" t="s">
        <v>35</v>
      </c>
      <c r="I1513" t="s">
        <v>1457</v>
      </c>
      <c r="J1513" t="s">
        <v>1458</v>
      </c>
      <c r="K1513" t="s">
        <v>36</v>
      </c>
      <c r="L1513" t="s">
        <v>33</v>
      </c>
      <c r="O1513" t="s">
        <v>76</v>
      </c>
      <c r="R1513" t="s">
        <v>1459</v>
      </c>
      <c r="S1513">
        <v>28</v>
      </c>
      <c r="T1513" t="s">
        <v>40</v>
      </c>
      <c r="U1513">
        <f>+IF(Tabla1[[#This Row],[MONEDA]]="PEN",Tabla1[[#This Row],[MONTO]],Tabla1[[#This Row],[MONTO]]*3.56)</f>
        <v>28</v>
      </c>
      <c r="V1513" t="s">
        <v>190</v>
      </c>
      <c r="W1513">
        <v>39699</v>
      </c>
      <c r="X1513" t="s">
        <v>81</v>
      </c>
      <c r="Y1513" t="s">
        <v>42</v>
      </c>
      <c r="Z1513" t="s">
        <v>43</v>
      </c>
      <c r="AA1513" t="s">
        <v>1460</v>
      </c>
      <c r="AC1513" t="s">
        <v>1461</v>
      </c>
      <c r="AD1513" t="s">
        <v>1462</v>
      </c>
    </row>
    <row r="1514" spans="1:33" hidden="1" x14ac:dyDescent="0.25">
      <c r="A1514">
        <v>41413</v>
      </c>
      <c r="B1514" t="s">
        <v>32</v>
      </c>
      <c r="C1514">
        <v>1</v>
      </c>
      <c r="D1514" t="s">
        <v>1463</v>
      </c>
      <c r="E1514" t="s">
        <v>70</v>
      </c>
      <c r="F1514" t="s">
        <v>33</v>
      </c>
      <c r="G1514" t="s">
        <v>71</v>
      </c>
      <c r="H1514" t="s">
        <v>35</v>
      </c>
      <c r="I1514" t="s">
        <v>1463</v>
      </c>
      <c r="J1514" t="s">
        <v>1464</v>
      </c>
      <c r="K1514" t="s">
        <v>36</v>
      </c>
      <c r="L1514" t="s">
        <v>33</v>
      </c>
      <c r="O1514" t="s">
        <v>76</v>
      </c>
      <c r="R1514" t="s">
        <v>1465</v>
      </c>
      <c r="S1514">
        <v>150</v>
      </c>
      <c r="T1514" t="s">
        <v>40</v>
      </c>
      <c r="U1514">
        <f>+IF(Tabla1[[#This Row],[MONEDA]]="PEN",Tabla1[[#This Row],[MONTO]],Tabla1[[#This Row],[MONTO]]*3.56)</f>
        <v>150</v>
      </c>
      <c r="V1514" t="s">
        <v>190</v>
      </c>
      <c r="W1514">
        <v>39699</v>
      </c>
      <c r="X1514" t="s">
        <v>81</v>
      </c>
      <c r="Y1514" t="s">
        <v>42</v>
      </c>
      <c r="Z1514" t="s">
        <v>43</v>
      </c>
      <c r="AA1514" t="s">
        <v>1466</v>
      </c>
      <c r="AC1514" t="s">
        <v>1467</v>
      </c>
      <c r="AD1514" t="s">
        <v>1468</v>
      </c>
    </row>
    <row r="1515" spans="1:33" hidden="1" x14ac:dyDescent="0.25">
      <c r="A1515">
        <v>41397</v>
      </c>
      <c r="B1515" t="s">
        <v>32</v>
      </c>
      <c r="C1515">
        <v>1</v>
      </c>
      <c r="D1515" t="s">
        <v>1483</v>
      </c>
      <c r="E1515" t="s">
        <v>70</v>
      </c>
      <c r="F1515" t="s">
        <v>33</v>
      </c>
      <c r="G1515" t="s">
        <v>71</v>
      </c>
      <c r="H1515" t="s">
        <v>35</v>
      </c>
      <c r="I1515" t="s">
        <v>1483</v>
      </c>
      <c r="J1515" t="s">
        <v>1484</v>
      </c>
      <c r="K1515" t="s">
        <v>36</v>
      </c>
      <c r="L1515" t="s">
        <v>33</v>
      </c>
      <c r="O1515" t="s">
        <v>76</v>
      </c>
      <c r="R1515" t="s">
        <v>1485</v>
      </c>
      <c r="S1515">
        <v>160</v>
      </c>
      <c r="T1515" t="s">
        <v>40</v>
      </c>
      <c r="U1515">
        <f>+IF(Tabla1[[#This Row],[MONEDA]]="PEN",Tabla1[[#This Row],[MONTO]],Tabla1[[#This Row],[MONTO]]*3.56)</f>
        <v>160</v>
      </c>
      <c r="V1515" t="s">
        <v>190</v>
      </c>
      <c r="W1515">
        <v>39699</v>
      </c>
      <c r="X1515" t="s">
        <v>81</v>
      </c>
      <c r="Y1515" t="s">
        <v>42</v>
      </c>
      <c r="Z1515" t="s">
        <v>43</v>
      </c>
      <c r="AA1515" t="s">
        <v>1486</v>
      </c>
      <c r="AC1515" t="s">
        <v>1487</v>
      </c>
      <c r="AD1515" t="s">
        <v>1488</v>
      </c>
    </row>
    <row r="1516" spans="1:33" hidden="1" x14ac:dyDescent="0.25">
      <c r="A1516">
        <v>41354</v>
      </c>
      <c r="B1516" t="s">
        <v>32</v>
      </c>
      <c r="C1516">
        <v>1</v>
      </c>
      <c r="D1516" t="s">
        <v>1502</v>
      </c>
      <c r="E1516" t="s">
        <v>70</v>
      </c>
      <c r="F1516" t="s">
        <v>33</v>
      </c>
      <c r="G1516" t="s">
        <v>71</v>
      </c>
      <c r="H1516" t="s">
        <v>35</v>
      </c>
      <c r="I1516" t="s">
        <v>1502</v>
      </c>
      <c r="J1516" t="s">
        <v>1503</v>
      </c>
      <c r="K1516" t="s">
        <v>36</v>
      </c>
      <c r="L1516" t="s">
        <v>33</v>
      </c>
      <c r="O1516" t="s">
        <v>76</v>
      </c>
      <c r="R1516" t="s">
        <v>1504</v>
      </c>
      <c r="S1516">
        <v>40</v>
      </c>
      <c r="T1516" t="s">
        <v>40</v>
      </c>
      <c r="U1516">
        <f>+IF(Tabla1[[#This Row],[MONEDA]]="PEN",Tabla1[[#This Row],[MONTO]],Tabla1[[#This Row],[MONTO]]*3.56)</f>
        <v>40</v>
      </c>
      <c r="V1516" t="s">
        <v>190</v>
      </c>
      <c r="W1516">
        <v>39699</v>
      </c>
      <c r="X1516" t="s">
        <v>81</v>
      </c>
      <c r="Y1516" t="s">
        <v>42</v>
      </c>
      <c r="Z1516" t="s">
        <v>43</v>
      </c>
      <c r="AA1516" t="s">
        <v>1505</v>
      </c>
      <c r="AC1516" t="s">
        <v>1506</v>
      </c>
      <c r="AD1516" t="s">
        <v>1507</v>
      </c>
    </row>
    <row r="1517" spans="1:33" hidden="1" x14ac:dyDescent="0.25">
      <c r="A1517">
        <v>41355</v>
      </c>
      <c r="B1517" t="s">
        <v>32</v>
      </c>
      <c r="C1517">
        <v>1</v>
      </c>
      <c r="D1517" t="s">
        <v>1502</v>
      </c>
      <c r="E1517" t="s">
        <v>70</v>
      </c>
      <c r="F1517" t="s">
        <v>33</v>
      </c>
      <c r="G1517" t="s">
        <v>71</v>
      </c>
      <c r="H1517" t="s">
        <v>35</v>
      </c>
      <c r="I1517" t="s">
        <v>1502</v>
      </c>
      <c r="J1517" t="s">
        <v>1508</v>
      </c>
      <c r="K1517" t="s">
        <v>36</v>
      </c>
      <c r="L1517" t="s">
        <v>33</v>
      </c>
      <c r="O1517" t="s">
        <v>76</v>
      </c>
      <c r="R1517" t="s">
        <v>1509</v>
      </c>
      <c r="S1517">
        <v>40</v>
      </c>
      <c r="T1517" t="s">
        <v>40</v>
      </c>
      <c r="U1517">
        <f>+IF(Tabla1[[#This Row],[MONEDA]]="PEN",Tabla1[[#This Row],[MONTO]],Tabla1[[#This Row],[MONTO]]*3.56)</f>
        <v>40</v>
      </c>
      <c r="V1517" t="s">
        <v>190</v>
      </c>
      <c r="W1517">
        <v>39699</v>
      </c>
      <c r="X1517" t="s">
        <v>81</v>
      </c>
      <c r="Y1517" t="s">
        <v>42</v>
      </c>
      <c r="Z1517" t="s">
        <v>43</v>
      </c>
      <c r="AA1517" t="s">
        <v>1510</v>
      </c>
      <c r="AC1517" t="s">
        <v>1511</v>
      </c>
      <c r="AD1517" t="s">
        <v>1512</v>
      </c>
    </row>
    <row r="1518" spans="1:33" hidden="1" x14ac:dyDescent="0.25">
      <c r="A1518">
        <v>41356</v>
      </c>
      <c r="B1518" t="s">
        <v>32</v>
      </c>
      <c r="C1518">
        <v>1</v>
      </c>
      <c r="D1518" t="s">
        <v>1502</v>
      </c>
      <c r="E1518" t="s">
        <v>70</v>
      </c>
      <c r="F1518" t="s">
        <v>33</v>
      </c>
      <c r="G1518" t="s">
        <v>71</v>
      </c>
      <c r="H1518" t="s">
        <v>35</v>
      </c>
      <c r="I1518" t="s">
        <v>1502</v>
      </c>
      <c r="J1518" t="s">
        <v>1513</v>
      </c>
      <c r="K1518" t="s">
        <v>36</v>
      </c>
      <c r="L1518" t="s">
        <v>33</v>
      </c>
      <c r="O1518" t="s">
        <v>76</v>
      </c>
      <c r="R1518" t="s">
        <v>1514</v>
      </c>
      <c r="S1518">
        <v>47.5</v>
      </c>
      <c r="T1518" t="s">
        <v>40</v>
      </c>
      <c r="U1518">
        <f>+IF(Tabla1[[#This Row],[MONEDA]]="PEN",Tabla1[[#This Row],[MONTO]],Tabla1[[#This Row],[MONTO]]*3.56)</f>
        <v>47.5</v>
      </c>
      <c r="V1518" t="s">
        <v>190</v>
      </c>
      <c r="W1518">
        <v>39699</v>
      </c>
      <c r="X1518" t="s">
        <v>81</v>
      </c>
      <c r="Y1518" t="s">
        <v>42</v>
      </c>
      <c r="Z1518" t="s">
        <v>43</v>
      </c>
      <c r="AA1518" t="s">
        <v>1515</v>
      </c>
      <c r="AC1518" t="s">
        <v>1516</v>
      </c>
      <c r="AD1518" t="s">
        <v>1517</v>
      </c>
    </row>
    <row r="1519" spans="1:33" hidden="1" x14ac:dyDescent="0.25">
      <c r="A1519">
        <v>41357</v>
      </c>
      <c r="B1519" t="s">
        <v>32</v>
      </c>
      <c r="C1519">
        <v>1</v>
      </c>
      <c r="D1519" t="s">
        <v>1502</v>
      </c>
      <c r="E1519" t="s">
        <v>70</v>
      </c>
      <c r="F1519" t="s">
        <v>33</v>
      </c>
      <c r="G1519" t="s">
        <v>71</v>
      </c>
      <c r="H1519" t="s">
        <v>35</v>
      </c>
      <c r="I1519" t="s">
        <v>1502</v>
      </c>
      <c r="J1519" t="s">
        <v>1502</v>
      </c>
      <c r="K1519" t="s">
        <v>36</v>
      </c>
      <c r="L1519" t="s">
        <v>33</v>
      </c>
      <c r="O1519" t="s">
        <v>76</v>
      </c>
      <c r="R1519" t="s">
        <v>1518</v>
      </c>
      <c r="S1519">
        <v>11.6</v>
      </c>
      <c r="T1519" t="s">
        <v>40</v>
      </c>
      <c r="U1519">
        <f>+IF(Tabla1[[#This Row],[MONEDA]]="PEN",Tabla1[[#This Row],[MONTO]],Tabla1[[#This Row],[MONTO]]*3.56)</f>
        <v>11.6</v>
      </c>
      <c r="V1519" t="s">
        <v>190</v>
      </c>
      <c r="W1519">
        <v>39699</v>
      </c>
      <c r="X1519" t="s">
        <v>81</v>
      </c>
      <c r="Y1519" t="s">
        <v>42</v>
      </c>
      <c r="Z1519" t="s">
        <v>43</v>
      </c>
      <c r="AA1519" t="s">
        <v>1519</v>
      </c>
      <c r="AC1519" t="s">
        <v>1520</v>
      </c>
      <c r="AD1519" t="s">
        <v>1521</v>
      </c>
    </row>
    <row r="1520" spans="1:33" hidden="1" x14ac:dyDescent="0.25">
      <c r="A1520">
        <v>41353</v>
      </c>
      <c r="B1520" t="s">
        <v>32</v>
      </c>
      <c r="C1520">
        <v>1</v>
      </c>
      <c r="D1520" t="s">
        <v>1522</v>
      </c>
      <c r="E1520" t="s">
        <v>70</v>
      </c>
      <c r="F1520" t="s">
        <v>33</v>
      </c>
      <c r="G1520" t="s">
        <v>71</v>
      </c>
      <c r="H1520" t="s">
        <v>35</v>
      </c>
      <c r="I1520" t="s">
        <v>1522</v>
      </c>
      <c r="J1520" t="s">
        <v>1523</v>
      </c>
      <c r="K1520" t="s">
        <v>36</v>
      </c>
      <c r="L1520" t="s">
        <v>33</v>
      </c>
      <c r="O1520" t="s">
        <v>76</v>
      </c>
      <c r="R1520" t="s">
        <v>1524</v>
      </c>
      <c r="S1520">
        <v>60</v>
      </c>
      <c r="T1520" t="s">
        <v>40</v>
      </c>
      <c r="U1520">
        <f>+IF(Tabla1[[#This Row],[MONEDA]]="PEN",Tabla1[[#This Row],[MONTO]],Tabla1[[#This Row],[MONTO]]*3.56)</f>
        <v>60</v>
      </c>
      <c r="V1520" t="s">
        <v>190</v>
      </c>
      <c r="W1520">
        <v>39699</v>
      </c>
      <c r="X1520" t="s">
        <v>81</v>
      </c>
      <c r="Y1520" t="s">
        <v>42</v>
      </c>
      <c r="Z1520" t="s">
        <v>43</v>
      </c>
      <c r="AA1520" t="s">
        <v>1525</v>
      </c>
      <c r="AC1520" t="s">
        <v>1526</v>
      </c>
      <c r="AD1520" t="s">
        <v>1527</v>
      </c>
    </row>
    <row r="1521" spans="1:33" hidden="1" x14ac:dyDescent="0.25">
      <c r="A1521">
        <v>41260</v>
      </c>
      <c r="B1521" t="s">
        <v>32</v>
      </c>
      <c r="C1521">
        <v>1</v>
      </c>
      <c r="D1521" t="s">
        <v>1529</v>
      </c>
      <c r="E1521" t="s">
        <v>70</v>
      </c>
      <c r="F1521" t="s">
        <v>33</v>
      </c>
      <c r="G1521" t="s">
        <v>71</v>
      </c>
      <c r="H1521" t="s">
        <v>35</v>
      </c>
      <c r="I1521" t="s">
        <v>1529</v>
      </c>
      <c r="J1521" t="s">
        <v>1530</v>
      </c>
      <c r="K1521" t="s">
        <v>36</v>
      </c>
      <c r="L1521" t="s">
        <v>33</v>
      </c>
      <c r="O1521" t="s">
        <v>76</v>
      </c>
      <c r="R1521" t="s">
        <v>1531</v>
      </c>
      <c r="S1521">
        <v>15</v>
      </c>
      <c r="T1521" t="s">
        <v>40</v>
      </c>
      <c r="U1521">
        <f>+IF(Tabla1[[#This Row],[MONEDA]]="PEN",Tabla1[[#This Row],[MONTO]],Tabla1[[#This Row],[MONTO]]*3.56)</f>
        <v>15</v>
      </c>
      <c r="V1521" t="s">
        <v>190</v>
      </c>
      <c r="W1521">
        <v>39699</v>
      </c>
      <c r="X1521" t="s">
        <v>81</v>
      </c>
      <c r="Y1521" t="s">
        <v>42</v>
      </c>
      <c r="Z1521" t="s">
        <v>43</v>
      </c>
      <c r="AA1521" t="s">
        <v>1532</v>
      </c>
      <c r="AC1521" t="s">
        <v>1533</v>
      </c>
      <c r="AD1521" t="s">
        <v>1534</v>
      </c>
    </row>
    <row r="1522" spans="1:33" x14ac:dyDescent="0.25">
      <c r="A1522">
        <v>41228</v>
      </c>
      <c r="B1522" t="s">
        <v>32</v>
      </c>
      <c r="C1522">
        <v>1</v>
      </c>
      <c r="D1522" t="s">
        <v>1535</v>
      </c>
      <c r="E1522" t="s">
        <v>70</v>
      </c>
      <c r="F1522" t="s">
        <v>157</v>
      </c>
      <c r="G1522" t="s">
        <v>158</v>
      </c>
      <c r="H1522" t="s">
        <v>159</v>
      </c>
      <c r="I1522" t="s">
        <v>1536</v>
      </c>
      <c r="J1522" t="s">
        <v>1537</v>
      </c>
      <c r="K1522" t="s">
        <v>36</v>
      </c>
      <c r="L1522" t="s">
        <v>33</v>
      </c>
      <c r="M1522">
        <v>20533151435</v>
      </c>
      <c r="P1522" t="s">
        <v>38</v>
      </c>
      <c r="Q1522" t="s">
        <v>163</v>
      </c>
      <c r="R1522" t="s">
        <v>1538</v>
      </c>
      <c r="S1522">
        <v>228.92</v>
      </c>
      <c r="T1522" t="s">
        <v>40</v>
      </c>
      <c r="U1522">
        <f>+IF(Tabla1[[#This Row],[MONEDA]]="PEN",Tabla1[[#This Row],[MONTO]],Tabla1[[#This Row],[MONTO]]*3.56)</f>
        <v>228.92</v>
      </c>
      <c r="X1522" t="s">
        <v>41</v>
      </c>
      <c r="Y1522" t="s">
        <v>42</v>
      </c>
      <c r="Z1522" t="s">
        <v>82</v>
      </c>
      <c r="AA1522" t="s">
        <v>1539</v>
      </c>
      <c r="AB1522" t="s">
        <v>1540</v>
      </c>
      <c r="AC1522" t="s">
        <v>1541</v>
      </c>
      <c r="AD1522" t="s">
        <v>1542</v>
      </c>
      <c r="AE1522">
        <v>228.92</v>
      </c>
      <c r="AF1522" t="s">
        <v>87</v>
      </c>
      <c r="AG1522" t="s">
        <v>169</v>
      </c>
    </row>
    <row r="1523" spans="1:33" x14ac:dyDescent="0.25">
      <c r="A1523">
        <v>41230</v>
      </c>
      <c r="B1523" t="s">
        <v>32</v>
      </c>
      <c r="C1523">
        <v>1</v>
      </c>
      <c r="D1523" t="s">
        <v>1543</v>
      </c>
      <c r="E1523" t="s">
        <v>70</v>
      </c>
      <c r="F1523" t="s">
        <v>157</v>
      </c>
      <c r="G1523" t="s">
        <v>158</v>
      </c>
      <c r="H1523" t="s">
        <v>159</v>
      </c>
      <c r="I1523" t="s">
        <v>1536</v>
      </c>
      <c r="J1523" t="s">
        <v>1544</v>
      </c>
      <c r="K1523" t="s">
        <v>36</v>
      </c>
      <c r="L1523" t="s">
        <v>33</v>
      </c>
      <c r="M1523">
        <v>20533151435</v>
      </c>
      <c r="P1523" t="s">
        <v>38</v>
      </c>
      <c r="Q1523" t="s">
        <v>163</v>
      </c>
      <c r="R1523" t="s">
        <v>1545</v>
      </c>
      <c r="S1523">
        <v>194.7</v>
      </c>
      <c r="T1523" t="s">
        <v>40</v>
      </c>
      <c r="U1523">
        <f>+IF(Tabla1[[#This Row],[MONEDA]]="PEN",Tabla1[[#This Row],[MONTO]],Tabla1[[#This Row],[MONTO]]*3.56)</f>
        <v>194.7</v>
      </c>
      <c r="X1523" t="s">
        <v>41</v>
      </c>
      <c r="Y1523" t="s">
        <v>42</v>
      </c>
      <c r="Z1523" t="s">
        <v>82</v>
      </c>
      <c r="AA1523" t="s">
        <v>1539</v>
      </c>
      <c r="AB1523" t="s">
        <v>1546</v>
      </c>
      <c r="AC1523" t="s">
        <v>1547</v>
      </c>
      <c r="AD1523" t="s">
        <v>1548</v>
      </c>
      <c r="AE1523">
        <v>194.7</v>
      </c>
      <c r="AF1523" t="s">
        <v>87</v>
      </c>
      <c r="AG1523" t="s">
        <v>169</v>
      </c>
    </row>
    <row r="1524" spans="1:33" hidden="1" x14ac:dyDescent="0.25">
      <c r="A1524">
        <v>41233</v>
      </c>
      <c r="B1524" t="s">
        <v>32</v>
      </c>
      <c r="C1524">
        <v>1</v>
      </c>
      <c r="D1524" t="s">
        <v>1556</v>
      </c>
      <c r="E1524" t="s">
        <v>70</v>
      </c>
      <c r="F1524" t="s">
        <v>33</v>
      </c>
      <c r="G1524" t="s">
        <v>71</v>
      </c>
      <c r="H1524" t="s">
        <v>35</v>
      </c>
      <c r="I1524" t="s">
        <v>1556</v>
      </c>
      <c r="J1524" t="s">
        <v>1557</v>
      </c>
      <c r="K1524" t="s">
        <v>36</v>
      </c>
      <c r="L1524" t="s">
        <v>33</v>
      </c>
      <c r="O1524" t="s">
        <v>76</v>
      </c>
      <c r="R1524" t="s">
        <v>1558</v>
      </c>
      <c r="S1524">
        <v>80</v>
      </c>
      <c r="T1524" t="s">
        <v>40</v>
      </c>
      <c r="U1524">
        <f>+IF(Tabla1[[#This Row],[MONEDA]]="PEN",Tabla1[[#This Row],[MONTO]],Tabla1[[#This Row],[MONTO]]*3.56)</f>
        <v>80</v>
      </c>
      <c r="V1524" t="s">
        <v>190</v>
      </c>
      <c r="W1524">
        <v>39699</v>
      </c>
      <c r="X1524" t="s">
        <v>81</v>
      </c>
      <c r="Y1524" t="s">
        <v>42</v>
      </c>
      <c r="Z1524" t="s">
        <v>43</v>
      </c>
      <c r="AA1524" t="s">
        <v>1559</v>
      </c>
      <c r="AC1524" t="s">
        <v>1560</v>
      </c>
      <c r="AD1524" t="s">
        <v>1561</v>
      </c>
    </row>
    <row r="1525" spans="1:33" hidden="1" x14ac:dyDescent="0.25">
      <c r="A1525">
        <v>41227</v>
      </c>
      <c r="B1525" t="s">
        <v>32</v>
      </c>
      <c r="C1525">
        <v>1</v>
      </c>
      <c r="D1525" t="s">
        <v>1568</v>
      </c>
      <c r="E1525" t="s">
        <v>70</v>
      </c>
      <c r="F1525" t="s">
        <v>33</v>
      </c>
      <c r="G1525" t="s">
        <v>71</v>
      </c>
      <c r="H1525" t="s">
        <v>35</v>
      </c>
      <c r="I1525" t="s">
        <v>1568</v>
      </c>
      <c r="J1525" t="s">
        <v>1569</v>
      </c>
      <c r="K1525" t="s">
        <v>36</v>
      </c>
      <c r="L1525" t="s">
        <v>33</v>
      </c>
      <c r="O1525" t="s">
        <v>76</v>
      </c>
      <c r="R1525" t="s">
        <v>1570</v>
      </c>
      <c r="S1525">
        <v>30</v>
      </c>
      <c r="T1525" t="s">
        <v>40</v>
      </c>
      <c r="U1525">
        <f>+IF(Tabla1[[#This Row],[MONEDA]]="PEN",Tabla1[[#This Row],[MONTO]],Tabla1[[#This Row],[MONTO]]*3.56)</f>
        <v>30</v>
      </c>
      <c r="V1525" t="s">
        <v>190</v>
      </c>
      <c r="W1525">
        <v>39699</v>
      </c>
      <c r="X1525" t="s">
        <v>81</v>
      </c>
      <c r="Y1525" t="s">
        <v>42</v>
      </c>
      <c r="Z1525" t="s">
        <v>43</v>
      </c>
      <c r="AA1525" t="s">
        <v>1571</v>
      </c>
      <c r="AC1525" t="s">
        <v>1572</v>
      </c>
      <c r="AD1525" t="s">
        <v>1573</v>
      </c>
    </row>
    <row r="1526" spans="1:33" hidden="1" x14ac:dyDescent="0.25">
      <c r="A1526">
        <v>41226</v>
      </c>
      <c r="B1526" t="s">
        <v>32</v>
      </c>
      <c r="C1526">
        <v>1</v>
      </c>
      <c r="D1526" t="s">
        <v>1574</v>
      </c>
      <c r="E1526" t="s">
        <v>70</v>
      </c>
      <c r="F1526" t="s">
        <v>33</v>
      </c>
      <c r="G1526" t="s">
        <v>71</v>
      </c>
      <c r="H1526" t="s">
        <v>35</v>
      </c>
      <c r="I1526" t="s">
        <v>1574</v>
      </c>
      <c r="J1526" t="s">
        <v>1575</v>
      </c>
      <c r="K1526" t="s">
        <v>36</v>
      </c>
      <c r="L1526" t="s">
        <v>33</v>
      </c>
      <c r="O1526" t="s">
        <v>76</v>
      </c>
      <c r="R1526" t="s">
        <v>1576</v>
      </c>
      <c r="S1526">
        <v>15</v>
      </c>
      <c r="T1526" t="s">
        <v>40</v>
      </c>
      <c r="U1526">
        <f>+IF(Tabla1[[#This Row],[MONEDA]]="PEN",Tabla1[[#This Row],[MONTO]],Tabla1[[#This Row],[MONTO]]*3.56)</f>
        <v>15</v>
      </c>
      <c r="V1526" t="s">
        <v>190</v>
      </c>
      <c r="W1526">
        <v>39699</v>
      </c>
      <c r="X1526" t="s">
        <v>81</v>
      </c>
      <c r="Y1526" t="s">
        <v>42</v>
      </c>
      <c r="Z1526" t="s">
        <v>43</v>
      </c>
      <c r="AA1526" t="s">
        <v>1577</v>
      </c>
      <c r="AC1526" t="s">
        <v>1578</v>
      </c>
      <c r="AD1526" t="s">
        <v>1579</v>
      </c>
    </row>
    <row r="1527" spans="1:33" hidden="1" x14ac:dyDescent="0.25">
      <c r="A1527">
        <v>41225</v>
      </c>
      <c r="B1527" t="s">
        <v>32</v>
      </c>
      <c r="C1527">
        <v>1</v>
      </c>
      <c r="D1527" t="s">
        <v>1580</v>
      </c>
      <c r="E1527" t="s">
        <v>70</v>
      </c>
      <c r="F1527" t="s">
        <v>33</v>
      </c>
      <c r="G1527" t="s">
        <v>71</v>
      </c>
      <c r="H1527" t="s">
        <v>35</v>
      </c>
      <c r="I1527" t="s">
        <v>1580</v>
      </c>
      <c r="J1527" t="s">
        <v>1581</v>
      </c>
      <c r="K1527" t="s">
        <v>36</v>
      </c>
      <c r="L1527" t="s">
        <v>33</v>
      </c>
      <c r="O1527" t="s">
        <v>76</v>
      </c>
      <c r="R1527" t="s">
        <v>1582</v>
      </c>
      <c r="S1527">
        <v>12</v>
      </c>
      <c r="T1527" t="s">
        <v>40</v>
      </c>
      <c r="U1527">
        <f>+IF(Tabla1[[#This Row],[MONEDA]]="PEN",Tabla1[[#This Row],[MONTO]],Tabla1[[#This Row],[MONTO]]*3.56)</f>
        <v>12</v>
      </c>
      <c r="V1527" t="s">
        <v>190</v>
      </c>
      <c r="W1527">
        <v>39699</v>
      </c>
      <c r="X1527" t="s">
        <v>81</v>
      </c>
      <c r="Y1527" t="s">
        <v>42</v>
      </c>
      <c r="Z1527" t="s">
        <v>43</v>
      </c>
      <c r="AA1527" t="s">
        <v>1583</v>
      </c>
      <c r="AC1527" t="s">
        <v>1584</v>
      </c>
      <c r="AD1527" t="s">
        <v>1585</v>
      </c>
    </row>
    <row r="1528" spans="1:33" hidden="1" x14ac:dyDescent="0.25">
      <c r="A1528">
        <v>41224</v>
      </c>
      <c r="B1528" t="s">
        <v>32</v>
      </c>
      <c r="C1528">
        <v>1</v>
      </c>
      <c r="D1528" t="s">
        <v>1586</v>
      </c>
      <c r="E1528" t="s">
        <v>70</v>
      </c>
      <c r="F1528" t="s">
        <v>33</v>
      </c>
      <c r="G1528" t="s">
        <v>71</v>
      </c>
      <c r="H1528" t="s">
        <v>35</v>
      </c>
      <c r="I1528" t="s">
        <v>1586</v>
      </c>
      <c r="J1528" t="s">
        <v>1587</v>
      </c>
      <c r="K1528" t="s">
        <v>36</v>
      </c>
      <c r="L1528" t="s">
        <v>33</v>
      </c>
      <c r="O1528" t="s">
        <v>76</v>
      </c>
      <c r="R1528" t="s">
        <v>1588</v>
      </c>
      <c r="S1528">
        <v>30</v>
      </c>
      <c r="T1528" t="s">
        <v>40</v>
      </c>
      <c r="U1528">
        <f>+IF(Tabla1[[#This Row],[MONEDA]]="PEN",Tabla1[[#This Row],[MONTO]],Tabla1[[#This Row],[MONTO]]*3.56)</f>
        <v>30</v>
      </c>
      <c r="V1528" t="s">
        <v>190</v>
      </c>
      <c r="W1528">
        <v>39699</v>
      </c>
      <c r="X1528" t="s">
        <v>81</v>
      </c>
      <c r="Y1528" t="s">
        <v>42</v>
      </c>
      <c r="Z1528" t="s">
        <v>43</v>
      </c>
      <c r="AA1528" t="s">
        <v>1589</v>
      </c>
      <c r="AC1528" t="s">
        <v>1590</v>
      </c>
      <c r="AD1528" t="s">
        <v>1591</v>
      </c>
    </row>
    <row r="1529" spans="1:33" hidden="1" x14ac:dyDescent="0.25">
      <c r="A1529">
        <v>41223</v>
      </c>
      <c r="B1529" t="s">
        <v>32</v>
      </c>
      <c r="C1529">
        <v>1</v>
      </c>
      <c r="D1529" t="s">
        <v>1592</v>
      </c>
      <c r="E1529" t="s">
        <v>70</v>
      </c>
      <c r="F1529" t="s">
        <v>33</v>
      </c>
      <c r="G1529" t="s">
        <v>71</v>
      </c>
      <c r="H1529" t="s">
        <v>35</v>
      </c>
      <c r="I1529" t="s">
        <v>1592</v>
      </c>
      <c r="J1529" t="s">
        <v>1593</v>
      </c>
      <c r="K1529" t="s">
        <v>36</v>
      </c>
      <c r="L1529" t="s">
        <v>33</v>
      </c>
      <c r="O1529" t="s">
        <v>76</v>
      </c>
      <c r="R1529" t="s">
        <v>1594</v>
      </c>
      <c r="S1529">
        <v>35</v>
      </c>
      <c r="T1529" t="s">
        <v>40</v>
      </c>
      <c r="U1529">
        <f>+IF(Tabla1[[#This Row],[MONEDA]]="PEN",Tabla1[[#This Row],[MONTO]],Tabla1[[#This Row],[MONTO]]*3.56)</f>
        <v>35</v>
      </c>
      <c r="V1529" t="s">
        <v>190</v>
      </c>
      <c r="W1529">
        <v>39699</v>
      </c>
      <c r="X1529" t="s">
        <v>81</v>
      </c>
      <c r="Y1529" t="s">
        <v>42</v>
      </c>
      <c r="Z1529" t="s">
        <v>43</v>
      </c>
      <c r="AA1529" t="s">
        <v>1595</v>
      </c>
      <c r="AC1529" t="s">
        <v>1596</v>
      </c>
      <c r="AD1529" t="s">
        <v>1597</v>
      </c>
    </row>
    <row r="1530" spans="1:33" hidden="1" x14ac:dyDescent="0.25">
      <c r="A1530">
        <v>41199</v>
      </c>
      <c r="B1530" t="s">
        <v>32</v>
      </c>
      <c r="C1530">
        <v>1</v>
      </c>
      <c r="D1530" t="s">
        <v>1598</v>
      </c>
      <c r="E1530" t="s">
        <v>70</v>
      </c>
      <c r="F1530" t="s">
        <v>33</v>
      </c>
      <c r="G1530" t="s">
        <v>71</v>
      </c>
      <c r="H1530" t="s">
        <v>35</v>
      </c>
      <c r="I1530" t="s">
        <v>1598</v>
      </c>
      <c r="J1530" t="s">
        <v>1599</v>
      </c>
      <c r="K1530" t="s">
        <v>36</v>
      </c>
      <c r="L1530" t="s">
        <v>33</v>
      </c>
      <c r="O1530" t="s">
        <v>76</v>
      </c>
      <c r="R1530" t="s">
        <v>1600</v>
      </c>
      <c r="S1530">
        <v>130</v>
      </c>
      <c r="T1530" t="s">
        <v>40</v>
      </c>
      <c r="U1530">
        <f>+IF(Tabla1[[#This Row],[MONEDA]]="PEN",Tabla1[[#This Row],[MONTO]],Tabla1[[#This Row],[MONTO]]*3.56)</f>
        <v>130</v>
      </c>
      <c r="V1530" t="s">
        <v>190</v>
      </c>
      <c r="W1530">
        <v>39699</v>
      </c>
      <c r="X1530" t="s">
        <v>81</v>
      </c>
      <c r="Y1530" t="s">
        <v>42</v>
      </c>
      <c r="Z1530" t="s">
        <v>43</v>
      </c>
      <c r="AA1530" t="s">
        <v>1601</v>
      </c>
      <c r="AC1530" t="s">
        <v>1602</v>
      </c>
      <c r="AD1530" t="s">
        <v>1603</v>
      </c>
    </row>
    <row r="1531" spans="1:33" hidden="1" x14ac:dyDescent="0.25">
      <c r="A1531">
        <v>41200</v>
      </c>
      <c r="B1531" t="s">
        <v>32</v>
      </c>
      <c r="C1531">
        <v>1</v>
      </c>
      <c r="D1531" t="s">
        <v>1598</v>
      </c>
      <c r="E1531" t="s">
        <v>70</v>
      </c>
      <c r="F1531" t="s">
        <v>33</v>
      </c>
      <c r="G1531" t="s">
        <v>71</v>
      </c>
      <c r="H1531" t="s">
        <v>35</v>
      </c>
      <c r="I1531" t="s">
        <v>1598</v>
      </c>
      <c r="J1531" t="s">
        <v>1604</v>
      </c>
      <c r="K1531" t="s">
        <v>36</v>
      </c>
      <c r="L1531" t="s">
        <v>33</v>
      </c>
      <c r="O1531" t="s">
        <v>76</v>
      </c>
      <c r="R1531" t="s">
        <v>1605</v>
      </c>
      <c r="S1531">
        <v>50</v>
      </c>
      <c r="T1531" t="s">
        <v>40</v>
      </c>
      <c r="U1531">
        <f>+IF(Tabla1[[#This Row],[MONEDA]]="PEN",Tabla1[[#This Row],[MONTO]],Tabla1[[#This Row],[MONTO]]*3.56)</f>
        <v>50</v>
      </c>
      <c r="V1531" t="s">
        <v>190</v>
      </c>
      <c r="W1531">
        <v>39699</v>
      </c>
      <c r="X1531" t="s">
        <v>81</v>
      </c>
      <c r="Y1531" t="s">
        <v>42</v>
      </c>
      <c r="Z1531" t="s">
        <v>43</v>
      </c>
      <c r="AA1531" t="s">
        <v>1606</v>
      </c>
      <c r="AC1531" t="s">
        <v>1607</v>
      </c>
      <c r="AD1531" t="s">
        <v>1608</v>
      </c>
    </row>
    <row r="1532" spans="1:33" hidden="1" x14ac:dyDescent="0.25">
      <c r="A1532">
        <v>41201</v>
      </c>
      <c r="B1532" t="s">
        <v>32</v>
      </c>
      <c r="C1532">
        <v>1</v>
      </c>
      <c r="D1532" t="s">
        <v>1598</v>
      </c>
      <c r="E1532" t="s">
        <v>70</v>
      </c>
      <c r="F1532" t="s">
        <v>33</v>
      </c>
      <c r="G1532" t="s">
        <v>71</v>
      </c>
      <c r="H1532" t="s">
        <v>35</v>
      </c>
      <c r="I1532" t="s">
        <v>1598</v>
      </c>
      <c r="J1532" t="s">
        <v>1609</v>
      </c>
      <c r="K1532" t="s">
        <v>36</v>
      </c>
      <c r="L1532" t="s">
        <v>33</v>
      </c>
      <c r="O1532" t="s">
        <v>76</v>
      </c>
      <c r="R1532" t="s">
        <v>1610</v>
      </c>
      <c r="S1532">
        <v>69.900000000000006</v>
      </c>
      <c r="T1532" t="s">
        <v>40</v>
      </c>
      <c r="U1532">
        <f>+IF(Tabla1[[#This Row],[MONEDA]]="PEN",Tabla1[[#This Row],[MONTO]],Tabla1[[#This Row],[MONTO]]*3.56)</f>
        <v>69.900000000000006</v>
      </c>
      <c r="V1532" t="s">
        <v>190</v>
      </c>
      <c r="W1532">
        <v>39699</v>
      </c>
      <c r="X1532" t="s">
        <v>81</v>
      </c>
      <c r="Y1532" t="s">
        <v>42</v>
      </c>
      <c r="Z1532" t="s">
        <v>43</v>
      </c>
      <c r="AA1532" t="s">
        <v>1611</v>
      </c>
      <c r="AC1532" t="s">
        <v>1612</v>
      </c>
      <c r="AD1532" t="s">
        <v>1613</v>
      </c>
    </row>
    <row r="1533" spans="1:33" hidden="1" x14ac:dyDescent="0.25">
      <c r="A1533">
        <v>41202</v>
      </c>
      <c r="B1533" t="s">
        <v>32</v>
      </c>
      <c r="C1533">
        <v>1</v>
      </c>
      <c r="D1533" t="s">
        <v>1598</v>
      </c>
      <c r="E1533" t="s">
        <v>70</v>
      </c>
      <c r="F1533" t="s">
        <v>33</v>
      </c>
      <c r="G1533" t="s">
        <v>71</v>
      </c>
      <c r="H1533" t="s">
        <v>35</v>
      </c>
      <c r="I1533" t="s">
        <v>1598</v>
      </c>
      <c r="J1533" t="s">
        <v>1614</v>
      </c>
      <c r="K1533" t="s">
        <v>36</v>
      </c>
      <c r="L1533" t="s">
        <v>33</v>
      </c>
      <c r="O1533" t="s">
        <v>76</v>
      </c>
      <c r="R1533" t="s">
        <v>1615</v>
      </c>
      <c r="S1533">
        <v>15</v>
      </c>
      <c r="T1533" t="s">
        <v>40</v>
      </c>
      <c r="U1533">
        <f>+IF(Tabla1[[#This Row],[MONEDA]]="PEN",Tabla1[[#This Row],[MONTO]],Tabla1[[#This Row],[MONTO]]*3.56)</f>
        <v>15</v>
      </c>
      <c r="V1533" t="s">
        <v>190</v>
      </c>
      <c r="W1533">
        <v>39699</v>
      </c>
      <c r="X1533" t="s">
        <v>81</v>
      </c>
      <c r="Y1533" t="s">
        <v>42</v>
      </c>
      <c r="Z1533" t="s">
        <v>43</v>
      </c>
      <c r="AA1533" t="s">
        <v>1616</v>
      </c>
      <c r="AC1533" t="s">
        <v>1617</v>
      </c>
      <c r="AD1533" t="s">
        <v>1618</v>
      </c>
    </row>
    <row r="1534" spans="1:33" hidden="1" x14ac:dyDescent="0.25">
      <c r="A1534">
        <v>41195</v>
      </c>
      <c r="B1534" t="s">
        <v>32</v>
      </c>
      <c r="C1534">
        <v>1</v>
      </c>
      <c r="D1534" t="s">
        <v>1619</v>
      </c>
      <c r="E1534" t="s">
        <v>70</v>
      </c>
      <c r="F1534" t="s">
        <v>33</v>
      </c>
      <c r="G1534" t="s">
        <v>71</v>
      </c>
      <c r="H1534" t="s">
        <v>35</v>
      </c>
      <c r="I1534" t="s">
        <v>1619</v>
      </c>
      <c r="J1534" t="s">
        <v>1620</v>
      </c>
      <c r="K1534" t="s">
        <v>36</v>
      </c>
      <c r="L1534" t="s">
        <v>33</v>
      </c>
      <c r="O1534" t="s">
        <v>76</v>
      </c>
      <c r="R1534" t="s">
        <v>1621</v>
      </c>
      <c r="S1534">
        <v>45</v>
      </c>
      <c r="T1534" t="s">
        <v>40</v>
      </c>
      <c r="U1534">
        <f>+IF(Tabla1[[#This Row],[MONEDA]]="PEN",Tabla1[[#This Row],[MONTO]],Tabla1[[#This Row],[MONTO]]*3.56)</f>
        <v>45</v>
      </c>
      <c r="V1534" t="s">
        <v>190</v>
      </c>
      <c r="W1534">
        <v>39699</v>
      </c>
      <c r="X1534" t="s">
        <v>81</v>
      </c>
      <c r="Y1534" t="s">
        <v>42</v>
      </c>
      <c r="Z1534" t="s">
        <v>43</v>
      </c>
      <c r="AA1534" t="s">
        <v>1622</v>
      </c>
      <c r="AC1534" t="s">
        <v>1623</v>
      </c>
      <c r="AD1534" t="s">
        <v>1624</v>
      </c>
    </row>
    <row r="1535" spans="1:33" hidden="1" x14ac:dyDescent="0.25">
      <c r="A1535">
        <v>41196</v>
      </c>
      <c r="B1535" t="s">
        <v>32</v>
      </c>
      <c r="C1535">
        <v>1</v>
      </c>
      <c r="D1535" t="s">
        <v>1619</v>
      </c>
      <c r="E1535" t="s">
        <v>70</v>
      </c>
      <c r="F1535" t="s">
        <v>33</v>
      </c>
      <c r="G1535" t="s">
        <v>71</v>
      </c>
      <c r="H1535" t="s">
        <v>35</v>
      </c>
      <c r="I1535" t="s">
        <v>1619</v>
      </c>
      <c r="J1535" t="s">
        <v>1625</v>
      </c>
      <c r="K1535" t="s">
        <v>36</v>
      </c>
      <c r="L1535" t="s">
        <v>33</v>
      </c>
      <c r="O1535" t="s">
        <v>76</v>
      </c>
      <c r="R1535" t="s">
        <v>1626</v>
      </c>
      <c r="S1535">
        <v>39</v>
      </c>
      <c r="T1535" t="s">
        <v>40</v>
      </c>
      <c r="U1535">
        <f>+IF(Tabla1[[#This Row],[MONEDA]]="PEN",Tabla1[[#This Row],[MONTO]],Tabla1[[#This Row],[MONTO]]*3.56)</f>
        <v>39</v>
      </c>
      <c r="V1535" t="s">
        <v>190</v>
      </c>
      <c r="W1535">
        <v>39699</v>
      </c>
      <c r="X1535" t="s">
        <v>81</v>
      </c>
      <c r="Y1535" t="s">
        <v>42</v>
      </c>
      <c r="Z1535" t="s">
        <v>43</v>
      </c>
      <c r="AA1535" t="s">
        <v>1627</v>
      </c>
      <c r="AC1535" t="s">
        <v>1628</v>
      </c>
      <c r="AD1535" t="s">
        <v>1629</v>
      </c>
    </row>
    <row r="1536" spans="1:33" hidden="1" x14ac:dyDescent="0.25">
      <c r="A1536">
        <v>41197</v>
      </c>
      <c r="B1536" t="s">
        <v>32</v>
      </c>
      <c r="C1536">
        <v>1</v>
      </c>
      <c r="D1536" t="s">
        <v>1619</v>
      </c>
      <c r="E1536" t="s">
        <v>70</v>
      </c>
      <c r="F1536" t="s">
        <v>33</v>
      </c>
      <c r="G1536" t="s">
        <v>71</v>
      </c>
      <c r="H1536" t="s">
        <v>35</v>
      </c>
      <c r="I1536" t="s">
        <v>1619</v>
      </c>
      <c r="J1536" t="s">
        <v>1620</v>
      </c>
      <c r="K1536" t="s">
        <v>36</v>
      </c>
      <c r="L1536" t="s">
        <v>33</v>
      </c>
      <c r="O1536" t="s">
        <v>76</v>
      </c>
      <c r="R1536" t="s">
        <v>1630</v>
      </c>
      <c r="S1536">
        <v>24</v>
      </c>
      <c r="T1536" t="s">
        <v>40</v>
      </c>
      <c r="U1536">
        <f>+IF(Tabla1[[#This Row],[MONEDA]]="PEN",Tabla1[[#This Row],[MONTO]],Tabla1[[#This Row],[MONTO]]*3.56)</f>
        <v>24</v>
      </c>
      <c r="V1536" t="s">
        <v>190</v>
      </c>
      <c r="W1536">
        <v>39699</v>
      </c>
      <c r="X1536" t="s">
        <v>81</v>
      </c>
      <c r="Y1536" t="s">
        <v>42</v>
      </c>
      <c r="Z1536" t="s">
        <v>43</v>
      </c>
      <c r="AA1536" t="s">
        <v>1631</v>
      </c>
      <c r="AC1536" t="s">
        <v>1632</v>
      </c>
      <c r="AD1536" t="s">
        <v>1633</v>
      </c>
    </row>
    <row r="1537" spans="1:33" hidden="1" x14ac:dyDescent="0.25">
      <c r="A1537">
        <v>41194</v>
      </c>
      <c r="B1537" t="s">
        <v>32</v>
      </c>
      <c r="C1537">
        <v>1</v>
      </c>
      <c r="D1537" t="s">
        <v>1638</v>
      </c>
      <c r="E1537" t="s">
        <v>70</v>
      </c>
      <c r="F1537" t="s">
        <v>33</v>
      </c>
      <c r="G1537" t="s">
        <v>71</v>
      </c>
      <c r="H1537" t="s">
        <v>35</v>
      </c>
      <c r="I1537" t="s">
        <v>1638</v>
      </c>
      <c r="J1537" t="s">
        <v>1639</v>
      </c>
      <c r="K1537" t="s">
        <v>36</v>
      </c>
      <c r="L1537" t="s">
        <v>33</v>
      </c>
      <c r="O1537" t="s">
        <v>76</v>
      </c>
      <c r="R1537" t="s">
        <v>1640</v>
      </c>
      <c r="S1537">
        <v>75</v>
      </c>
      <c r="T1537" t="s">
        <v>40</v>
      </c>
      <c r="U1537">
        <f>+IF(Tabla1[[#This Row],[MONEDA]]="PEN",Tabla1[[#This Row],[MONTO]],Tabla1[[#This Row],[MONTO]]*3.56)</f>
        <v>75</v>
      </c>
      <c r="V1537" t="s">
        <v>190</v>
      </c>
      <c r="W1537">
        <v>39699</v>
      </c>
      <c r="X1537" t="s">
        <v>81</v>
      </c>
      <c r="Y1537" t="s">
        <v>42</v>
      </c>
      <c r="Z1537" t="s">
        <v>43</v>
      </c>
      <c r="AA1537" t="s">
        <v>1641</v>
      </c>
      <c r="AC1537" t="s">
        <v>1642</v>
      </c>
      <c r="AD1537" t="s">
        <v>1643</v>
      </c>
    </row>
    <row r="1538" spans="1:33" hidden="1" x14ac:dyDescent="0.25">
      <c r="A1538">
        <v>41193</v>
      </c>
      <c r="B1538" t="s">
        <v>32</v>
      </c>
      <c r="C1538">
        <v>1</v>
      </c>
      <c r="D1538" t="s">
        <v>1644</v>
      </c>
      <c r="E1538" t="s">
        <v>70</v>
      </c>
      <c r="F1538" t="s">
        <v>33</v>
      </c>
      <c r="G1538" t="s">
        <v>71</v>
      </c>
      <c r="H1538" t="s">
        <v>35</v>
      </c>
      <c r="I1538" t="s">
        <v>1644</v>
      </c>
      <c r="J1538" t="s">
        <v>1645</v>
      </c>
      <c r="K1538" t="s">
        <v>36</v>
      </c>
      <c r="L1538" t="s">
        <v>33</v>
      </c>
      <c r="O1538" t="s">
        <v>76</v>
      </c>
      <c r="R1538" t="s">
        <v>1646</v>
      </c>
      <c r="S1538">
        <v>40</v>
      </c>
      <c r="T1538" t="s">
        <v>40</v>
      </c>
      <c r="U1538">
        <f>+IF(Tabla1[[#This Row],[MONEDA]]="PEN",Tabla1[[#This Row],[MONTO]],Tabla1[[#This Row],[MONTO]]*3.56)</f>
        <v>40</v>
      </c>
      <c r="V1538" t="s">
        <v>190</v>
      </c>
      <c r="W1538">
        <v>39699</v>
      </c>
      <c r="X1538" t="s">
        <v>81</v>
      </c>
      <c r="Y1538" t="s">
        <v>42</v>
      </c>
      <c r="Z1538" t="s">
        <v>43</v>
      </c>
      <c r="AA1538" t="s">
        <v>1647</v>
      </c>
      <c r="AC1538" t="s">
        <v>1648</v>
      </c>
      <c r="AD1538" t="s">
        <v>1649</v>
      </c>
    </row>
    <row r="1539" spans="1:33" hidden="1" x14ac:dyDescent="0.25">
      <c r="A1539">
        <v>41174</v>
      </c>
      <c r="B1539" t="s">
        <v>32</v>
      </c>
      <c r="C1539">
        <v>6</v>
      </c>
      <c r="D1539" t="s">
        <v>1650</v>
      </c>
      <c r="E1539" t="s">
        <v>70</v>
      </c>
      <c r="F1539" t="s">
        <v>130</v>
      </c>
      <c r="G1539" t="s">
        <v>131</v>
      </c>
      <c r="H1539" t="s">
        <v>132</v>
      </c>
      <c r="I1539" t="s">
        <v>1650</v>
      </c>
      <c r="J1539" t="s">
        <v>1651</v>
      </c>
      <c r="K1539" t="s">
        <v>36</v>
      </c>
      <c r="L1539" t="s">
        <v>33</v>
      </c>
      <c r="R1539" t="s">
        <v>1652</v>
      </c>
      <c r="S1539">
        <v>2958.05</v>
      </c>
      <c r="T1539" t="s">
        <v>40</v>
      </c>
      <c r="U1539">
        <f>+IF(Tabla1[[#This Row],[MONEDA]]="PEN",Tabla1[[#This Row],[MONTO]],Tabla1[[#This Row],[MONTO]]*3.56)</f>
        <v>2958.05</v>
      </c>
      <c r="V1539" t="s">
        <v>190</v>
      </c>
      <c r="W1539">
        <v>41160</v>
      </c>
      <c r="X1539" t="s">
        <v>139</v>
      </c>
      <c r="Y1539" t="s">
        <v>42</v>
      </c>
      <c r="Z1539" t="s">
        <v>511</v>
      </c>
      <c r="AA1539" t="s">
        <v>1653</v>
      </c>
    </row>
    <row r="1540" spans="1:33" hidden="1" x14ac:dyDescent="0.25">
      <c r="A1540">
        <v>40943</v>
      </c>
      <c r="B1540" t="s">
        <v>32</v>
      </c>
      <c r="C1540">
        <v>1</v>
      </c>
      <c r="D1540" t="s">
        <v>1780</v>
      </c>
      <c r="E1540" t="s">
        <v>70</v>
      </c>
      <c r="F1540" t="s">
        <v>33</v>
      </c>
      <c r="G1540" t="s">
        <v>71</v>
      </c>
      <c r="H1540" t="s">
        <v>35</v>
      </c>
      <c r="I1540" t="s">
        <v>1780</v>
      </c>
      <c r="J1540" t="s">
        <v>1780</v>
      </c>
      <c r="K1540" t="s">
        <v>36</v>
      </c>
      <c r="L1540" t="s">
        <v>33</v>
      </c>
      <c r="R1540" t="s">
        <v>1781</v>
      </c>
      <c r="S1540">
        <v>5.2</v>
      </c>
      <c r="T1540" t="s">
        <v>40</v>
      </c>
      <c r="U1540">
        <f>+IF(Tabla1[[#This Row],[MONEDA]]="PEN",Tabla1[[#This Row],[MONTO]],Tabla1[[#This Row],[MONTO]]*3.56)</f>
        <v>5.2</v>
      </c>
      <c r="V1540" t="s">
        <v>190</v>
      </c>
      <c r="W1540">
        <v>38906</v>
      </c>
      <c r="X1540" t="s">
        <v>41</v>
      </c>
      <c r="Y1540" t="s">
        <v>42</v>
      </c>
      <c r="Z1540" t="s">
        <v>43</v>
      </c>
      <c r="AA1540" t="s">
        <v>1782</v>
      </c>
      <c r="AC1540" t="s">
        <v>1783</v>
      </c>
      <c r="AD1540" t="s">
        <v>1784</v>
      </c>
    </row>
    <row r="1541" spans="1:33" x14ac:dyDescent="0.25">
      <c r="A1541">
        <v>40910</v>
      </c>
      <c r="B1541" t="s">
        <v>32</v>
      </c>
      <c r="C1541">
        <v>3</v>
      </c>
      <c r="D1541" t="s">
        <v>1799</v>
      </c>
      <c r="E1541" t="s">
        <v>70</v>
      </c>
      <c r="F1541" t="s">
        <v>130</v>
      </c>
      <c r="G1541" t="s">
        <v>132</v>
      </c>
      <c r="H1541" t="s">
        <v>132</v>
      </c>
      <c r="I1541" t="s">
        <v>1799</v>
      </c>
      <c r="J1541" t="s">
        <v>1799</v>
      </c>
      <c r="K1541" t="s">
        <v>36</v>
      </c>
      <c r="L1541" t="s">
        <v>33</v>
      </c>
      <c r="O1541" t="s">
        <v>1800</v>
      </c>
      <c r="P1541" t="s">
        <v>38</v>
      </c>
      <c r="Q1541" t="s">
        <v>1801</v>
      </c>
      <c r="R1541" t="s">
        <v>510</v>
      </c>
      <c r="S1541">
        <v>1384.94</v>
      </c>
      <c r="T1541" t="s">
        <v>40</v>
      </c>
      <c r="U1541">
        <f>+IF(Tabla1[[#This Row],[MONEDA]]="PEN",Tabla1[[#This Row],[MONTO]],Tabla1[[#This Row],[MONTO]]*3.56)</f>
        <v>1384.94</v>
      </c>
      <c r="X1541" t="s">
        <v>139</v>
      </c>
      <c r="Y1541" t="s">
        <v>42</v>
      </c>
      <c r="Z1541" t="s">
        <v>82</v>
      </c>
      <c r="AA1541" t="s">
        <v>1802</v>
      </c>
      <c r="AB1541" t="s">
        <v>1803</v>
      </c>
      <c r="AC1541" t="s">
        <v>1804</v>
      </c>
      <c r="AE1541">
        <v>1384.94</v>
      </c>
      <c r="AF1541" t="s">
        <v>87</v>
      </c>
      <c r="AG1541" t="s">
        <v>169</v>
      </c>
    </row>
    <row r="1542" spans="1:33" x14ac:dyDescent="0.25">
      <c r="A1542">
        <v>40884</v>
      </c>
      <c r="B1542" t="s">
        <v>32</v>
      </c>
      <c r="C1542">
        <v>3</v>
      </c>
      <c r="D1542" t="s">
        <v>1823</v>
      </c>
      <c r="E1542" t="s">
        <v>70</v>
      </c>
      <c r="F1542" t="s">
        <v>130</v>
      </c>
      <c r="G1542" t="s">
        <v>132</v>
      </c>
      <c r="H1542" t="s">
        <v>132</v>
      </c>
      <c r="I1542" t="s">
        <v>1824</v>
      </c>
      <c r="J1542" t="s">
        <v>1824</v>
      </c>
      <c r="K1542" t="s">
        <v>36</v>
      </c>
      <c r="L1542" t="s">
        <v>33</v>
      </c>
      <c r="O1542" t="s">
        <v>1825</v>
      </c>
      <c r="P1542" t="s">
        <v>38</v>
      </c>
      <c r="Q1542">
        <v>23291272877037</v>
      </c>
      <c r="R1542" t="s">
        <v>510</v>
      </c>
      <c r="S1542">
        <v>11624.77</v>
      </c>
      <c r="T1542" t="s">
        <v>40</v>
      </c>
      <c r="U1542">
        <f>+IF(Tabla1[[#This Row],[MONEDA]]="PEN",Tabla1[[#This Row],[MONTO]],Tabla1[[#This Row],[MONTO]]*3.56)</f>
        <v>11624.77</v>
      </c>
      <c r="X1542" t="s">
        <v>139</v>
      </c>
      <c r="Y1542" t="s">
        <v>42</v>
      </c>
      <c r="Z1542" t="s">
        <v>511</v>
      </c>
      <c r="AA1542" t="s">
        <v>1826</v>
      </c>
      <c r="AB1542" t="s">
        <v>1827</v>
      </c>
      <c r="AC1542" t="s">
        <v>1828</v>
      </c>
      <c r="AE1542">
        <v>11624.77</v>
      </c>
      <c r="AF1542" t="s">
        <v>87</v>
      </c>
      <c r="AG1542" t="s">
        <v>169</v>
      </c>
    </row>
    <row r="1543" spans="1:33" hidden="1" x14ac:dyDescent="0.25">
      <c r="A1543">
        <v>40826</v>
      </c>
      <c r="B1543" t="s">
        <v>32</v>
      </c>
      <c r="C1543">
        <v>1</v>
      </c>
      <c r="D1543" t="s">
        <v>1884</v>
      </c>
      <c r="E1543" t="s">
        <v>70</v>
      </c>
      <c r="F1543" t="s">
        <v>33</v>
      </c>
      <c r="G1543" t="s">
        <v>71</v>
      </c>
      <c r="H1543" t="s">
        <v>35</v>
      </c>
      <c r="I1543" t="s">
        <v>1884</v>
      </c>
      <c r="J1543" t="s">
        <v>1884</v>
      </c>
      <c r="K1543" t="s">
        <v>36</v>
      </c>
      <c r="L1543" t="s">
        <v>33</v>
      </c>
      <c r="R1543" t="s">
        <v>1885</v>
      </c>
      <c r="S1543">
        <v>75</v>
      </c>
      <c r="T1543" t="s">
        <v>40</v>
      </c>
      <c r="U1543">
        <f>+IF(Tabla1[[#This Row],[MONEDA]]="PEN",Tabla1[[#This Row],[MONTO]],Tabla1[[#This Row],[MONTO]]*3.56)</f>
        <v>75</v>
      </c>
      <c r="V1543" t="s">
        <v>190</v>
      </c>
      <c r="W1543">
        <v>38906</v>
      </c>
      <c r="X1543" t="s">
        <v>41</v>
      </c>
      <c r="Y1543" t="s">
        <v>42</v>
      </c>
      <c r="Z1543" t="s">
        <v>43</v>
      </c>
      <c r="AA1543" t="s">
        <v>1886</v>
      </c>
      <c r="AC1543" t="s">
        <v>1887</v>
      </c>
      <c r="AD1543" t="s">
        <v>1888</v>
      </c>
    </row>
    <row r="1544" spans="1:33" hidden="1" x14ac:dyDescent="0.25">
      <c r="A1544">
        <v>40825</v>
      </c>
      <c r="B1544" t="s">
        <v>32</v>
      </c>
      <c r="C1544">
        <v>1</v>
      </c>
      <c r="D1544" t="s">
        <v>1889</v>
      </c>
      <c r="E1544" t="s">
        <v>70</v>
      </c>
      <c r="F1544" t="s">
        <v>33</v>
      </c>
      <c r="G1544" t="s">
        <v>71</v>
      </c>
      <c r="H1544" t="s">
        <v>35</v>
      </c>
      <c r="I1544" t="s">
        <v>1889</v>
      </c>
      <c r="J1544" t="s">
        <v>1890</v>
      </c>
      <c r="K1544" t="s">
        <v>36</v>
      </c>
      <c r="L1544" t="s">
        <v>33</v>
      </c>
      <c r="R1544" t="s">
        <v>1891</v>
      </c>
      <c r="S1544">
        <v>20</v>
      </c>
      <c r="T1544" t="s">
        <v>40</v>
      </c>
      <c r="U1544">
        <f>+IF(Tabla1[[#This Row],[MONEDA]]="PEN",Tabla1[[#This Row],[MONTO]],Tabla1[[#This Row],[MONTO]]*3.56)</f>
        <v>20</v>
      </c>
      <c r="V1544" t="s">
        <v>190</v>
      </c>
      <c r="W1544">
        <v>38906</v>
      </c>
      <c r="X1544" t="s">
        <v>41</v>
      </c>
      <c r="Y1544" t="s">
        <v>42</v>
      </c>
      <c r="Z1544" t="s">
        <v>43</v>
      </c>
      <c r="AA1544" t="s">
        <v>1892</v>
      </c>
      <c r="AC1544" t="s">
        <v>1893</v>
      </c>
      <c r="AD1544" t="s">
        <v>1894</v>
      </c>
    </row>
    <row r="1545" spans="1:33" hidden="1" x14ac:dyDescent="0.25">
      <c r="A1545">
        <v>40823</v>
      </c>
      <c r="B1545" t="s">
        <v>32</v>
      </c>
      <c r="C1545">
        <v>1</v>
      </c>
      <c r="D1545" t="s">
        <v>1895</v>
      </c>
      <c r="E1545" t="s">
        <v>70</v>
      </c>
      <c r="F1545" t="s">
        <v>33</v>
      </c>
      <c r="G1545" t="s">
        <v>71</v>
      </c>
      <c r="H1545" t="s">
        <v>35</v>
      </c>
      <c r="I1545" t="s">
        <v>1895</v>
      </c>
      <c r="J1545" t="s">
        <v>1896</v>
      </c>
      <c r="K1545" t="s">
        <v>36</v>
      </c>
      <c r="L1545" t="s">
        <v>33</v>
      </c>
      <c r="R1545" t="s">
        <v>1897</v>
      </c>
      <c r="S1545">
        <v>17</v>
      </c>
      <c r="T1545" t="s">
        <v>40</v>
      </c>
      <c r="U1545">
        <f>+IF(Tabla1[[#This Row],[MONEDA]]="PEN",Tabla1[[#This Row],[MONTO]],Tabla1[[#This Row],[MONTO]]*3.56)</f>
        <v>17</v>
      </c>
      <c r="V1545" t="s">
        <v>190</v>
      </c>
      <c r="W1545">
        <v>38906</v>
      </c>
      <c r="X1545" t="s">
        <v>41</v>
      </c>
      <c r="Y1545" t="s">
        <v>42</v>
      </c>
      <c r="Z1545" t="s">
        <v>43</v>
      </c>
      <c r="AA1545" t="s">
        <v>1898</v>
      </c>
      <c r="AC1545" t="s">
        <v>1899</v>
      </c>
      <c r="AD1545" t="s">
        <v>1900</v>
      </c>
    </row>
    <row r="1546" spans="1:33" hidden="1" x14ac:dyDescent="0.25">
      <c r="A1546">
        <v>40824</v>
      </c>
      <c r="B1546" t="s">
        <v>32</v>
      </c>
      <c r="C1546">
        <v>1</v>
      </c>
      <c r="D1546" t="s">
        <v>1895</v>
      </c>
      <c r="E1546" t="s">
        <v>70</v>
      </c>
      <c r="F1546" t="s">
        <v>33</v>
      </c>
      <c r="G1546" t="s">
        <v>71</v>
      </c>
      <c r="H1546" t="s">
        <v>35</v>
      </c>
      <c r="I1546" t="s">
        <v>1895</v>
      </c>
      <c r="J1546" t="s">
        <v>1901</v>
      </c>
      <c r="K1546" t="s">
        <v>36</v>
      </c>
      <c r="L1546" t="s">
        <v>33</v>
      </c>
      <c r="R1546" t="s">
        <v>1902</v>
      </c>
      <c r="S1546">
        <v>200</v>
      </c>
      <c r="T1546" t="s">
        <v>40</v>
      </c>
      <c r="U1546">
        <f>+IF(Tabla1[[#This Row],[MONEDA]]="PEN",Tabla1[[#This Row],[MONTO]],Tabla1[[#This Row],[MONTO]]*3.56)</f>
        <v>200</v>
      </c>
      <c r="V1546" t="s">
        <v>190</v>
      </c>
      <c r="W1546">
        <v>38906</v>
      </c>
      <c r="X1546" t="s">
        <v>41</v>
      </c>
      <c r="Y1546" t="s">
        <v>42</v>
      </c>
      <c r="Z1546" t="s">
        <v>43</v>
      </c>
      <c r="AA1546" t="s">
        <v>1903</v>
      </c>
      <c r="AC1546" t="s">
        <v>1904</v>
      </c>
      <c r="AD1546" t="s">
        <v>1905</v>
      </c>
    </row>
    <row r="1547" spans="1:33" hidden="1" x14ac:dyDescent="0.25">
      <c r="A1547">
        <v>40822</v>
      </c>
      <c r="B1547" t="s">
        <v>32</v>
      </c>
      <c r="C1547">
        <v>1</v>
      </c>
      <c r="D1547" t="s">
        <v>1906</v>
      </c>
      <c r="E1547" t="s">
        <v>70</v>
      </c>
      <c r="F1547" t="s">
        <v>33</v>
      </c>
      <c r="G1547" t="s">
        <v>71</v>
      </c>
      <c r="H1547" t="s">
        <v>35</v>
      </c>
      <c r="I1547" t="s">
        <v>1906</v>
      </c>
      <c r="J1547" t="s">
        <v>1907</v>
      </c>
      <c r="K1547" t="s">
        <v>36</v>
      </c>
      <c r="L1547" t="s">
        <v>33</v>
      </c>
      <c r="R1547" t="s">
        <v>1908</v>
      </c>
      <c r="S1547">
        <v>52.2</v>
      </c>
      <c r="T1547" t="s">
        <v>40</v>
      </c>
      <c r="U1547">
        <f>+IF(Tabla1[[#This Row],[MONEDA]]="PEN",Tabla1[[#This Row],[MONTO]],Tabla1[[#This Row],[MONTO]]*3.56)</f>
        <v>52.2</v>
      </c>
      <c r="V1547" t="s">
        <v>190</v>
      </c>
      <c r="W1547">
        <v>38906</v>
      </c>
      <c r="X1547" t="s">
        <v>41</v>
      </c>
      <c r="Y1547" t="s">
        <v>42</v>
      </c>
      <c r="Z1547" t="s">
        <v>43</v>
      </c>
      <c r="AA1547" t="s">
        <v>1909</v>
      </c>
      <c r="AC1547" t="s">
        <v>1910</v>
      </c>
      <c r="AD1547" t="s">
        <v>1911</v>
      </c>
    </row>
    <row r="1548" spans="1:33" hidden="1" x14ac:dyDescent="0.25">
      <c r="A1548">
        <v>40821</v>
      </c>
      <c r="B1548" t="s">
        <v>32</v>
      </c>
      <c r="C1548">
        <v>1</v>
      </c>
      <c r="D1548" t="s">
        <v>1912</v>
      </c>
      <c r="E1548" t="s">
        <v>70</v>
      </c>
      <c r="F1548" t="s">
        <v>33</v>
      </c>
      <c r="G1548" t="s">
        <v>71</v>
      </c>
      <c r="H1548" t="s">
        <v>35</v>
      </c>
      <c r="I1548" t="s">
        <v>1912</v>
      </c>
      <c r="J1548" t="s">
        <v>1913</v>
      </c>
      <c r="K1548" t="s">
        <v>36</v>
      </c>
      <c r="L1548" t="s">
        <v>33</v>
      </c>
      <c r="R1548" t="s">
        <v>1914</v>
      </c>
      <c r="S1548">
        <v>38</v>
      </c>
      <c r="T1548" t="s">
        <v>40</v>
      </c>
      <c r="U1548">
        <f>+IF(Tabla1[[#This Row],[MONEDA]]="PEN",Tabla1[[#This Row],[MONTO]],Tabla1[[#This Row],[MONTO]]*3.56)</f>
        <v>38</v>
      </c>
      <c r="V1548" t="s">
        <v>190</v>
      </c>
      <c r="W1548">
        <v>38906</v>
      </c>
      <c r="X1548" t="s">
        <v>41</v>
      </c>
      <c r="Y1548" t="s">
        <v>42</v>
      </c>
      <c r="Z1548" t="s">
        <v>43</v>
      </c>
      <c r="AA1548" t="s">
        <v>1915</v>
      </c>
      <c r="AC1548" t="s">
        <v>1916</v>
      </c>
      <c r="AD1548" t="s">
        <v>1917</v>
      </c>
    </row>
    <row r="1549" spans="1:33" hidden="1" x14ac:dyDescent="0.25">
      <c r="A1549">
        <v>40820</v>
      </c>
      <c r="B1549" t="s">
        <v>32</v>
      </c>
      <c r="C1549">
        <v>1</v>
      </c>
      <c r="D1549" t="s">
        <v>1918</v>
      </c>
      <c r="E1549" t="s">
        <v>70</v>
      </c>
      <c r="F1549" t="s">
        <v>33</v>
      </c>
      <c r="G1549" t="s">
        <v>71</v>
      </c>
      <c r="H1549" t="s">
        <v>35</v>
      </c>
      <c r="I1549" t="s">
        <v>1918</v>
      </c>
      <c r="J1549" t="s">
        <v>1919</v>
      </c>
      <c r="K1549" t="s">
        <v>36</v>
      </c>
      <c r="L1549" t="s">
        <v>33</v>
      </c>
      <c r="R1549" t="s">
        <v>1920</v>
      </c>
      <c r="S1549">
        <v>28</v>
      </c>
      <c r="T1549" t="s">
        <v>40</v>
      </c>
      <c r="U1549">
        <f>+IF(Tabla1[[#This Row],[MONEDA]]="PEN",Tabla1[[#This Row],[MONTO]],Tabla1[[#This Row],[MONTO]]*3.56)</f>
        <v>28</v>
      </c>
      <c r="V1549" t="s">
        <v>190</v>
      </c>
      <c r="W1549">
        <v>38906</v>
      </c>
      <c r="X1549" t="s">
        <v>41</v>
      </c>
      <c r="Y1549" t="s">
        <v>42</v>
      </c>
      <c r="Z1549" t="s">
        <v>43</v>
      </c>
      <c r="AA1549" t="s">
        <v>1921</v>
      </c>
      <c r="AC1549" t="s">
        <v>1922</v>
      </c>
      <c r="AD1549" t="s">
        <v>1923</v>
      </c>
    </row>
    <row r="1550" spans="1:33" hidden="1" x14ac:dyDescent="0.25">
      <c r="A1550">
        <v>40819</v>
      </c>
      <c r="B1550" t="s">
        <v>32</v>
      </c>
      <c r="C1550">
        <v>1</v>
      </c>
      <c r="D1550" t="s">
        <v>1924</v>
      </c>
      <c r="E1550" t="s">
        <v>70</v>
      </c>
      <c r="F1550" t="s">
        <v>33</v>
      </c>
      <c r="G1550" t="s">
        <v>71</v>
      </c>
      <c r="H1550" t="s">
        <v>35</v>
      </c>
      <c r="I1550" t="s">
        <v>1924</v>
      </c>
      <c r="J1550" t="s">
        <v>1925</v>
      </c>
      <c r="K1550" t="s">
        <v>36</v>
      </c>
      <c r="L1550" t="s">
        <v>33</v>
      </c>
      <c r="R1550" t="s">
        <v>1926</v>
      </c>
      <c r="S1550">
        <v>14</v>
      </c>
      <c r="T1550" t="s">
        <v>40</v>
      </c>
      <c r="U1550">
        <f>+IF(Tabla1[[#This Row],[MONEDA]]="PEN",Tabla1[[#This Row],[MONTO]],Tabla1[[#This Row],[MONTO]]*3.56)</f>
        <v>14</v>
      </c>
      <c r="V1550" t="s">
        <v>190</v>
      </c>
      <c r="W1550">
        <v>38906</v>
      </c>
      <c r="X1550" t="s">
        <v>41</v>
      </c>
      <c r="Y1550" t="s">
        <v>42</v>
      </c>
      <c r="Z1550" t="s">
        <v>43</v>
      </c>
      <c r="AA1550" t="s">
        <v>1927</v>
      </c>
      <c r="AC1550" t="s">
        <v>1928</v>
      </c>
      <c r="AD1550" t="s">
        <v>1929</v>
      </c>
    </row>
    <row r="1551" spans="1:33" hidden="1" x14ac:dyDescent="0.25">
      <c r="A1551">
        <v>40818</v>
      </c>
      <c r="B1551" t="s">
        <v>32</v>
      </c>
      <c r="C1551">
        <v>1</v>
      </c>
      <c r="D1551" t="s">
        <v>1930</v>
      </c>
      <c r="E1551" t="s">
        <v>70</v>
      </c>
      <c r="F1551" t="s">
        <v>33</v>
      </c>
      <c r="G1551" t="s">
        <v>71</v>
      </c>
      <c r="H1551" t="s">
        <v>35</v>
      </c>
      <c r="I1551" t="s">
        <v>1930</v>
      </c>
      <c r="J1551" t="s">
        <v>1931</v>
      </c>
      <c r="K1551" t="s">
        <v>36</v>
      </c>
      <c r="L1551" t="s">
        <v>33</v>
      </c>
      <c r="R1551" t="s">
        <v>1932</v>
      </c>
      <c r="S1551">
        <v>50</v>
      </c>
      <c r="T1551" t="s">
        <v>40</v>
      </c>
      <c r="U1551">
        <f>+IF(Tabla1[[#This Row],[MONEDA]]="PEN",Tabla1[[#This Row],[MONTO]],Tabla1[[#This Row],[MONTO]]*3.56)</f>
        <v>50</v>
      </c>
      <c r="V1551" t="s">
        <v>190</v>
      </c>
      <c r="W1551">
        <v>38906</v>
      </c>
      <c r="X1551" t="s">
        <v>41</v>
      </c>
      <c r="Y1551" t="s">
        <v>42</v>
      </c>
      <c r="Z1551" t="s">
        <v>43</v>
      </c>
      <c r="AA1551" t="s">
        <v>1933</v>
      </c>
      <c r="AC1551" t="s">
        <v>1934</v>
      </c>
      <c r="AD1551" t="s">
        <v>1935</v>
      </c>
    </row>
    <row r="1552" spans="1:33" hidden="1" x14ac:dyDescent="0.25">
      <c r="A1552">
        <v>40816</v>
      </c>
      <c r="B1552" t="s">
        <v>32</v>
      </c>
      <c r="C1552">
        <v>1</v>
      </c>
      <c r="D1552" t="s">
        <v>1936</v>
      </c>
      <c r="E1552" t="s">
        <v>70</v>
      </c>
      <c r="F1552" t="s">
        <v>33</v>
      </c>
      <c r="G1552" t="s">
        <v>71</v>
      </c>
      <c r="H1552" t="s">
        <v>35</v>
      </c>
      <c r="I1552" t="s">
        <v>1936</v>
      </c>
      <c r="J1552" t="s">
        <v>1952</v>
      </c>
      <c r="K1552" t="s">
        <v>36</v>
      </c>
      <c r="L1552" t="s">
        <v>33</v>
      </c>
      <c r="R1552" t="s">
        <v>1953</v>
      </c>
      <c r="S1552">
        <v>500</v>
      </c>
      <c r="T1552" t="s">
        <v>40</v>
      </c>
      <c r="U1552">
        <f>+IF(Tabla1[[#This Row],[MONEDA]]="PEN",Tabla1[[#This Row],[MONTO]],Tabla1[[#This Row],[MONTO]]*3.56)</f>
        <v>500</v>
      </c>
      <c r="V1552" t="s">
        <v>190</v>
      </c>
      <c r="W1552">
        <v>38906</v>
      </c>
      <c r="X1552" t="s">
        <v>41</v>
      </c>
      <c r="Y1552" t="s">
        <v>42</v>
      </c>
      <c r="Z1552" t="s">
        <v>43</v>
      </c>
      <c r="AA1552" t="s">
        <v>1954</v>
      </c>
      <c r="AC1552" t="s">
        <v>1955</v>
      </c>
      <c r="AD1552" t="s">
        <v>1956</v>
      </c>
    </row>
    <row r="1553" spans="1:30" hidden="1" x14ac:dyDescent="0.25">
      <c r="A1553">
        <v>40817</v>
      </c>
      <c r="B1553" t="s">
        <v>32</v>
      </c>
      <c r="C1553">
        <v>1</v>
      </c>
      <c r="D1553" t="s">
        <v>1936</v>
      </c>
      <c r="E1553" t="s">
        <v>70</v>
      </c>
      <c r="F1553" t="s">
        <v>33</v>
      </c>
      <c r="G1553" t="s">
        <v>71</v>
      </c>
      <c r="H1553" t="s">
        <v>35</v>
      </c>
      <c r="I1553" t="s">
        <v>1936</v>
      </c>
      <c r="J1553" t="s">
        <v>1957</v>
      </c>
      <c r="K1553" t="s">
        <v>36</v>
      </c>
      <c r="L1553" t="s">
        <v>33</v>
      </c>
      <c r="R1553" t="s">
        <v>1958</v>
      </c>
      <c r="S1553">
        <v>60</v>
      </c>
      <c r="T1553" t="s">
        <v>40</v>
      </c>
      <c r="U1553">
        <f>+IF(Tabla1[[#This Row],[MONEDA]]="PEN",Tabla1[[#This Row],[MONTO]],Tabla1[[#This Row],[MONTO]]*3.56)</f>
        <v>60</v>
      </c>
      <c r="V1553" t="s">
        <v>190</v>
      </c>
      <c r="W1553">
        <v>38906</v>
      </c>
      <c r="X1553" t="s">
        <v>41</v>
      </c>
      <c r="Y1553" t="s">
        <v>42</v>
      </c>
      <c r="Z1553" t="s">
        <v>43</v>
      </c>
      <c r="AA1553" t="s">
        <v>1959</v>
      </c>
      <c r="AC1553" t="s">
        <v>1960</v>
      </c>
      <c r="AD1553" t="s">
        <v>1961</v>
      </c>
    </row>
    <row r="1554" spans="1:30" hidden="1" x14ac:dyDescent="0.25">
      <c r="A1554">
        <v>40812</v>
      </c>
      <c r="B1554" t="s">
        <v>32</v>
      </c>
      <c r="C1554">
        <v>1</v>
      </c>
      <c r="D1554" t="s">
        <v>1962</v>
      </c>
      <c r="E1554" t="s">
        <v>70</v>
      </c>
      <c r="F1554" t="s">
        <v>33</v>
      </c>
      <c r="G1554" t="s">
        <v>71</v>
      </c>
      <c r="H1554" t="s">
        <v>35</v>
      </c>
      <c r="I1554" t="s">
        <v>1962</v>
      </c>
      <c r="J1554" t="s">
        <v>1963</v>
      </c>
      <c r="K1554" t="s">
        <v>36</v>
      </c>
      <c r="L1554" t="s">
        <v>33</v>
      </c>
      <c r="R1554" t="s">
        <v>1964</v>
      </c>
      <c r="S1554">
        <v>7.8</v>
      </c>
      <c r="T1554" t="s">
        <v>40</v>
      </c>
      <c r="U1554">
        <f>+IF(Tabla1[[#This Row],[MONEDA]]="PEN",Tabla1[[#This Row],[MONTO]],Tabla1[[#This Row],[MONTO]]*3.56)</f>
        <v>7.8</v>
      </c>
      <c r="V1554" t="s">
        <v>190</v>
      </c>
      <c r="W1554">
        <v>38906</v>
      </c>
      <c r="X1554" t="s">
        <v>41</v>
      </c>
      <c r="Y1554" t="s">
        <v>42</v>
      </c>
      <c r="Z1554" t="s">
        <v>43</v>
      </c>
      <c r="AA1554" t="s">
        <v>1965</v>
      </c>
      <c r="AC1554" t="s">
        <v>1966</v>
      </c>
      <c r="AD1554" t="s">
        <v>1967</v>
      </c>
    </row>
    <row r="1555" spans="1:30" hidden="1" x14ac:dyDescent="0.25">
      <c r="A1555">
        <v>40702</v>
      </c>
      <c r="B1555" t="s">
        <v>32</v>
      </c>
      <c r="C1555">
        <v>1</v>
      </c>
      <c r="D1555" t="s">
        <v>1975</v>
      </c>
      <c r="E1555" t="s">
        <v>70</v>
      </c>
      <c r="F1555" t="s">
        <v>33</v>
      </c>
      <c r="G1555" t="s">
        <v>71</v>
      </c>
      <c r="H1555" t="s">
        <v>35</v>
      </c>
      <c r="I1555" t="s">
        <v>1975</v>
      </c>
      <c r="J1555" t="s">
        <v>1976</v>
      </c>
      <c r="K1555" t="s">
        <v>36</v>
      </c>
      <c r="L1555" t="s">
        <v>33</v>
      </c>
      <c r="O1555" t="s">
        <v>76</v>
      </c>
      <c r="R1555" t="s">
        <v>1977</v>
      </c>
      <c r="S1555">
        <v>55</v>
      </c>
      <c r="T1555" t="s">
        <v>40</v>
      </c>
      <c r="U1555">
        <f>+IF(Tabla1[[#This Row],[MONEDA]]="PEN",Tabla1[[#This Row],[MONTO]],Tabla1[[#This Row],[MONTO]]*3.56)</f>
        <v>55</v>
      </c>
      <c r="V1555" t="s">
        <v>190</v>
      </c>
      <c r="W1555">
        <v>38906</v>
      </c>
      <c r="X1555" t="s">
        <v>81</v>
      </c>
      <c r="Y1555" t="s">
        <v>42</v>
      </c>
      <c r="Z1555" t="s">
        <v>43</v>
      </c>
      <c r="AA1555" t="s">
        <v>1978</v>
      </c>
      <c r="AC1555" t="s">
        <v>1979</v>
      </c>
      <c r="AD1555" t="s">
        <v>1980</v>
      </c>
    </row>
    <row r="1556" spans="1:30" hidden="1" x14ac:dyDescent="0.25">
      <c r="A1556">
        <v>40704</v>
      </c>
      <c r="B1556" t="s">
        <v>32</v>
      </c>
      <c r="C1556">
        <v>1</v>
      </c>
      <c r="D1556" t="s">
        <v>1975</v>
      </c>
      <c r="E1556" t="s">
        <v>70</v>
      </c>
      <c r="F1556" t="s">
        <v>33</v>
      </c>
      <c r="G1556" t="s">
        <v>71</v>
      </c>
      <c r="H1556" t="s">
        <v>35</v>
      </c>
      <c r="I1556" t="s">
        <v>1975</v>
      </c>
      <c r="J1556" t="s">
        <v>1986</v>
      </c>
      <c r="K1556" t="s">
        <v>36</v>
      </c>
      <c r="L1556" t="s">
        <v>33</v>
      </c>
      <c r="R1556" t="s">
        <v>1987</v>
      </c>
      <c r="S1556">
        <v>87.8</v>
      </c>
      <c r="T1556" t="s">
        <v>40</v>
      </c>
      <c r="U1556">
        <f>+IF(Tabla1[[#This Row],[MONEDA]]="PEN",Tabla1[[#This Row],[MONTO]],Tabla1[[#This Row],[MONTO]]*3.56)</f>
        <v>87.8</v>
      </c>
      <c r="V1556" t="s">
        <v>190</v>
      </c>
      <c r="W1556">
        <v>38906</v>
      </c>
      <c r="X1556" t="s">
        <v>41</v>
      </c>
      <c r="Y1556" t="s">
        <v>42</v>
      </c>
      <c r="Z1556" t="s">
        <v>43</v>
      </c>
      <c r="AA1556" t="s">
        <v>1988</v>
      </c>
      <c r="AC1556" t="s">
        <v>1989</v>
      </c>
      <c r="AD1556" t="s">
        <v>1990</v>
      </c>
    </row>
    <row r="1557" spans="1:30" hidden="1" x14ac:dyDescent="0.25">
      <c r="A1557">
        <v>40705</v>
      </c>
      <c r="B1557" t="s">
        <v>32</v>
      </c>
      <c r="C1557">
        <v>1</v>
      </c>
      <c r="D1557" t="s">
        <v>1975</v>
      </c>
      <c r="E1557" t="s">
        <v>70</v>
      </c>
      <c r="F1557" t="s">
        <v>33</v>
      </c>
      <c r="G1557" t="s">
        <v>71</v>
      </c>
      <c r="H1557" t="s">
        <v>35</v>
      </c>
      <c r="I1557" t="s">
        <v>1975</v>
      </c>
      <c r="J1557" t="s">
        <v>1991</v>
      </c>
      <c r="K1557" t="s">
        <v>36</v>
      </c>
      <c r="L1557" t="s">
        <v>33</v>
      </c>
      <c r="R1557" t="s">
        <v>1992</v>
      </c>
      <c r="S1557">
        <v>27</v>
      </c>
      <c r="T1557" t="s">
        <v>40</v>
      </c>
      <c r="U1557">
        <f>+IF(Tabla1[[#This Row],[MONEDA]]="PEN",Tabla1[[#This Row],[MONTO]],Tabla1[[#This Row],[MONTO]]*3.56)</f>
        <v>27</v>
      </c>
      <c r="V1557" t="s">
        <v>190</v>
      </c>
      <c r="W1557">
        <v>38906</v>
      </c>
      <c r="X1557" t="s">
        <v>41</v>
      </c>
      <c r="Y1557" t="s">
        <v>42</v>
      </c>
      <c r="Z1557" t="s">
        <v>43</v>
      </c>
      <c r="AA1557" t="s">
        <v>1993</v>
      </c>
      <c r="AC1557" t="s">
        <v>1994</v>
      </c>
      <c r="AD1557" t="s">
        <v>1995</v>
      </c>
    </row>
    <row r="1558" spans="1:30" hidden="1" x14ac:dyDescent="0.25">
      <c r="A1558">
        <v>40706</v>
      </c>
      <c r="B1558" t="s">
        <v>32</v>
      </c>
      <c r="C1558">
        <v>1</v>
      </c>
      <c r="D1558" t="s">
        <v>1975</v>
      </c>
      <c r="E1558" t="s">
        <v>70</v>
      </c>
      <c r="F1558" t="s">
        <v>33</v>
      </c>
      <c r="G1558" t="s">
        <v>71</v>
      </c>
      <c r="H1558" t="s">
        <v>35</v>
      </c>
      <c r="I1558" t="s">
        <v>1975</v>
      </c>
      <c r="J1558" t="s">
        <v>1996</v>
      </c>
      <c r="K1558" t="s">
        <v>36</v>
      </c>
      <c r="L1558" t="s">
        <v>33</v>
      </c>
      <c r="R1558" t="s">
        <v>1997</v>
      </c>
      <c r="S1558">
        <v>73</v>
      </c>
      <c r="T1558" t="s">
        <v>40</v>
      </c>
      <c r="U1558">
        <f>+IF(Tabla1[[#This Row],[MONEDA]]="PEN",Tabla1[[#This Row],[MONTO]],Tabla1[[#This Row],[MONTO]]*3.56)</f>
        <v>73</v>
      </c>
      <c r="V1558" t="s">
        <v>190</v>
      </c>
      <c r="W1558">
        <v>38906</v>
      </c>
      <c r="X1558" t="s">
        <v>41</v>
      </c>
      <c r="Y1558" t="s">
        <v>42</v>
      </c>
      <c r="Z1558" t="s">
        <v>43</v>
      </c>
      <c r="AA1558" t="s">
        <v>1998</v>
      </c>
      <c r="AC1558" t="s">
        <v>1999</v>
      </c>
      <c r="AD1558" t="s">
        <v>2000</v>
      </c>
    </row>
    <row r="1559" spans="1:30" hidden="1" x14ac:dyDescent="0.25">
      <c r="A1559">
        <v>40707</v>
      </c>
      <c r="B1559" t="s">
        <v>32</v>
      </c>
      <c r="C1559">
        <v>1</v>
      </c>
      <c r="D1559" t="s">
        <v>1975</v>
      </c>
      <c r="E1559" t="s">
        <v>70</v>
      </c>
      <c r="F1559" t="s">
        <v>33</v>
      </c>
      <c r="G1559" t="s">
        <v>71</v>
      </c>
      <c r="H1559" t="s">
        <v>35</v>
      </c>
      <c r="I1559" t="s">
        <v>1975</v>
      </c>
      <c r="J1559" t="s">
        <v>2001</v>
      </c>
      <c r="K1559" t="s">
        <v>36</v>
      </c>
      <c r="L1559" t="s">
        <v>33</v>
      </c>
      <c r="R1559" t="s">
        <v>2002</v>
      </c>
      <c r="S1559">
        <v>60</v>
      </c>
      <c r="T1559" t="s">
        <v>40</v>
      </c>
      <c r="U1559">
        <f>+IF(Tabla1[[#This Row],[MONEDA]]="PEN",Tabla1[[#This Row],[MONTO]],Tabla1[[#This Row],[MONTO]]*3.56)</f>
        <v>60</v>
      </c>
      <c r="V1559" t="s">
        <v>190</v>
      </c>
      <c r="W1559">
        <v>38906</v>
      </c>
      <c r="X1559" t="s">
        <v>41</v>
      </c>
      <c r="Y1559" t="s">
        <v>42</v>
      </c>
      <c r="Z1559" t="s">
        <v>43</v>
      </c>
      <c r="AA1559" t="s">
        <v>2003</v>
      </c>
      <c r="AC1559" t="s">
        <v>2004</v>
      </c>
      <c r="AD1559" t="s">
        <v>2005</v>
      </c>
    </row>
    <row r="1560" spans="1:30" hidden="1" x14ac:dyDescent="0.25">
      <c r="A1560">
        <v>40513</v>
      </c>
      <c r="B1560" t="s">
        <v>32</v>
      </c>
      <c r="C1560">
        <v>6</v>
      </c>
      <c r="D1560" t="s">
        <v>2100</v>
      </c>
      <c r="E1560" t="s">
        <v>70</v>
      </c>
      <c r="F1560" t="s">
        <v>130</v>
      </c>
      <c r="G1560" t="s">
        <v>131</v>
      </c>
      <c r="H1560" t="s">
        <v>132</v>
      </c>
      <c r="I1560" t="s">
        <v>2100</v>
      </c>
      <c r="J1560" t="s">
        <v>2101</v>
      </c>
      <c r="K1560" t="s">
        <v>36</v>
      </c>
      <c r="L1560" t="s">
        <v>33</v>
      </c>
      <c r="R1560" t="s">
        <v>2102</v>
      </c>
      <c r="S1560">
        <v>2010.58</v>
      </c>
      <c r="T1560" t="s">
        <v>40</v>
      </c>
      <c r="U1560">
        <f>+IF(Tabla1[[#This Row],[MONEDA]]="PEN",Tabla1[[#This Row],[MONTO]],Tabla1[[#This Row],[MONTO]]*3.56)</f>
        <v>2010.58</v>
      </c>
      <c r="V1560" t="s">
        <v>190</v>
      </c>
      <c r="W1560">
        <v>40179</v>
      </c>
      <c r="X1560" t="s">
        <v>139</v>
      </c>
      <c r="Y1560" t="s">
        <v>51</v>
      </c>
      <c r="Z1560" t="s">
        <v>43</v>
      </c>
      <c r="AA1560" t="s">
        <v>2103</v>
      </c>
    </row>
    <row r="1561" spans="1:30" hidden="1" x14ac:dyDescent="0.25">
      <c r="A1561">
        <v>40488</v>
      </c>
      <c r="B1561" t="s">
        <v>32</v>
      </c>
      <c r="C1561">
        <v>6</v>
      </c>
      <c r="D1561" t="s">
        <v>2104</v>
      </c>
      <c r="E1561" t="s">
        <v>70</v>
      </c>
      <c r="F1561" t="s">
        <v>130</v>
      </c>
      <c r="G1561" t="s">
        <v>131</v>
      </c>
      <c r="H1561" t="s">
        <v>132</v>
      </c>
      <c r="I1561" t="s">
        <v>2104</v>
      </c>
      <c r="J1561" t="s">
        <v>2105</v>
      </c>
      <c r="K1561" t="s">
        <v>36</v>
      </c>
      <c r="L1561" t="s">
        <v>33</v>
      </c>
      <c r="R1561" t="s">
        <v>2106</v>
      </c>
      <c r="S1561">
        <v>4189.38</v>
      </c>
      <c r="T1561" t="s">
        <v>40</v>
      </c>
      <c r="U1561">
        <f>+IF(Tabla1[[#This Row],[MONEDA]]="PEN",Tabla1[[#This Row],[MONTO]],Tabla1[[#This Row],[MONTO]]*3.56)</f>
        <v>4189.38</v>
      </c>
      <c r="V1561" t="s">
        <v>190</v>
      </c>
      <c r="W1561">
        <v>40178</v>
      </c>
      <c r="X1561" t="s">
        <v>139</v>
      </c>
      <c r="Y1561" t="s">
        <v>51</v>
      </c>
      <c r="Z1561" t="s">
        <v>43</v>
      </c>
      <c r="AA1561" t="s">
        <v>2107</v>
      </c>
    </row>
    <row r="1562" spans="1:30" hidden="1" x14ac:dyDescent="0.25">
      <c r="A1562">
        <v>40474</v>
      </c>
      <c r="B1562" t="s">
        <v>32</v>
      </c>
      <c r="C1562">
        <v>6</v>
      </c>
      <c r="D1562" t="s">
        <v>2108</v>
      </c>
      <c r="E1562" t="s">
        <v>70</v>
      </c>
      <c r="F1562" t="s">
        <v>130</v>
      </c>
      <c r="G1562" t="s">
        <v>131</v>
      </c>
      <c r="H1562" t="s">
        <v>132</v>
      </c>
      <c r="I1562" t="s">
        <v>2108</v>
      </c>
      <c r="J1562" t="s">
        <v>2109</v>
      </c>
      <c r="K1562" t="s">
        <v>36</v>
      </c>
      <c r="L1562" t="s">
        <v>33</v>
      </c>
      <c r="R1562" t="s">
        <v>2110</v>
      </c>
      <c r="S1562">
        <v>9999.86</v>
      </c>
      <c r="T1562" t="s">
        <v>40</v>
      </c>
      <c r="U1562">
        <f>+IF(Tabla1[[#This Row],[MONEDA]]="PEN",Tabla1[[#This Row],[MONTO]],Tabla1[[#This Row],[MONTO]]*3.56)</f>
        <v>9999.86</v>
      </c>
      <c r="V1562" t="s">
        <v>190</v>
      </c>
      <c r="W1562">
        <v>40177</v>
      </c>
      <c r="X1562" t="s">
        <v>139</v>
      </c>
      <c r="Y1562" t="s">
        <v>51</v>
      </c>
      <c r="Z1562" t="s">
        <v>43</v>
      </c>
      <c r="AA1562" t="s">
        <v>2111</v>
      </c>
    </row>
    <row r="1563" spans="1:30" hidden="1" x14ac:dyDescent="0.25">
      <c r="A1563">
        <v>40450</v>
      </c>
      <c r="B1563" t="s">
        <v>32</v>
      </c>
      <c r="C1563">
        <v>6</v>
      </c>
      <c r="D1563" t="s">
        <v>2112</v>
      </c>
      <c r="E1563" t="s">
        <v>70</v>
      </c>
      <c r="F1563" t="s">
        <v>130</v>
      </c>
      <c r="G1563" t="s">
        <v>131</v>
      </c>
      <c r="H1563" t="s">
        <v>132</v>
      </c>
      <c r="I1563" t="s">
        <v>2112</v>
      </c>
      <c r="J1563" t="s">
        <v>2113</v>
      </c>
      <c r="K1563" t="s">
        <v>36</v>
      </c>
      <c r="L1563" t="s">
        <v>33</v>
      </c>
      <c r="R1563" t="s">
        <v>2114</v>
      </c>
      <c r="S1563">
        <v>10528.35</v>
      </c>
      <c r="T1563" t="s">
        <v>40</v>
      </c>
      <c r="U1563">
        <f>+IF(Tabla1[[#This Row],[MONEDA]]="PEN",Tabla1[[#This Row],[MONTO]],Tabla1[[#This Row],[MONTO]]*3.56)</f>
        <v>10528.35</v>
      </c>
      <c r="V1563" t="s">
        <v>190</v>
      </c>
      <c r="W1563">
        <v>40176</v>
      </c>
      <c r="X1563" t="s">
        <v>139</v>
      </c>
      <c r="Y1563" t="s">
        <v>51</v>
      </c>
      <c r="Z1563" t="s">
        <v>43</v>
      </c>
      <c r="AA1563" t="s">
        <v>2115</v>
      </c>
    </row>
    <row r="1564" spans="1:30" hidden="1" x14ac:dyDescent="0.25">
      <c r="A1564">
        <v>40422</v>
      </c>
      <c r="B1564" t="s">
        <v>32</v>
      </c>
      <c r="C1564">
        <v>6</v>
      </c>
      <c r="D1564" t="s">
        <v>2116</v>
      </c>
      <c r="E1564" t="s">
        <v>70</v>
      </c>
      <c r="F1564" t="s">
        <v>130</v>
      </c>
      <c r="G1564" t="s">
        <v>131</v>
      </c>
      <c r="H1564" t="s">
        <v>132</v>
      </c>
      <c r="I1564" t="s">
        <v>2116</v>
      </c>
      <c r="J1564" t="s">
        <v>2117</v>
      </c>
      <c r="K1564" t="s">
        <v>36</v>
      </c>
      <c r="L1564" t="s">
        <v>33</v>
      </c>
      <c r="R1564" t="s">
        <v>2118</v>
      </c>
      <c r="S1564">
        <v>100781.85</v>
      </c>
      <c r="T1564" t="s">
        <v>40</v>
      </c>
      <c r="U1564">
        <f>+IF(Tabla1[[#This Row],[MONEDA]]="PEN",Tabla1[[#This Row],[MONTO]],Tabla1[[#This Row],[MONTO]]*3.56)</f>
        <v>100781.85</v>
      </c>
      <c r="V1564" t="s">
        <v>190</v>
      </c>
      <c r="W1564">
        <v>40175</v>
      </c>
      <c r="X1564" t="s">
        <v>139</v>
      </c>
      <c r="Y1564" t="s">
        <v>51</v>
      </c>
      <c r="Z1564" t="s">
        <v>43</v>
      </c>
      <c r="AA1564" t="s">
        <v>2119</v>
      </c>
    </row>
    <row r="1565" spans="1:30" hidden="1" x14ac:dyDescent="0.25">
      <c r="A1565">
        <v>40389</v>
      </c>
      <c r="B1565" t="s">
        <v>32</v>
      </c>
      <c r="C1565">
        <v>6</v>
      </c>
      <c r="D1565" t="s">
        <v>2120</v>
      </c>
      <c r="E1565" t="s">
        <v>70</v>
      </c>
      <c r="F1565" t="s">
        <v>130</v>
      </c>
      <c r="G1565" t="s">
        <v>131</v>
      </c>
      <c r="H1565" t="s">
        <v>132</v>
      </c>
      <c r="I1565" t="s">
        <v>2120</v>
      </c>
      <c r="J1565" t="s">
        <v>2121</v>
      </c>
      <c r="K1565" t="s">
        <v>36</v>
      </c>
      <c r="L1565" t="s">
        <v>33</v>
      </c>
      <c r="R1565" t="s">
        <v>2122</v>
      </c>
      <c r="S1565">
        <v>923.36</v>
      </c>
      <c r="T1565" t="s">
        <v>40</v>
      </c>
      <c r="U1565">
        <f>+IF(Tabla1[[#This Row],[MONEDA]]="PEN",Tabla1[[#This Row],[MONTO]],Tabla1[[#This Row],[MONTO]]*3.56)</f>
        <v>923.36</v>
      </c>
      <c r="V1565" t="s">
        <v>190</v>
      </c>
      <c r="W1565">
        <v>40172</v>
      </c>
      <c r="X1565" t="s">
        <v>139</v>
      </c>
      <c r="Y1565" t="s">
        <v>51</v>
      </c>
      <c r="Z1565" t="s">
        <v>43</v>
      </c>
      <c r="AA1565" t="s">
        <v>2123</v>
      </c>
    </row>
    <row r="1566" spans="1:30" hidden="1" x14ac:dyDescent="0.25">
      <c r="A1566">
        <v>40355</v>
      </c>
      <c r="B1566" t="s">
        <v>32</v>
      </c>
      <c r="C1566">
        <v>6</v>
      </c>
      <c r="D1566" t="s">
        <v>2132</v>
      </c>
      <c r="E1566" t="s">
        <v>70</v>
      </c>
      <c r="F1566" t="s">
        <v>130</v>
      </c>
      <c r="G1566" t="s">
        <v>131</v>
      </c>
      <c r="H1566" t="s">
        <v>132</v>
      </c>
      <c r="I1566" t="s">
        <v>2132</v>
      </c>
      <c r="J1566" t="s">
        <v>2133</v>
      </c>
      <c r="K1566" t="s">
        <v>36</v>
      </c>
      <c r="L1566" t="s">
        <v>33</v>
      </c>
      <c r="R1566" t="s">
        <v>2134</v>
      </c>
      <c r="S1566">
        <v>738.09</v>
      </c>
      <c r="T1566" t="s">
        <v>40</v>
      </c>
      <c r="U1566">
        <f>+IF(Tabla1[[#This Row],[MONEDA]]="PEN",Tabla1[[#This Row],[MONTO]],Tabla1[[#This Row],[MONTO]]*3.56)</f>
        <v>738.09</v>
      </c>
      <c r="V1566" t="s">
        <v>190</v>
      </c>
      <c r="W1566">
        <v>40171</v>
      </c>
      <c r="X1566" t="s">
        <v>139</v>
      </c>
      <c r="Y1566" t="s">
        <v>51</v>
      </c>
      <c r="Z1566" t="s">
        <v>43</v>
      </c>
      <c r="AA1566" t="s">
        <v>2135</v>
      </c>
    </row>
    <row r="1567" spans="1:30" hidden="1" x14ac:dyDescent="0.25">
      <c r="A1567">
        <v>40335</v>
      </c>
      <c r="B1567" t="s">
        <v>32</v>
      </c>
      <c r="C1567">
        <v>1</v>
      </c>
      <c r="D1567" t="s">
        <v>2136</v>
      </c>
      <c r="E1567" t="s">
        <v>70</v>
      </c>
      <c r="F1567" t="s">
        <v>130</v>
      </c>
      <c r="G1567" t="s">
        <v>131</v>
      </c>
      <c r="H1567" t="s">
        <v>132</v>
      </c>
      <c r="I1567" t="s">
        <v>2136</v>
      </c>
      <c r="J1567" t="s">
        <v>2137</v>
      </c>
      <c r="K1567" t="s">
        <v>36</v>
      </c>
      <c r="L1567" t="s">
        <v>33</v>
      </c>
      <c r="R1567" t="s">
        <v>2138</v>
      </c>
      <c r="S1567">
        <v>7197.64</v>
      </c>
      <c r="T1567" t="s">
        <v>40</v>
      </c>
      <c r="U1567">
        <f>+IF(Tabla1[[#This Row],[MONEDA]]="PEN",Tabla1[[#This Row],[MONTO]],Tabla1[[#This Row],[MONTO]]*3.56)</f>
        <v>7197.64</v>
      </c>
      <c r="V1567" t="s">
        <v>190</v>
      </c>
      <c r="W1567">
        <v>40170</v>
      </c>
      <c r="X1567" t="s">
        <v>139</v>
      </c>
      <c r="Y1567" t="s">
        <v>51</v>
      </c>
      <c r="Z1567" t="s">
        <v>43</v>
      </c>
      <c r="AA1567" t="s">
        <v>2139</v>
      </c>
    </row>
    <row r="1568" spans="1:30" hidden="1" x14ac:dyDescent="0.25">
      <c r="A1568">
        <v>40320</v>
      </c>
      <c r="B1568" t="s">
        <v>32</v>
      </c>
      <c r="C1568">
        <v>6</v>
      </c>
      <c r="D1568" t="s">
        <v>2140</v>
      </c>
      <c r="E1568" t="s">
        <v>70</v>
      </c>
      <c r="F1568" t="s">
        <v>130</v>
      </c>
      <c r="G1568" t="s">
        <v>131</v>
      </c>
      <c r="H1568" t="s">
        <v>132</v>
      </c>
      <c r="I1568" t="s">
        <v>2140</v>
      </c>
      <c r="J1568" t="s">
        <v>2141</v>
      </c>
      <c r="K1568" t="s">
        <v>36</v>
      </c>
      <c r="L1568" t="s">
        <v>33</v>
      </c>
      <c r="R1568" t="s">
        <v>2142</v>
      </c>
      <c r="S1568">
        <v>46.774999999999999</v>
      </c>
      <c r="T1568" t="s">
        <v>40</v>
      </c>
      <c r="U1568">
        <f>+IF(Tabla1[[#This Row],[MONEDA]]="PEN",Tabla1[[#This Row],[MONTO]],Tabla1[[#This Row],[MONTO]]*3.56)</f>
        <v>46.774999999999999</v>
      </c>
      <c r="V1568" t="s">
        <v>190</v>
      </c>
      <c r="W1568">
        <v>37806</v>
      </c>
      <c r="X1568" t="s">
        <v>139</v>
      </c>
      <c r="Y1568" t="s">
        <v>42</v>
      </c>
      <c r="Z1568" t="s">
        <v>43</v>
      </c>
      <c r="AA1568" t="s">
        <v>2143</v>
      </c>
    </row>
    <row r="1569" spans="1:33" x14ac:dyDescent="0.25">
      <c r="A1569">
        <v>39599</v>
      </c>
      <c r="B1569" t="s">
        <v>32</v>
      </c>
      <c r="C1569">
        <v>1</v>
      </c>
      <c r="D1569" t="s">
        <v>2250</v>
      </c>
      <c r="E1569" t="s">
        <v>70</v>
      </c>
      <c r="F1569" t="s">
        <v>157</v>
      </c>
      <c r="G1569" t="s">
        <v>158</v>
      </c>
      <c r="H1569" t="s">
        <v>159</v>
      </c>
      <c r="I1569" t="s">
        <v>2251</v>
      </c>
      <c r="J1569" t="s">
        <v>2252</v>
      </c>
      <c r="K1569" t="s">
        <v>36</v>
      </c>
      <c r="L1569" t="s">
        <v>33</v>
      </c>
      <c r="M1569">
        <v>20533151435</v>
      </c>
      <c r="P1569" t="s">
        <v>38</v>
      </c>
      <c r="Q1569" t="s">
        <v>163</v>
      </c>
      <c r="R1569" t="s">
        <v>2253</v>
      </c>
      <c r="S1569">
        <v>601.79999999999995</v>
      </c>
      <c r="T1569" t="s">
        <v>40</v>
      </c>
      <c r="U1569">
        <f>+IF(Tabla1[[#This Row],[MONEDA]]="PEN",Tabla1[[#This Row],[MONTO]],Tabla1[[#This Row],[MONTO]]*3.56)</f>
        <v>601.79999999999995</v>
      </c>
      <c r="X1569" t="s">
        <v>41</v>
      </c>
      <c r="Y1569" t="s">
        <v>42</v>
      </c>
      <c r="Z1569" t="s">
        <v>82</v>
      </c>
      <c r="AA1569" t="s">
        <v>2254</v>
      </c>
      <c r="AB1569" t="s">
        <v>2255</v>
      </c>
      <c r="AC1569" t="s">
        <v>2256</v>
      </c>
      <c r="AD1569" t="s">
        <v>2257</v>
      </c>
      <c r="AE1569">
        <v>601.79999999999995</v>
      </c>
      <c r="AF1569" t="s">
        <v>87</v>
      </c>
      <c r="AG1569" t="s">
        <v>169</v>
      </c>
    </row>
    <row r="1570" spans="1:33" hidden="1" x14ac:dyDescent="0.25">
      <c r="A1570">
        <v>39687</v>
      </c>
      <c r="B1570" t="s">
        <v>32</v>
      </c>
      <c r="C1570">
        <v>2</v>
      </c>
      <c r="D1570" t="s">
        <v>2258</v>
      </c>
      <c r="E1570" t="s">
        <v>70</v>
      </c>
      <c r="F1570" t="s">
        <v>33</v>
      </c>
      <c r="G1570" t="s">
        <v>71</v>
      </c>
      <c r="H1570" t="s">
        <v>35</v>
      </c>
      <c r="I1570" t="s">
        <v>2258</v>
      </c>
      <c r="J1570" t="s">
        <v>2258</v>
      </c>
      <c r="K1570" t="s">
        <v>36</v>
      </c>
      <c r="L1570" t="s">
        <v>33</v>
      </c>
      <c r="R1570" t="s">
        <v>1229</v>
      </c>
      <c r="S1570">
        <v>1.2</v>
      </c>
      <c r="T1570" t="s">
        <v>40</v>
      </c>
      <c r="U1570">
        <f>+IF(Tabla1[[#This Row],[MONEDA]]="PEN",Tabla1[[#This Row],[MONTO]],Tabla1[[#This Row],[MONTO]]*3.56)</f>
        <v>1.2</v>
      </c>
      <c r="V1570" t="s">
        <v>190</v>
      </c>
      <c r="W1570">
        <v>36370</v>
      </c>
      <c r="X1570" t="s">
        <v>41</v>
      </c>
      <c r="Y1570" t="s">
        <v>42</v>
      </c>
      <c r="Z1570" t="s">
        <v>43</v>
      </c>
      <c r="AA1570" t="s">
        <v>2259</v>
      </c>
      <c r="AC1570" t="s">
        <v>2260</v>
      </c>
      <c r="AD1570" t="s">
        <v>2261</v>
      </c>
    </row>
    <row r="1571" spans="1:33" hidden="1" x14ac:dyDescent="0.25">
      <c r="A1571">
        <v>39404</v>
      </c>
      <c r="B1571" t="s">
        <v>32</v>
      </c>
      <c r="C1571">
        <v>2</v>
      </c>
      <c r="D1571" t="s">
        <v>2326</v>
      </c>
      <c r="E1571" t="s">
        <v>70</v>
      </c>
      <c r="F1571" t="s">
        <v>33</v>
      </c>
      <c r="G1571" t="s">
        <v>71</v>
      </c>
      <c r="H1571" t="s">
        <v>35</v>
      </c>
      <c r="I1571" t="s">
        <v>2326</v>
      </c>
      <c r="J1571" t="s">
        <v>2327</v>
      </c>
      <c r="K1571" t="s">
        <v>36</v>
      </c>
      <c r="L1571" t="s">
        <v>33</v>
      </c>
      <c r="R1571" t="s">
        <v>2328</v>
      </c>
      <c r="S1571">
        <v>60</v>
      </c>
      <c r="T1571" t="s">
        <v>40</v>
      </c>
      <c r="U1571">
        <f>+IF(Tabla1[[#This Row],[MONEDA]]="PEN",Tabla1[[#This Row],[MONTO]],Tabla1[[#This Row],[MONTO]]*3.56)</f>
        <v>60</v>
      </c>
      <c r="V1571" t="s">
        <v>190</v>
      </c>
      <c r="W1571">
        <v>36370</v>
      </c>
      <c r="X1571" t="s">
        <v>41</v>
      </c>
      <c r="Y1571" t="s">
        <v>42</v>
      </c>
      <c r="Z1571" t="s">
        <v>43</v>
      </c>
      <c r="AA1571" t="s">
        <v>2329</v>
      </c>
      <c r="AC1571" t="s">
        <v>2330</v>
      </c>
      <c r="AD1571" t="s">
        <v>2331</v>
      </c>
    </row>
    <row r="1572" spans="1:33" hidden="1" x14ac:dyDescent="0.25">
      <c r="A1572">
        <v>39405</v>
      </c>
      <c r="B1572" t="s">
        <v>32</v>
      </c>
      <c r="C1572">
        <v>2</v>
      </c>
      <c r="D1572" t="s">
        <v>2326</v>
      </c>
      <c r="E1572" t="s">
        <v>70</v>
      </c>
      <c r="F1572" t="s">
        <v>33</v>
      </c>
      <c r="G1572" t="s">
        <v>71</v>
      </c>
      <c r="H1572" t="s">
        <v>35</v>
      </c>
      <c r="I1572" t="s">
        <v>2326</v>
      </c>
      <c r="J1572" t="s">
        <v>2332</v>
      </c>
      <c r="K1572" t="s">
        <v>36</v>
      </c>
      <c r="L1572" t="s">
        <v>33</v>
      </c>
      <c r="R1572" t="s">
        <v>2333</v>
      </c>
      <c r="S1572">
        <v>100</v>
      </c>
      <c r="T1572" t="s">
        <v>40</v>
      </c>
      <c r="U1572">
        <f>+IF(Tabla1[[#This Row],[MONEDA]]="PEN",Tabla1[[#This Row],[MONTO]],Tabla1[[#This Row],[MONTO]]*3.56)</f>
        <v>100</v>
      </c>
      <c r="V1572" t="s">
        <v>190</v>
      </c>
      <c r="W1572">
        <v>36370</v>
      </c>
      <c r="X1572" t="s">
        <v>41</v>
      </c>
      <c r="Y1572" t="s">
        <v>42</v>
      </c>
      <c r="Z1572" t="s">
        <v>43</v>
      </c>
      <c r="AA1572" t="s">
        <v>2334</v>
      </c>
      <c r="AC1572" t="s">
        <v>2335</v>
      </c>
      <c r="AD1572" t="s">
        <v>2336</v>
      </c>
    </row>
    <row r="1573" spans="1:33" hidden="1" x14ac:dyDescent="0.25">
      <c r="A1573">
        <v>39403</v>
      </c>
      <c r="B1573" t="s">
        <v>32</v>
      </c>
      <c r="C1573">
        <v>2</v>
      </c>
      <c r="D1573" t="s">
        <v>2337</v>
      </c>
      <c r="E1573" t="s">
        <v>70</v>
      </c>
      <c r="F1573" t="s">
        <v>33</v>
      </c>
      <c r="G1573" t="s">
        <v>71</v>
      </c>
      <c r="H1573" t="s">
        <v>35</v>
      </c>
      <c r="I1573" t="s">
        <v>2337</v>
      </c>
      <c r="J1573" t="s">
        <v>2338</v>
      </c>
      <c r="K1573" t="s">
        <v>36</v>
      </c>
      <c r="L1573" t="s">
        <v>33</v>
      </c>
      <c r="R1573" t="s">
        <v>2339</v>
      </c>
      <c r="S1573">
        <v>125</v>
      </c>
      <c r="T1573" t="s">
        <v>40</v>
      </c>
      <c r="U1573">
        <f>+IF(Tabla1[[#This Row],[MONEDA]]="PEN",Tabla1[[#This Row],[MONTO]],Tabla1[[#This Row],[MONTO]]*3.56)</f>
        <v>125</v>
      </c>
      <c r="V1573" t="s">
        <v>190</v>
      </c>
      <c r="W1573">
        <v>36370</v>
      </c>
      <c r="X1573" t="s">
        <v>41</v>
      </c>
      <c r="Y1573" t="s">
        <v>42</v>
      </c>
      <c r="Z1573" t="s">
        <v>43</v>
      </c>
      <c r="AA1573" t="s">
        <v>2340</v>
      </c>
      <c r="AC1573" t="s">
        <v>2341</v>
      </c>
      <c r="AD1573" t="s">
        <v>2342</v>
      </c>
    </row>
    <row r="1574" spans="1:33" hidden="1" x14ac:dyDescent="0.25">
      <c r="A1574">
        <v>39401</v>
      </c>
      <c r="B1574" t="s">
        <v>32</v>
      </c>
      <c r="C1574">
        <v>2</v>
      </c>
      <c r="D1574" t="s">
        <v>2343</v>
      </c>
      <c r="E1574" t="s">
        <v>70</v>
      </c>
      <c r="F1574" t="s">
        <v>33</v>
      </c>
      <c r="G1574" t="s">
        <v>71</v>
      </c>
      <c r="H1574" t="s">
        <v>35</v>
      </c>
      <c r="I1574" t="s">
        <v>2343</v>
      </c>
      <c r="J1574" t="s">
        <v>2344</v>
      </c>
      <c r="K1574" t="s">
        <v>36</v>
      </c>
      <c r="L1574" t="s">
        <v>33</v>
      </c>
      <c r="R1574" t="s">
        <v>2345</v>
      </c>
      <c r="S1574">
        <v>130</v>
      </c>
      <c r="T1574" t="s">
        <v>40</v>
      </c>
      <c r="U1574">
        <f>+IF(Tabla1[[#This Row],[MONEDA]]="PEN",Tabla1[[#This Row],[MONTO]],Tabla1[[#This Row],[MONTO]]*3.56)</f>
        <v>130</v>
      </c>
      <c r="V1574" t="s">
        <v>190</v>
      </c>
      <c r="W1574">
        <v>36370</v>
      </c>
      <c r="X1574" t="s">
        <v>41</v>
      </c>
      <c r="Y1574" t="s">
        <v>42</v>
      </c>
      <c r="Z1574" t="s">
        <v>43</v>
      </c>
      <c r="AA1574" t="s">
        <v>2346</v>
      </c>
      <c r="AC1574" t="s">
        <v>2347</v>
      </c>
      <c r="AD1574" t="s">
        <v>2348</v>
      </c>
    </row>
    <row r="1575" spans="1:33" hidden="1" x14ac:dyDescent="0.25">
      <c r="A1575">
        <v>39402</v>
      </c>
      <c r="B1575" t="s">
        <v>32</v>
      </c>
      <c r="C1575">
        <v>2</v>
      </c>
      <c r="D1575" t="s">
        <v>2343</v>
      </c>
      <c r="E1575" t="s">
        <v>70</v>
      </c>
      <c r="F1575" t="s">
        <v>33</v>
      </c>
      <c r="G1575" t="s">
        <v>71</v>
      </c>
      <c r="H1575" t="s">
        <v>35</v>
      </c>
      <c r="I1575" t="s">
        <v>2343</v>
      </c>
      <c r="J1575" t="s">
        <v>2349</v>
      </c>
      <c r="K1575" t="s">
        <v>36</v>
      </c>
      <c r="L1575" t="s">
        <v>33</v>
      </c>
      <c r="R1575" t="s">
        <v>2350</v>
      </c>
      <c r="S1575">
        <v>416</v>
      </c>
      <c r="T1575" t="s">
        <v>40</v>
      </c>
      <c r="U1575">
        <f>+IF(Tabla1[[#This Row],[MONEDA]]="PEN",Tabla1[[#This Row],[MONTO]],Tabla1[[#This Row],[MONTO]]*3.56)</f>
        <v>416</v>
      </c>
      <c r="V1575" t="s">
        <v>190</v>
      </c>
      <c r="W1575">
        <v>36370</v>
      </c>
      <c r="X1575" t="s">
        <v>41</v>
      </c>
      <c r="Y1575" t="s">
        <v>42</v>
      </c>
      <c r="Z1575" t="s">
        <v>43</v>
      </c>
      <c r="AA1575" t="s">
        <v>2351</v>
      </c>
      <c r="AC1575" t="s">
        <v>2352</v>
      </c>
      <c r="AD1575" t="s">
        <v>2353</v>
      </c>
    </row>
    <row r="1576" spans="1:33" hidden="1" x14ac:dyDescent="0.25">
      <c r="A1576">
        <v>39369</v>
      </c>
      <c r="B1576" t="s">
        <v>32</v>
      </c>
      <c r="C1576">
        <v>2</v>
      </c>
      <c r="D1576" t="s">
        <v>2354</v>
      </c>
      <c r="E1576" t="s">
        <v>70</v>
      </c>
      <c r="F1576" t="s">
        <v>33</v>
      </c>
      <c r="G1576" t="s">
        <v>71</v>
      </c>
      <c r="H1576" t="s">
        <v>35</v>
      </c>
      <c r="I1576" t="s">
        <v>2354</v>
      </c>
      <c r="J1576" t="s">
        <v>2355</v>
      </c>
      <c r="K1576" t="s">
        <v>36</v>
      </c>
      <c r="L1576" t="s">
        <v>33</v>
      </c>
      <c r="R1576" t="s">
        <v>2356</v>
      </c>
      <c r="S1576">
        <v>55</v>
      </c>
      <c r="T1576" t="s">
        <v>40</v>
      </c>
      <c r="U1576">
        <f>+IF(Tabla1[[#This Row],[MONEDA]]="PEN",Tabla1[[#This Row],[MONTO]],Tabla1[[#This Row],[MONTO]]*3.56)</f>
        <v>55</v>
      </c>
      <c r="V1576" t="s">
        <v>190</v>
      </c>
      <c r="W1576">
        <v>36370</v>
      </c>
      <c r="X1576" t="s">
        <v>41</v>
      </c>
      <c r="Y1576" t="s">
        <v>42</v>
      </c>
      <c r="Z1576" t="s">
        <v>43</v>
      </c>
      <c r="AA1576" t="s">
        <v>2357</v>
      </c>
      <c r="AC1576" t="s">
        <v>2358</v>
      </c>
      <c r="AD1576" t="s">
        <v>2359</v>
      </c>
    </row>
    <row r="1577" spans="1:33" hidden="1" x14ac:dyDescent="0.25">
      <c r="A1577">
        <v>39370</v>
      </c>
      <c r="B1577" t="s">
        <v>32</v>
      </c>
      <c r="C1577">
        <v>2</v>
      </c>
      <c r="D1577" t="s">
        <v>2354</v>
      </c>
      <c r="E1577" t="s">
        <v>70</v>
      </c>
      <c r="F1577" t="s">
        <v>33</v>
      </c>
      <c r="G1577" t="s">
        <v>71</v>
      </c>
      <c r="H1577" t="s">
        <v>35</v>
      </c>
      <c r="I1577" t="s">
        <v>2354</v>
      </c>
      <c r="J1577" t="s">
        <v>2360</v>
      </c>
      <c r="K1577" t="s">
        <v>36</v>
      </c>
      <c r="L1577" t="s">
        <v>33</v>
      </c>
      <c r="R1577" t="s">
        <v>2361</v>
      </c>
      <c r="S1577">
        <v>60</v>
      </c>
      <c r="T1577" t="s">
        <v>40</v>
      </c>
      <c r="U1577">
        <f>+IF(Tabla1[[#This Row],[MONEDA]]="PEN",Tabla1[[#This Row],[MONTO]],Tabla1[[#This Row],[MONTO]]*3.56)</f>
        <v>60</v>
      </c>
      <c r="V1577" t="s">
        <v>190</v>
      </c>
      <c r="W1577">
        <v>36370</v>
      </c>
      <c r="X1577" t="s">
        <v>41</v>
      </c>
      <c r="Y1577" t="s">
        <v>42</v>
      </c>
      <c r="Z1577" t="s">
        <v>43</v>
      </c>
      <c r="AA1577" t="s">
        <v>2362</v>
      </c>
      <c r="AC1577" t="s">
        <v>2363</v>
      </c>
      <c r="AD1577" t="s">
        <v>2364</v>
      </c>
    </row>
    <row r="1578" spans="1:33" hidden="1" x14ac:dyDescent="0.25">
      <c r="A1578">
        <v>39371</v>
      </c>
      <c r="B1578" t="s">
        <v>32</v>
      </c>
      <c r="C1578">
        <v>2</v>
      </c>
      <c r="D1578" t="s">
        <v>2354</v>
      </c>
      <c r="E1578" t="s">
        <v>70</v>
      </c>
      <c r="F1578" t="s">
        <v>33</v>
      </c>
      <c r="G1578" t="s">
        <v>71</v>
      </c>
      <c r="H1578" t="s">
        <v>35</v>
      </c>
      <c r="I1578" t="s">
        <v>2354</v>
      </c>
      <c r="J1578" t="s">
        <v>2365</v>
      </c>
      <c r="K1578" t="s">
        <v>36</v>
      </c>
      <c r="L1578" t="s">
        <v>33</v>
      </c>
      <c r="R1578" t="s">
        <v>2366</v>
      </c>
      <c r="S1578">
        <v>50</v>
      </c>
      <c r="T1578" t="s">
        <v>40</v>
      </c>
      <c r="U1578">
        <f>+IF(Tabla1[[#This Row],[MONEDA]]="PEN",Tabla1[[#This Row],[MONTO]],Tabla1[[#This Row],[MONTO]]*3.56)</f>
        <v>50</v>
      </c>
      <c r="V1578" t="s">
        <v>190</v>
      </c>
      <c r="W1578">
        <v>36370</v>
      </c>
      <c r="X1578" t="s">
        <v>41</v>
      </c>
      <c r="Y1578" t="s">
        <v>42</v>
      </c>
      <c r="Z1578" t="s">
        <v>43</v>
      </c>
      <c r="AA1578" t="s">
        <v>2367</v>
      </c>
      <c r="AC1578" t="s">
        <v>2368</v>
      </c>
      <c r="AD1578" t="s">
        <v>2369</v>
      </c>
    </row>
    <row r="1579" spans="1:33" hidden="1" x14ac:dyDescent="0.25">
      <c r="A1579">
        <v>39368</v>
      </c>
      <c r="B1579" t="s">
        <v>32</v>
      </c>
      <c r="C1579">
        <v>2</v>
      </c>
      <c r="D1579" t="s">
        <v>2370</v>
      </c>
      <c r="E1579" t="s">
        <v>70</v>
      </c>
      <c r="F1579" t="s">
        <v>33</v>
      </c>
      <c r="G1579" t="s">
        <v>71</v>
      </c>
      <c r="H1579" t="s">
        <v>35</v>
      </c>
      <c r="I1579" t="s">
        <v>2370</v>
      </c>
      <c r="J1579" t="s">
        <v>2371</v>
      </c>
      <c r="K1579" t="s">
        <v>36</v>
      </c>
      <c r="L1579" t="s">
        <v>33</v>
      </c>
      <c r="R1579" t="s">
        <v>2372</v>
      </c>
      <c r="S1579">
        <v>30</v>
      </c>
      <c r="T1579" t="s">
        <v>40</v>
      </c>
      <c r="U1579">
        <f>+IF(Tabla1[[#This Row],[MONEDA]]="PEN",Tabla1[[#This Row],[MONTO]],Tabla1[[#This Row],[MONTO]]*3.56)</f>
        <v>30</v>
      </c>
      <c r="V1579" t="s">
        <v>190</v>
      </c>
      <c r="W1579">
        <v>36370</v>
      </c>
      <c r="X1579" t="s">
        <v>41</v>
      </c>
      <c r="Y1579" t="s">
        <v>42</v>
      </c>
      <c r="Z1579" t="s">
        <v>43</v>
      </c>
      <c r="AA1579" t="s">
        <v>2373</v>
      </c>
      <c r="AC1579" t="s">
        <v>2374</v>
      </c>
      <c r="AD1579" t="s">
        <v>2375</v>
      </c>
    </row>
    <row r="1580" spans="1:33" hidden="1" x14ac:dyDescent="0.25">
      <c r="A1580">
        <v>39364</v>
      </c>
      <c r="B1580" t="s">
        <v>32</v>
      </c>
      <c r="C1580">
        <v>2</v>
      </c>
      <c r="D1580" t="s">
        <v>2376</v>
      </c>
      <c r="E1580" t="s">
        <v>70</v>
      </c>
      <c r="F1580" t="s">
        <v>33</v>
      </c>
      <c r="G1580" t="s">
        <v>71</v>
      </c>
      <c r="H1580" t="s">
        <v>35</v>
      </c>
      <c r="I1580" t="s">
        <v>2376</v>
      </c>
      <c r="J1580" t="s">
        <v>2377</v>
      </c>
      <c r="K1580" t="s">
        <v>36</v>
      </c>
      <c r="L1580" t="s">
        <v>33</v>
      </c>
      <c r="R1580" t="s">
        <v>2378</v>
      </c>
      <c r="S1580">
        <v>65</v>
      </c>
      <c r="T1580" t="s">
        <v>40</v>
      </c>
      <c r="U1580">
        <f>+IF(Tabla1[[#This Row],[MONEDA]]="PEN",Tabla1[[#This Row],[MONTO]],Tabla1[[#This Row],[MONTO]]*3.56)</f>
        <v>65</v>
      </c>
      <c r="V1580" t="s">
        <v>190</v>
      </c>
      <c r="W1580">
        <v>36370</v>
      </c>
      <c r="X1580" t="s">
        <v>41</v>
      </c>
      <c r="Y1580" t="s">
        <v>42</v>
      </c>
      <c r="Z1580" t="s">
        <v>43</v>
      </c>
      <c r="AA1580" t="s">
        <v>2379</v>
      </c>
      <c r="AC1580" t="s">
        <v>2380</v>
      </c>
      <c r="AD1580" t="s">
        <v>2381</v>
      </c>
    </row>
    <row r="1581" spans="1:33" hidden="1" x14ac:dyDescent="0.25">
      <c r="A1581">
        <v>39365</v>
      </c>
      <c r="B1581" t="s">
        <v>32</v>
      </c>
      <c r="C1581">
        <v>2</v>
      </c>
      <c r="D1581" t="s">
        <v>2376</v>
      </c>
      <c r="E1581" t="s">
        <v>70</v>
      </c>
      <c r="F1581" t="s">
        <v>33</v>
      </c>
      <c r="G1581" t="s">
        <v>71</v>
      </c>
      <c r="H1581" t="s">
        <v>35</v>
      </c>
      <c r="I1581" t="s">
        <v>2376</v>
      </c>
      <c r="J1581" t="s">
        <v>2382</v>
      </c>
      <c r="K1581" t="s">
        <v>36</v>
      </c>
      <c r="L1581" t="s">
        <v>33</v>
      </c>
      <c r="R1581" t="s">
        <v>2383</v>
      </c>
      <c r="S1581">
        <v>50</v>
      </c>
      <c r="T1581" t="s">
        <v>40</v>
      </c>
      <c r="U1581">
        <f>+IF(Tabla1[[#This Row],[MONEDA]]="PEN",Tabla1[[#This Row],[MONTO]],Tabla1[[#This Row],[MONTO]]*3.56)</f>
        <v>50</v>
      </c>
      <c r="V1581" t="s">
        <v>190</v>
      </c>
      <c r="W1581">
        <v>36370</v>
      </c>
      <c r="X1581" t="s">
        <v>41</v>
      </c>
      <c r="Y1581" t="s">
        <v>42</v>
      </c>
      <c r="Z1581" t="s">
        <v>43</v>
      </c>
      <c r="AA1581" t="s">
        <v>2384</v>
      </c>
      <c r="AC1581" t="s">
        <v>2385</v>
      </c>
      <c r="AD1581" t="s">
        <v>2386</v>
      </c>
    </row>
    <row r="1582" spans="1:33" hidden="1" x14ac:dyDescent="0.25">
      <c r="A1582">
        <v>39366</v>
      </c>
      <c r="B1582" t="s">
        <v>32</v>
      </c>
      <c r="C1582">
        <v>2</v>
      </c>
      <c r="D1582" t="s">
        <v>2376</v>
      </c>
      <c r="E1582" t="s">
        <v>70</v>
      </c>
      <c r="F1582" t="s">
        <v>33</v>
      </c>
      <c r="G1582" t="s">
        <v>71</v>
      </c>
      <c r="H1582" t="s">
        <v>35</v>
      </c>
      <c r="I1582" t="s">
        <v>2376</v>
      </c>
      <c r="J1582" t="s">
        <v>2387</v>
      </c>
      <c r="K1582" t="s">
        <v>36</v>
      </c>
      <c r="L1582" t="s">
        <v>33</v>
      </c>
      <c r="R1582" t="s">
        <v>2388</v>
      </c>
      <c r="S1582">
        <v>55</v>
      </c>
      <c r="T1582" t="s">
        <v>40</v>
      </c>
      <c r="U1582">
        <f>+IF(Tabla1[[#This Row],[MONEDA]]="PEN",Tabla1[[#This Row],[MONTO]],Tabla1[[#This Row],[MONTO]]*3.56)</f>
        <v>55</v>
      </c>
      <c r="V1582" t="s">
        <v>190</v>
      </c>
      <c r="W1582">
        <v>36370</v>
      </c>
      <c r="X1582" t="s">
        <v>41</v>
      </c>
      <c r="Y1582" t="s">
        <v>42</v>
      </c>
      <c r="Z1582" t="s">
        <v>43</v>
      </c>
      <c r="AA1582" t="s">
        <v>2389</v>
      </c>
      <c r="AC1582" t="s">
        <v>2390</v>
      </c>
      <c r="AD1582" t="s">
        <v>2391</v>
      </c>
    </row>
    <row r="1583" spans="1:33" hidden="1" x14ac:dyDescent="0.25">
      <c r="A1583">
        <v>39367</v>
      </c>
      <c r="B1583" t="s">
        <v>32</v>
      </c>
      <c r="C1583">
        <v>2</v>
      </c>
      <c r="D1583" t="s">
        <v>2376</v>
      </c>
      <c r="E1583" t="s">
        <v>70</v>
      </c>
      <c r="F1583" t="s">
        <v>33</v>
      </c>
      <c r="G1583" t="s">
        <v>71</v>
      </c>
      <c r="H1583" t="s">
        <v>35</v>
      </c>
      <c r="I1583" t="s">
        <v>2376</v>
      </c>
      <c r="J1583" t="s">
        <v>2392</v>
      </c>
      <c r="K1583" t="s">
        <v>36</v>
      </c>
      <c r="L1583" t="s">
        <v>33</v>
      </c>
      <c r="R1583" t="s">
        <v>2393</v>
      </c>
      <c r="S1583">
        <v>72</v>
      </c>
      <c r="T1583" t="s">
        <v>40</v>
      </c>
      <c r="U1583">
        <f>+IF(Tabla1[[#This Row],[MONEDA]]="PEN",Tabla1[[#This Row],[MONTO]],Tabla1[[#This Row],[MONTO]]*3.56)</f>
        <v>72</v>
      </c>
      <c r="V1583" t="s">
        <v>190</v>
      </c>
      <c r="W1583">
        <v>36370</v>
      </c>
      <c r="X1583" t="s">
        <v>41</v>
      </c>
      <c r="Y1583" t="s">
        <v>42</v>
      </c>
      <c r="Z1583" t="s">
        <v>43</v>
      </c>
      <c r="AA1583" t="s">
        <v>2394</v>
      </c>
      <c r="AC1583" t="s">
        <v>2395</v>
      </c>
      <c r="AD1583" t="s">
        <v>2396</v>
      </c>
    </row>
    <row r="1584" spans="1:33" hidden="1" x14ac:dyDescent="0.25">
      <c r="A1584">
        <v>39363</v>
      </c>
      <c r="B1584" t="s">
        <v>32</v>
      </c>
      <c r="C1584">
        <v>2</v>
      </c>
      <c r="D1584" t="s">
        <v>2397</v>
      </c>
      <c r="E1584" t="s">
        <v>70</v>
      </c>
      <c r="F1584" t="s">
        <v>33</v>
      </c>
      <c r="G1584" t="s">
        <v>71</v>
      </c>
      <c r="H1584" t="s">
        <v>35</v>
      </c>
      <c r="I1584" t="s">
        <v>2397</v>
      </c>
      <c r="J1584" t="s">
        <v>2398</v>
      </c>
      <c r="K1584" t="s">
        <v>36</v>
      </c>
      <c r="L1584" t="s">
        <v>33</v>
      </c>
      <c r="R1584" t="s">
        <v>2399</v>
      </c>
      <c r="S1584">
        <v>70</v>
      </c>
      <c r="T1584" t="s">
        <v>40</v>
      </c>
      <c r="U1584">
        <f>+IF(Tabla1[[#This Row],[MONEDA]]="PEN",Tabla1[[#This Row],[MONTO]],Tabla1[[#This Row],[MONTO]]*3.56)</f>
        <v>70</v>
      </c>
      <c r="V1584" t="s">
        <v>190</v>
      </c>
      <c r="W1584">
        <v>36370</v>
      </c>
      <c r="X1584" t="s">
        <v>41</v>
      </c>
      <c r="Y1584" t="s">
        <v>42</v>
      </c>
      <c r="Z1584" t="s">
        <v>43</v>
      </c>
      <c r="AA1584" t="s">
        <v>2400</v>
      </c>
      <c r="AC1584" t="s">
        <v>2401</v>
      </c>
      <c r="AD1584" t="s">
        <v>2402</v>
      </c>
    </row>
    <row r="1585" spans="1:33" hidden="1" x14ac:dyDescent="0.25">
      <c r="A1585">
        <v>39362</v>
      </c>
      <c r="B1585" t="s">
        <v>32</v>
      </c>
      <c r="C1585">
        <v>2</v>
      </c>
      <c r="D1585" t="s">
        <v>2403</v>
      </c>
      <c r="E1585" t="s">
        <v>70</v>
      </c>
      <c r="F1585" t="s">
        <v>33</v>
      </c>
      <c r="G1585" t="s">
        <v>71</v>
      </c>
      <c r="H1585" t="s">
        <v>35</v>
      </c>
      <c r="I1585" t="s">
        <v>2403</v>
      </c>
      <c r="J1585" t="s">
        <v>2404</v>
      </c>
      <c r="K1585" t="s">
        <v>36</v>
      </c>
      <c r="L1585" t="s">
        <v>33</v>
      </c>
      <c r="R1585" t="s">
        <v>2405</v>
      </c>
      <c r="S1585">
        <v>81.8</v>
      </c>
      <c r="T1585" t="s">
        <v>40</v>
      </c>
      <c r="U1585">
        <f>+IF(Tabla1[[#This Row],[MONEDA]]="PEN",Tabla1[[#This Row],[MONTO]],Tabla1[[#This Row],[MONTO]]*3.56)</f>
        <v>81.8</v>
      </c>
      <c r="V1585" t="s">
        <v>190</v>
      </c>
      <c r="W1585">
        <v>36370</v>
      </c>
      <c r="X1585" t="s">
        <v>41</v>
      </c>
      <c r="Y1585" t="s">
        <v>42</v>
      </c>
      <c r="Z1585" t="s">
        <v>43</v>
      </c>
      <c r="AA1585" t="s">
        <v>2406</v>
      </c>
      <c r="AC1585" t="s">
        <v>2407</v>
      </c>
      <c r="AD1585" t="s">
        <v>2408</v>
      </c>
    </row>
    <row r="1586" spans="1:33" hidden="1" x14ac:dyDescent="0.25">
      <c r="A1586">
        <v>39355</v>
      </c>
      <c r="B1586" t="s">
        <v>32</v>
      </c>
      <c r="C1586">
        <v>2</v>
      </c>
      <c r="D1586" t="s">
        <v>2409</v>
      </c>
      <c r="E1586" t="s">
        <v>70</v>
      </c>
      <c r="F1586" t="s">
        <v>33</v>
      </c>
      <c r="G1586" t="s">
        <v>71</v>
      </c>
      <c r="H1586" t="s">
        <v>35</v>
      </c>
      <c r="I1586" t="s">
        <v>2409</v>
      </c>
      <c r="J1586" t="s">
        <v>2410</v>
      </c>
      <c r="K1586" t="s">
        <v>36</v>
      </c>
      <c r="L1586" t="s">
        <v>33</v>
      </c>
      <c r="R1586" t="s">
        <v>2411</v>
      </c>
      <c r="S1586">
        <v>104</v>
      </c>
      <c r="T1586" t="s">
        <v>40</v>
      </c>
      <c r="U1586">
        <f>+IF(Tabla1[[#This Row],[MONEDA]]="PEN",Tabla1[[#This Row],[MONTO]],Tabla1[[#This Row],[MONTO]]*3.56)</f>
        <v>104</v>
      </c>
      <c r="V1586" t="s">
        <v>190</v>
      </c>
      <c r="W1586">
        <v>36370</v>
      </c>
      <c r="X1586" t="s">
        <v>41</v>
      </c>
      <c r="Y1586" t="s">
        <v>42</v>
      </c>
      <c r="Z1586" t="s">
        <v>43</v>
      </c>
      <c r="AA1586" t="s">
        <v>2412</v>
      </c>
      <c r="AC1586" t="s">
        <v>2413</v>
      </c>
      <c r="AD1586" t="s">
        <v>2414</v>
      </c>
    </row>
    <row r="1587" spans="1:33" hidden="1" x14ac:dyDescent="0.25">
      <c r="A1587">
        <v>39356</v>
      </c>
      <c r="B1587" t="s">
        <v>32</v>
      </c>
      <c r="C1587">
        <v>2</v>
      </c>
      <c r="D1587" t="s">
        <v>2409</v>
      </c>
      <c r="E1587" t="s">
        <v>70</v>
      </c>
      <c r="F1587" t="s">
        <v>33</v>
      </c>
      <c r="G1587" t="s">
        <v>71</v>
      </c>
      <c r="H1587" t="s">
        <v>35</v>
      </c>
      <c r="I1587" t="s">
        <v>2409</v>
      </c>
      <c r="J1587" t="s">
        <v>2415</v>
      </c>
      <c r="K1587" t="s">
        <v>36</v>
      </c>
      <c r="L1587" t="s">
        <v>33</v>
      </c>
      <c r="R1587" t="s">
        <v>2416</v>
      </c>
      <c r="S1587">
        <v>23</v>
      </c>
      <c r="T1587" t="s">
        <v>40</v>
      </c>
      <c r="U1587">
        <f>+IF(Tabla1[[#This Row],[MONEDA]]="PEN",Tabla1[[#This Row],[MONTO]],Tabla1[[#This Row],[MONTO]]*3.56)</f>
        <v>23</v>
      </c>
      <c r="V1587" t="s">
        <v>190</v>
      </c>
      <c r="W1587">
        <v>36370</v>
      </c>
      <c r="X1587" t="s">
        <v>41</v>
      </c>
      <c r="Y1587" t="s">
        <v>42</v>
      </c>
      <c r="Z1587" t="s">
        <v>43</v>
      </c>
      <c r="AA1587" t="s">
        <v>2417</v>
      </c>
      <c r="AC1587" t="s">
        <v>2418</v>
      </c>
      <c r="AD1587" t="s">
        <v>2419</v>
      </c>
    </row>
    <row r="1588" spans="1:33" hidden="1" x14ac:dyDescent="0.25">
      <c r="A1588">
        <v>39357</v>
      </c>
      <c r="B1588" t="s">
        <v>32</v>
      </c>
      <c r="C1588">
        <v>2</v>
      </c>
      <c r="D1588" t="s">
        <v>2409</v>
      </c>
      <c r="E1588" t="s">
        <v>70</v>
      </c>
      <c r="F1588" t="s">
        <v>33</v>
      </c>
      <c r="G1588" t="s">
        <v>71</v>
      </c>
      <c r="H1588" t="s">
        <v>35</v>
      </c>
      <c r="I1588" t="s">
        <v>2409</v>
      </c>
      <c r="J1588" t="s">
        <v>2409</v>
      </c>
      <c r="K1588" t="s">
        <v>36</v>
      </c>
      <c r="L1588" t="s">
        <v>33</v>
      </c>
      <c r="R1588" t="s">
        <v>2356</v>
      </c>
      <c r="S1588">
        <v>22</v>
      </c>
      <c r="T1588" t="s">
        <v>40</v>
      </c>
      <c r="U1588">
        <f>+IF(Tabla1[[#This Row],[MONEDA]]="PEN",Tabla1[[#This Row],[MONTO]],Tabla1[[#This Row],[MONTO]]*3.56)</f>
        <v>22</v>
      </c>
      <c r="V1588" t="s">
        <v>190</v>
      </c>
      <c r="W1588">
        <v>36370</v>
      </c>
      <c r="X1588" t="s">
        <v>41</v>
      </c>
      <c r="Y1588" t="s">
        <v>42</v>
      </c>
      <c r="Z1588" t="s">
        <v>43</v>
      </c>
      <c r="AA1588" t="s">
        <v>2420</v>
      </c>
      <c r="AC1588" t="s">
        <v>2421</v>
      </c>
      <c r="AD1588" t="s">
        <v>2422</v>
      </c>
    </row>
    <row r="1589" spans="1:33" hidden="1" x14ac:dyDescent="0.25">
      <c r="A1589">
        <v>39358</v>
      </c>
      <c r="B1589" t="s">
        <v>32</v>
      </c>
      <c r="C1589">
        <v>2</v>
      </c>
      <c r="D1589" t="s">
        <v>2409</v>
      </c>
      <c r="E1589" t="s">
        <v>70</v>
      </c>
      <c r="F1589" t="s">
        <v>33</v>
      </c>
      <c r="G1589" t="s">
        <v>71</v>
      </c>
      <c r="H1589" t="s">
        <v>35</v>
      </c>
      <c r="I1589" t="s">
        <v>2409</v>
      </c>
      <c r="J1589" t="s">
        <v>2423</v>
      </c>
      <c r="K1589" t="s">
        <v>36</v>
      </c>
      <c r="L1589" t="s">
        <v>33</v>
      </c>
      <c r="R1589" t="s">
        <v>2424</v>
      </c>
      <c r="S1589">
        <v>25</v>
      </c>
      <c r="T1589" t="s">
        <v>40</v>
      </c>
      <c r="U1589">
        <f>+IF(Tabla1[[#This Row],[MONEDA]]="PEN",Tabla1[[#This Row],[MONTO]],Tabla1[[#This Row],[MONTO]]*3.56)</f>
        <v>25</v>
      </c>
      <c r="V1589" t="s">
        <v>190</v>
      </c>
      <c r="W1589">
        <v>36370</v>
      </c>
      <c r="X1589" t="s">
        <v>41</v>
      </c>
      <c r="Y1589" t="s">
        <v>42</v>
      </c>
      <c r="Z1589" t="s">
        <v>43</v>
      </c>
      <c r="AA1589" t="s">
        <v>2425</v>
      </c>
      <c r="AC1589" t="s">
        <v>2426</v>
      </c>
      <c r="AD1589" t="s">
        <v>2427</v>
      </c>
    </row>
    <row r="1590" spans="1:33" hidden="1" x14ac:dyDescent="0.25">
      <c r="A1590">
        <v>39359</v>
      </c>
      <c r="B1590" t="s">
        <v>32</v>
      </c>
      <c r="C1590">
        <v>2</v>
      </c>
      <c r="D1590" t="s">
        <v>2409</v>
      </c>
      <c r="E1590" t="s">
        <v>70</v>
      </c>
      <c r="F1590" t="s">
        <v>33</v>
      </c>
      <c r="G1590" t="s">
        <v>71</v>
      </c>
      <c r="H1590" t="s">
        <v>35</v>
      </c>
      <c r="I1590" t="s">
        <v>2409</v>
      </c>
      <c r="J1590" t="s">
        <v>2428</v>
      </c>
      <c r="K1590" t="s">
        <v>36</v>
      </c>
      <c r="L1590" t="s">
        <v>33</v>
      </c>
      <c r="R1590" t="s">
        <v>2429</v>
      </c>
      <c r="S1590">
        <v>55</v>
      </c>
      <c r="T1590" t="s">
        <v>40</v>
      </c>
      <c r="U1590">
        <f>+IF(Tabla1[[#This Row],[MONEDA]]="PEN",Tabla1[[#This Row],[MONTO]],Tabla1[[#This Row],[MONTO]]*3.56)</f>
        <v>55</v>
      </c>
      <c r="V1590" t="s">
        <v>190</v>
      </c>
      <c r="W1590">
        <v>36370</v>
      </c>
      <c r="X1590" t="s">
        <v>41</v>
      </c>
      <c r="Y1590" t="s">
        <v>42</v>
      </c>
      <c r="Z1590" t="s">
        <v>43</v>
      </c>
      <c r="AA1590" t="s">
        <v>2430</v>
      </c>
      <c r="AC1590" t="s">
        <v>2431</v>
      </c>
      <c r="AD1590" t="s">
        <v>2432</v>
      </c>
    </row>
    <row r="1591" spans="1:33" hidden="1" x14ac:dyDescent="0.25">
      <c r="A1591">
        <v>39360</v>
      </c>
      <c r="B1591" t="s">
        <v>32</v>
      </c>
      <c r="C1591">
        <v>2</v>
      </c>
      <c r="D1591" t="s">
        <v>2409</v>
      </c>
      <c r="E1591" t="s">
        <v>70</v>
      </c>
      <c r="F1591" t="s">
        <v>33</v>
      </c>
      <c r="G1591" t="s">
        <v>71</v>
      </c>
      <c r="H1591" t="s">
        <v>35</v>
      </c>
      <c r="I1591" t="s">
        <v>2409</v>
      </c>
      <c r="J1591" t="s">
        <v>2433</v>
      </c>
      <c r="K1591" t="s">
        <v>36</v>
      </c>
      <c r="L1591" t="s">
        <v>33</v>
      </c>
      <c r="R1591" t="s">
        <v>2434</v>
      </c>
      <c r="S1591">
        <v>200</v>
      </c>
      <c r="T1591" t="s">
        <v>40</v>
      </c>
      <c r="U1591">
        <f>+IF(Tabla1[[#This Row],[MONEDA]]="PEN",Tabla1[[#This Row],[MONTO]],Tabla1[[#This Row],[MONTO]]*3.56)</f>
        <v>200</v>
      </c>
      <c r="V1591" t="s">
        <v>190</v>
      </c>
      <c r="W1591">
        <v>36370</v>
      </c>
      <c r="X1591" t="s">
        <v>41</v>
      </c>
      <c r="Y1591" t="s">
        <v>42</v>
      </c>
      <c r="Z1591" t="s">
        <v>43</v>
      </c>
      <c r="AA1591" t="s">
        <v>2435</v>
      </c>
      <c r="AC1591" t="s">
        <v>2436</v>
      </c>
      <c r="AD1591" t="s">
        <v>2437</v>
      </c>
    </row>
    <row r="1592" spans="1:33" hidden="1" x14ac:dyDescent="0.25">
      <c r="A1592">
        <v>39361</v>
      </c>
      <c r="B1592" t="s">
        <v>32</v>
      </c>
      <c r="C1592">
        <v>2</v>
      </c>
      <c r="D1592" t="s">
        <v>2409</v>
      </c>
      <c r="E1592" t="s">
        <v>70</v>
      </c>
      <c r="F1592" t="s">
        <v>33</v>
      </c>
      <c r="G1592" t="s">
        <v>71</v>
      </c>
      <c r="H1592" t="s">
        <v>35</v>
      </c>
      <c r="I1592" t="s">
        <v>2409</v>
      </c>
      <c r="J1592" t="s">
        <v>2438</v>
      </c>
      <c r="K1592" t="s">
        <v>36</v>
      </c>
      <c r="L1592" t="s">
        <v>33</v>
      </c>
      <c r="R1592" t="s">
        <v>2439</v>
      </c>
      <c r="S1592">
        <v>112</v>
      </c>
      <c r="T1592" t="s">
        <v>40</v>
      </c>
      <c r="U1592">
        <f>+IF(Tabla1[[#This Row],[MONEDA]]="PEN",Tabla1[[#This Row],[MONTO]],Tabla1[[#This Row],[MONTO]]*3.56)</f>
        <v>112</v>
      </c>
      <c r="V1592" t="s">
        <v>190</v>
      </c>
      <c r="W1592">
        <v>36370</v>
      </c>
      <c r="X1592" t="s">
        <v>41</v>
      </c>
      <c r="Y1592" t="s">
        <v>42</v>
      </c>
      <c r="Z1592" t="s">
        <v>43</v>
      </c>
      <c r="AA1592" t="s">
        <v>2440</v>
      </c>
      <c r="AC1592" t="s">
        <v>2441</v>
      </c>
      <c r="AD1592" t="s">
        <v>2442</v>
      </c>
    </row>
    <row r="1593" spans="1:33" hidden="1" x14ac:dyDescent="0.25">
      <c r="A1593">
        <v>39352</v>
      </c>
      <c r="B1593" t="s">
        <v>32</v>
      </c>
      <c r="C1593">
        <v>2</v>
      </c>
      <c r="D1593" t="s">
        <v>2443</v>
      </c>
      <c r="E1593" t="s">
        <v>70</v>
      </c>
      <c r="F1593" t="s">
        <v>33</v>
      </c>
      <c r="G1593" t="s">
        <v>71</v>
      </c>
      <c r="H1593" t="s">
        <v>35</v>
      </c>
      <c r="I1593" t="s">
        <v>2443</v>
      </c>
      <c r="J1593" t="s">
        <v>2444</v>
      </c>
      <c r="K1593" t="s">
        <v>36</v>
      </c>
      <c r="L1593" t="s">
        <v>33</v>
      </c>
      <c r="R1593" t="s">
        <v>2445</v>
      </c>
      <c r="S1593">
        <v>8</v>
      </c>
      <c r="T1593" t="s">
        <v>40</v>
      </c>
      <c r="U1593">
        <f>+IF(Tabla1[[#This Row],[MONEDA]]="PEN",Tabla1[[#This Row],[MONTO]],Tabla1[[#This Row],[MONTO]]*3.56)</f>
        <v>8</v>
      </c>
      <c r="V1593" t="s">
        <v>190</v>
      </c>
      <c r="W1593">
        <v>36370</v>
      </c>
      <c r="X1593" t="s">
        <v>41</v>
      </c>
      <c r="Y1593" t="s">
        <v>42</v>
      </c>
      <c r="Z1593" t="s">
        <v>43</v>
      </c>
      <c r="AA1593" t="s">
        <v>2446</v>
      </c>
      <c r="AC1593" t="s">
        <v>2447</v>
      </c>
      <c r="AD1593" t="s">
        <v>2448</v>
      </c>
    </row>
    <row r="1594" spans="1:33" hidden="1" x14ac:dyDescent="0.25">
      <c r="A1594">
        <v>39353</v>
      </c>
      <c r="B1594" t="s">
        <v>32</v>
      </c>
      <c r="C1594">
        <v>2</v>
      </c>
      <c r="D1594" t="s">
        <v>2443</v>
      </c>
      <c r="E1594" t="s">
        <v>70</v>
      </c>
      <c r="F1594" t="s">
        <v>33</v>
      </c>
      <c r="G1594" t="s">
        <v>71</v>
      </c>
      <c r="H1594" t="s">
        <v>35</v>
      </c>
      <c r="I1594" t="s">
        <v>2443</v>
      </c>
      <c r="J1594" t="s">
        <v>2449</v>
      </c>
      <c r="K1594" t="s">
        <v>36</v>
      </c>
      <c r="L1594" t="s">
        <v>33</v>
      </c>
      <c r="R1594" t="s">
        <v>2450</v>
      </c>
      <c r="S1594">
        <v>15</v>
      </c>
      <c r="T1594" t="s">
        <v>40</v>
      </c>
      <c r="U1594">
        <f>+IF(Tabla1[[#This Row],[MONEDA]]="PEN",Tabla1[[#This Row],[MONTO]],Tabla1[[#This Row],[MONTO]]*3.56)</f>
        <v>15</v>
      </c>
      <c r="V1594" t="s">
        <v>190</v>
      </c>
      <c r="W1594">
        <v>36370</v>
      </c>
      <c r="X1594" t="s">
        <v>41</v>
      </c>
      <c r="Y1594" t="s">
        <v>42</v>
      </c>
      <c r="Z1594" t="s">
        <v>43</v>
      </c>
      <c r="AA1594" t="s">
        <v>2451</v>
      </c>
      <c r="AC1594" t="s">
        <v>2452</v>
      </c>
      <c r="AD1594" t="s">
        <v>2453</v>
      </c>
    </row>
    <row r="1595" spans="1:33" hidden="1" x14ac:dyDescent="0.25">
      <c r="A1595">
        <v>39354</v>
      </c>
      <c r="B1595" t="s">
        <v>32</v>
      </c>
      <c r="C1595">
        <v>2</v>
      </c>
      <c r="D1595" t="s">
        <v>2443</v>
      </c>
      <c r="E1595" t="s">
        <v>70</v>
      </c>
      <c r="F1595" t="s">
        <v>33</v>
      </c>
      <c r="G1595" t="s">
        <v>71</v>
      </c>
      <c r="H1595" t="s">
        <v>35</v>
      </c>
      <c r="I1595" t="s">
        <v>2443</v>
      </c>
      <c r="J1595" t="s">
        <v>2449</v>
      </c>
      <c r="K1595" t="s">
        <v>36</v>
      </c>
      <c r="L1595" t="s">
        <v>33</v>
      </c>
      <c r="R1595" t="s">
        <v>2356</v>
      </c>
      <c r="S1595">
        <v>15</v>
      </c>
      <c r="T1595" t="s">
        <v>40</v>
      </c>
      <c r="U1595">
        <f>+IF(Tabla1[[#This Row],[MONEDA]]="PEN",Tabla1[[#This Row],[MONTO]],Tabla1[[#This Row],[MONTO]]*3.56)</f>
        <v>15</v>
      </c>
      <c r="V1595" t="s">
        <v>190</v>
      </c>
      <c r="W1595">
        <v>36370</v>
      </c>
      <c r="X1595" t="s">
        <v>41</v>
      </c>
      <c r="Y1595" t="s">
        <v>42</v>
      </c>
      <c r="Z1595" t="s">
        <v>43</v>
      </c>
      <c r="AA1595" t="s">
        <v>2454</v>
      </c>
      <c r="AC1595" t="s">
        <v>2455</v>
      </c>
      <c r="AD1595" t="s">
        <v>2456</v>
      </c>
    </row>
    <row r="1596" spans="1:33" x14ac:dyDescent="0.25">
      <c r="A1596">
        <v>39266</v>
      </c>
      <c r="B1596" t="s">
        <v>32</v>
      </c>
      <c r="C1596">
        <v>3</v>
      </c>
      <c r="D1596" t="s">
        <v>2486</v>
      </c>
      <c r="E1596" t="s">
        <v>70</v>
      </c>
      <c r="F1596" t="s">
        <v>130</v>
      </c>
      <c r="G1596" t="s">
        <v>132</v>
      </c>
      <c r="H1596" t="s">
        <v>132</v>
      </c>
      <c r="I1596" t="s">
        <v>2486</v>
      </c>
      <c r="J1596" t="s">
        <v>2486</v>
      </c>
      <c r="K1596" t="s">
        <v>36</v>
      </c>
      <c r="L1596" t="s">
        <v>33</v>
      </c>
      <c r="O1596" t="s">
        <v>287</v>
      </c>
      <c r="P1596" t="s">
        <v>38</v>
      </c>
      <c r="Q1596" t="s">
        <v>2487</v>
      </c>
      <c r="R1596" t="s">
        <v>510</v>
      </c>
      <c r="S1596">
        <v>1977.14</v>
      </c>
      <c r="T1596" t="s">
        <v>40</v>
      </c>
      <c r="U1596">
        <f>+IF(Tabla1[[#This Row],[MONEDA]]="PEN",Tabla1[[#This Row],[MONTO]],Tabla1[[#This Row],[MONTO]]*3.56)</f>
        <v>1977.14</v>
      </c>
      <c r="X1596" t="s">
        <v>139</v>
      </c>
      <c r="Y1596" t="s">
        <v>42</v>
      </c>
      <c r="Z1596" t="s">
        <v>511</v>
      </c>
      <c r="AA1596" t="s">
        <v>2488</v>
      </c>
      <c r="AB1596" t="s">
        <v>2489</v>
      </c>
      <c r="AC1596" t="s">
        <v>2490</v>
      </c>
      <c r="AE1596">
        <v>1977.14</v>
      </c>
      <c r="AF1596" t="s">
        <v>87</v>
      </c>
      <c r="AG1596" t="s">
        <v>169</v>
      </c>
    </row>
    <row r="1597" spans="1:33" x14ac:dyDescent="0.25">
      <c r="A1597">
        <v>38850</v>
      </c>
      <c r="B1597" t="s">
        <v>32</v>
      </c>
      <c r="C1597">
        <v>1</v>
      </c>
      <c r="D1597" t="s">
        <v>2755</v>
      </c>
      <c r="E1597" t="s">
        <v>70</v>
      </c>
      <c r="F1597" t="s">
        <v>157</v>
      </c>
      <c r="G1597" t="s">
        <v>158</v>
      </c>
      <c r="H1597" t="s">
        <v>159</v>
      </c>
      <c r="I1597" t="s">
        <v>2756</v>
      </c>
      <c r="J1597" t="s">
        <v>2757</v>
      </c>
      <c r="K1597" t="s">
        <v>36</v>
      </c>
      <c r="L1597" t="s">
        <v>33</v>
      </c>
      <c r="M1597">
        <v>20533151435</v>
      </c>
      <c r="P1597" t="s">
        <v>38</v>
      </c>
      <c r="Q1597" t="s">
        <v>163</v>
      </c>
      <c r="R1597" t="s">
        <v>2758</v>
      </c>
      <c r="S1597">
        <v>194.7</v>
      </c>
      <c r="T1597" t="s">
        <v>40</v>
      </c>
      <c r="U1597">
        <f>+IF(Tabla1[[#This Row],[MONEDA]]="PEN",Tabla1[[#This Row],[MONTO]],Tabla1[[#This Row],[MONTO]]*3.56)</f>
        <v>194.7</v>
      </c>
      <c r="X1597" t="s">
        <v>41</v>
      </c>
      <c r="Y1597" t="s">
        <v>42</v>
      </c>
      <c r="Z1597" t="s">
        <v>82</v>
      </c>
      <c r="AA1597" t="s">
        <v>2759</v>
      </c>
      <c r="AB1597" t="s">
        <v>2760</v>
      </c>
      <c r="AC1597" t="s">
        <v>2761</v>
      </c>
      <c r="AD1597" t="s">
        <v>2762</v>
      </c>
      <c r="AE1597">
        <v>194.7</v>
      </c>
      <c r="AF1597" t="s">
        <v>87</v>
      </c>
      <c r="AG1597" t="s">
        <v>169</v>
      </c>
    </row>
    <row r="1598" spans="1:33" hidden="1" x14ac:dyDescent="0.25">
      <c r="A1598">
        <v>38736</v>
      </c>
      <c r="B1598" t="s">
        <v>32</v>
      </c>
      <c r="C1598">
        <v>1</v>
      </c>
      <c r="D1598" t="s">
        <v>2768</v>
      </c>
      <c r="E1598" t="s">
        <v>70</v>
      </c>
      <c r="F1598" t="s">
        <v>33</v>
      </c>
      <c r="G1598" t="s">
        <v>71</v>
      </c>
      <c r="H1598" t="s">
        <v>35</v>
      </c>
      <c r="I1598" t="s">
        <v>2768</v>
      </c>
      <c r="J1598" t="s">
        <v>2768</v>
      </c>
      <c r="K1598" t="s">
        <v>36</v>
      </c>
      <c r="L1598" t="s">
        <v>33</v>
      </c>
      <c r="R1598" t="s">
        <v>2769</v>
      </c>
      <c r="S1598">
        <v>20</v>
      </c>
      <c r="T1598" t="s">
        <v>40</v>
      </c>
      <c r="U1598">
        <f>+IF(Tabla1[[#This Row],[MONEDA]]="PEN",Tabla1[[#This Row],[MONTO]],Tabla1[[#This Row],[MONTO]]*3.56)</f>
        <v>20</v>
      </c>
      <c r="V1598" t="s">
        <v>190</v>
      </c>
      <c r="W1598">
        <v>34656</v>
      </c>
      <c r="X1598" t="s">
        <v>41</v>
      </c>
      <c r="Y1598" t="s">
        <v>42</v>
      </c>
      <c r="Z1598" t="s">
        <v>43</v>
      </c>
      <c r="AA1598" t="s">
        <v>2770</v>
      </c>
      <c r="AC1598" t="s">
        <v>2771</v>
      </c>
      <c r="AD1598" t="s">
        <v>2772</v>
      </c>
    </row>
    <row r="1599" spans="1:33" hidden="1" x14ac:dyDescent="0.25">
      <c r="A1599">
        <v>38598</v>
      </c>
      <c r="B1599" t="s">
        <v>32</v>
      </c>
      <c r="C1599">
        <v>1</v>
      </c>
      <c r="D1599" t="s">
        <v>2781</v>
      </c>
      <c r="E1599" t="s">
        <v>70</v>
      </c>
      <c r="F1599" t="s">
        <v>33</v>
      </c>
      <c r="G1599" t="s">
        <v>71</v>
      </c>
      <c r="H1599" t="s">
        <v>35</v>
      </c>
      <c r="I1599" t="s">
        <v>2781</v>
      </c>
      <c r="J1599" t="s">
        <v>2782</v>
      </c>
      <c r="K1599" t="s">
        <v>36</v>
      </c>
      <c r="L1599" t="s">
        <v>33</v>
      </c>
      <c r="O1599" t="s">
        <v>76</v>
      </c>
      <c r="R1599" t="s">
        <v>2783</v>
      </c>
      <c r="S1599">
        <v>30</v>
      </c>
      <c r="T1599" t="s">
        <v>40</v>
      </c>
      <c r="U1599">
        <f>+IF(Tabla1[[#This Row],[MONEDA]]="PEN",Tabla1[[#This Row],[MONTO]],Tabla1[[#This Row],[MONTO]]*3.56)</f>
        <v>30</v>
      </c>
      <c r="V1599" t="s">
        <v>190</v>
      </c>
      <c r="W1599">
        <v>34656</v>
      </c>
      <c r="X1599" t="s">
        <v>41</v>
      </c>
      <c r="Y1599" t="s">
        <v>42</v>
      </c>
      <c r="Z1599" t="s">
        <v>43</v>
      </c>
      <c r="AA1599" t="s">
        <v>2784</v>
      </c>
      <c r="AC1599" t="s">
        <v>2785</v>
      </c>
      <c r="AD1599" t="s">
        <v>2786</v>
      </c>
    </row>
    <row r="1600" spans="1:33" hidden="1" x14ac:dyDescent="0.25">
      <c r="A1600">
        <v>38597</v>
      </c>
      <c r="B1600" t="s">
        <v>32</v>
      </c>
      <c r="C1600">
        <v>1</v>
      </c>
      <c r="D1600" t="s">
        <v>2787</v>
      </c>
      <c r="E1600" t="s">
        <v>70</v>
      </c>
      <c r="F1600" t="s">
        <v>33</v>
      </c>
      <c r="G1600" t="s">
        <v>71</v>
      </c>
      <c r="H1600" t="s">
        <v>35</v>
      </c>
      <c r="I1600" t="s">
        <v>2787</v>
      </c>
      <c r="J1600" t="s">
        <v>2788</v>
      </c>
      <c r="K1600" t="s">
        <v>36</v>
      </c>
      <c r="L1600" t="s">
        <v>33</v>
      </c>
      <c r="O1600" t="s">
        <v>76</v>
      </c>
      <c r="R1600" t="s">
        <v>2789</v>
      </c>
      <c r="S1600">
        <v>57</v>
      </c>
      <c r="T1600" t="s">
        <v>40</v>
      </c>
      <c r="U1600">
        <f>+IF(Tabla1[[#This Row],[MONEDA]]="PEN",Tabla1[[#This Row],[MONTO]],Tabla1[[#This Row],[MONTO]]*3.56)</f>
        <v>57</v>
      </c>
      <c r="V1600" t="s">
        <v>190</v>
      </c>
      <c r="W1600">
        <v>34656</v>
      </c>
      <c r="X1600" t="s">
        <v>41</v>
      </c>
      <c r="Y1600" t="s">
        <v>42</v>
      </c>
      <c r="Z1600" t="s">
        <v>43</v>
      </c>
      <c r="AA1600" t="s">
        <v>2790</v>
      </c>
      <c r="AC1600" t="s">
        <v>2791</v>
      </c>
      <c r="AD1600" t="s">
        <v>2792</v>
      </c>
    </row>
    <row r="1601" spans="1:33" hidden="1" x14ac:dyDescent="0.25">
      <c r="A1601">
        <v>38596</v>
      </c>
      <c r="B1601" t="s">
        <v>32</v>
      </c>
      <c r="C1601">
        <v>1</v>
      </c>
      <c r="D1601" t="s">
        <v>2793</v>
      </c>
      <c r="E1601" t="s">
        <v>70</v>
      </c>
      <c r="F1601" t="s">
        <v>33</v>
      </c>
      <c r="G1601" t="s">
        <v>71</v>
      </c>
      <c r="H1601" t="s">
        <v>35</v>
      </c>
      <c r="I1601" t="s">
        <v>2793</v>
      </c>
      <c r="J1601" t="s">
        <v>2794</v>
      </c>
      <c r="K1601" t="s">
        <v>36</v>
      </c>
      <c r="L1601" t="s">
        <v>33</v>
      </c>
      <c r="O1601" t="s">
        <v>76</v>
      </c>
      <c r="R1601" t="s">
        <v>2799</v>
      </c>
      <c r="S1601">
        <v>28</v>
      </c>
      <c r="T1601" t="s">
        <v>40</v>
      </c>
      <c r="U1601">
        <f>+IF(Tabla1[[#This Row],[MONEDA]]="PEN",Tabla1[[#This Row],[MONTO]],Tabla1[[#This Row],[MONTO]]*3.56)</f>
        <v>28</v>
      </c>
      <c r="V1601" t="s">
        <v>190</v>
      </c>
      <c r="W1601">
        <v>34656</v>
      </c>
      <c r="X1601" t="s">
        <v>41</v>
      </c>
      <c r="Y1601" t="s">
        <v>42</v>
      </c>
      <c r="Z1601" t="s">
        <v>43</v>
      </c>
      <c r="AA1601" t="s">
        <v>2800</v>
      </c>
      <c r="AC1601" t="s">
        <v>2801</v>
      </c>
      <c r="AD1601" t="s">
        <v>2802</v>
      </c>
    </row>
    <row r="1602" spans="1:33" hidden="1" x14ac:dyDescent="0.25">
      <c r="A1602">
        <v>38536</v>
      </c>
      <c r="B1602" t="s">
        <v>32</v>
      </c>
      <c r="C1602">
        <v>1</v>
      </c>
      <c r="D1602" t="s">
        <v>2814</v>
      </c>
      <c r="E1602" t="s">
        <v>70</v>
      </c>
      <c r="F1602" t="s">
        <v>33</v>
      </c>
      <c r="G1602" t="s">
        <v>71</v>
      </c>
      <c r="H1602" t="s">
        <v>35</v>
      </c>
      <c r="I1602" t="s">
        <v>2814</v>
      </c>
      <c r="J1602" t="s">
        <v>2825</v>
      </c>
      <c r="K1602" t="s">
        <v>36</v>
      </c>
      <c r="L1602" t="s">
        <v>33</v>
      </c>
      <c r="R1602" t="s">
        <v>2826</v>
      </c>
      <c r="S1602">
        <v>30</v>
      </c>
      <c r="T1602" t="s">
        <v>40</v>
      </c>
      <c r="U1602">
        <f>+IF(Tabla1[[#This Row],[MONEDA]]="PEN",Tabla1[[#This Row],[MONTO]],Tabla1[[#This Row],[MONTO]]*3.56)</f>
        <v>30</v>
      </c>
      <c r="V1602" t="s">
        <v>190</v>
      </c>
      <c r="W1602">
        <v>34656</v>
      </c>
      <c r="X1602" t="s">
        <v>41</v>
      </c>
      <c r="Y1602" t="s">
        <v>42</v>
      </c>
      <c r="Z1602" t="s">
        <v>43</v>
      </c>
      <c r="AA1602" t="s">
        <v>2827</v>
      </c>
      <c r="AC1602" t="s">
        <v>2828</v>
      </c>
      <c r="AD1602" t="s">
        <v>2829</v>
      </c>
    </row>
    <row r="1603" spans="1:33" hidden="1" x14ac:dyDescent="0.25">
      <c r="A1603">
        <v>38537</v>
      </c>
      <c r="B1603" t="s">
        <v>32</v>
      </c>
      <c r="C1603">
        <v>1</v>
      </c>
      <c r="D1603" t="s">
        <v>2814</v>
      </c>
      <c r="E1603" t="s">
        <v>70</v>
      </c>
      <c r="F1603" t="s">
        <v>33</v>
      </c>
      <c r="G1603" t="s">
        <v>71</v>
      </c>
      <c r="H1603" t="s">
        <v>35</v>
      </c>
      <c r="I1603" t="s">
        <v>2814</v>
      </c>
      <c r="J1603" t="s">
        <v>2830</v>
      </c>
      <c r="K1603" t="s">
        <v>36</v>
      </c>
      <c r="L1603" t="s">
        <v>33</v>
      </c>
      <c r="O1603" t="s">
        <v>76</v>
      </c>
      <c r="R1603" t="s">
        <v>2831</v>
      </c>
      <c r="S1603">
        <v>80</v>
      </c>
      <c r="T1603" t="s">
        <v>40</v>
      </c>
      <c r="U1603">
        <f>+IF(Tabla1[[#This Row],[MONEDA]]="PEN",Tabla1[[#This Row],[MONTO]],Tabla1[[#This Row],[MONTO]]*3.56)</f>
        <v>80</v>
      </c>
      <c r="V1603" t="s">
        <v>190</v>
      </c>
      <c r="W1603">
        <v>34656</v>
      </c>
      <c r="X1603" t="s">
        <v>41</v>
      </c>
      <c r="Y1603" t="s">
        <v>42</v>
      </c>
      <c r="Z1603" t="s">
        <v>43</v>
      </c>
      <c r="AA1603" t="s">
        <v>2832</v>
      </c>
      <c r="AC1603" t="s">
        <v>2833</v>
      </c>
      <c r="AD1603" t="s">
        <v>2834</v>
      </c>
    </row>
    <row r="1604" spans="1:33" hidden="1" x14ac:dyDescent="0.25">
      <c r="A1604">
        <v>38532</v>
      </c>
      <c r="B1604" t="s">
        <v>32</v>
      </c>
      <c r="C1604">
        <v>1</v>
      </c>
      <c r="D1604" t="s">
        <v>2841</v>
      </c>
      <c r="E1604" t="s">
        <v>70</v>
      </c>
      <c r="F1604" t="s">
        <v>33</v>
      </c>
      <c r="G1604" t="s">
        <v>71</v>
      </c>
      <c r="H1604" t="s">
        <v>35</v>
      </c>
      <c r="I1604" t="s">
        <v>2841</v>
      </c>
      <c r="J1604" t="s">
        <v>2842</v>
      </c>
      <c r="K1604" t="s">
        <v>36</v>
      </c>
      <c r="L1604" t="s">
        <v>33</v>
      </c>
      <c r="O1604" t="s">
        <v>76</v>
      </c>
      <c r="R1604" t="s">
        <v>2843</v>
      </c>
      <c r="S1604">
        <v>50</v>
      </c>
      <c r="T1604" t="s">
        <v>40</v>
      </c>
      <c r="U1604">
        <f>+IF(Tabla1[[#This Row],[MONEDA]]="PEN",Tabla1[[#This Row],[MONTO]],Tabla1[[#This Row],[MONTO]]*3.56)</f>
        <v>50</v>
      </c>
      <c r="V1604" t="s">
        <v>190</v>
      </c>
      <c r="W1604">
        <v>34656</v>
      </c>
      <c r="X1604" t="s">
        <v>81</v>
      </c>
      <c r="Y1604" t="s">
        <v>42</v>
      </c>
      <c r="Z1604" t="s">
        <v>43</v>
      </c>
      <c r="AA1604" t="s">
        <v>2844</v>
      </c>
      <c r="AC1604" t="s">
        <v>2845</v>
      </c>
      <c r="AD1604" t="s">
        <v>2846</v>
      </c>
    </row>
    <row r="1605" spans="1:33" hidden="1" x14ac:dyDescent="0.25">
      <c r="A1605">
        <v>38413</v>
      </c>
      <c r="B1605" t="s">
        <v>32</v>
      </c>
      <c r="C1605">
        <v>1</v>
      </c>
      <c r="D1605" t="s">
        <v>2863</v>
      </c>
      <c r="E1605" t="s">
        <v>70</v>
      </c>
      <c r="F1605" t="s">
        <v>33</v>
      </c>
      <c r="G1605" t="s">
        <v>71</v>
      </c>
      <c r="H1605" t="s">
        <v>35</v>
      </c>
      <c r="I1605" t="s">
        <v>2863</v>
      </c>
      <c r="J1605" t="s">
        <v>2864</v>
      </c>
      <c r="K1605" t="s">
        <v>36</v>
      </c>
      <c r="L1605" t="s">
        <v>33</v>
      </c>
      <c r="O1605" t="s">
        <v>76</v>
      </c>
      <c r="R1605" t="s">
        <v>2865</v>
      </c>
      <c r="S1605">
        <v>200</v>
      </c>
      <c r="T1605" t="s">
        <v>40</v>
      </c>
      <c r="U1605">
        <f>+IF(Tabla1[[#This Row],[MONEDA]]="PEN",Tabla1[[#This Row],[MONTO]],Tabla1[[#This Row],[MONTO]]*3.56)</f>
        <v>200</v>
      </c>
      <c r="V1605" t="s">
        <v>190</v>
      </c>
      <c r="W1605">
        <v>34656</v>
      </c>
      <c r="X1605" t="s">
        <v>41</v>
      </c>
      <c r="Y1605" t="s">
        <v>42</v>
      </c>
      <c r="Z1605" t="s">
        <v>43</v>
      </c>
      <c r="AA1605" t="s">
        <v>2866</v>
      </c>
      <c r="AC1605" t="s">
        <v>2867</v>
      </c>
      <c r="AD1605" t="s">
        <v>2868</v>
      </c>
    </row>
    <row r="1606" spans="1:33" hidden="1" x14ac:dyDescent="0.25">
      <c r="A1606">
        <v>38414</v>
      </c>
      <c r="B1606" t="s">
        <v>32</v>
      </c>
      <c r="C1606">
        <v>1</v>
      </c>
      <c r="D1606" t="s">
        <v>2863</v>
      </c>
      <c r="E1606" t="s">
        <v>70</v>
      </c>
      <c r="F1606" t="s">
        <v>33</v>
      </c>
      <c r="G1606" t="s">
        <v>71</v>
      </c>
      <c r="H1606" t="s">
        <v>35</v>
      </c>
      <c r="I1606" t="s">
        <v>2863</v>
      </c>
      <c r="J1606" t="s">
        <v>2869</v>
      </c>
      <c r="K1606" t="s">
        <v>36</v>
      </c>
      <c r="L1606" t="s">
        <v>33</v>
      </c>
      <c r="O1606" t="s">
        <v>76</v>
      </c>
      <c r="R1606" t="s">
        <v>2870</v>
      </c>
      <c r="S1606">
        <v>20</v>
      </c>
      <c r="T1606" t="s">
        <v>40</v>
      </c>
      <c r="U1606">
        <f>+IF(Tabla1[[#This Row],[MONEDA]]="PEN",Tabla1[[#This Row],[MONTO]],Tabla1[[#This Row],[MONTO]]*3.56)</f>
        <v>20</v>
      </c>
      <c r="V1606" t="s">
        <v>190</v>
      </c>
      <c r="W1606">
        <v>34656</v>
      </c>
      <c r="X1606" t="s">
        <v>41</v>
      </c>
      <c r="Y1606" t="s">
        <v>42</v>
      </c>
      <c r="Z1606" t="s">
        <v>43</v>
      </c>
      <c r="AA1606" t="s">
        <v>2871</v>
      </c>
      <c r="AC1606" t="s">
        <v>2872</v>
      </c>
      <c r="AD1606" t="s">
        <v>2873</v>
      </c>
    </row>
    <row r="1607" spans="1:33" hidden="1" x14ac:dyDescent="0.25">
      <c r="A1607">
        <v>38415</v>
      </c>
      <c r="B1607" t="s">
        <v>32</v>
      </c>
      <c r="C1607">
        <v>1</v>
      </c>
      <c r="D1607" t="s">
        <v>2863</v>
      </c>
      <c r="E1607" t="s">
        <v>70</v>
      </c>
      <c r="F1607" t="s">
        <v>33</v>
      </c>
      <c r="G1607" t="s">
        <v>71</v>
      </c>
      <c r="H1607" t="s">
        <v>35</v>
      </c>
      <c r="I1607" t="s">
        <v>2863</v>
      </c>
      <c r="J1607" t="s">
        <v>2874</v>
      </c>
      <c r="K1607" t="s">
        <v>36</v>
      </c>
      <c r="L1607" t="s">
        <v>33</v>
      </c>
      <c r="O1607" t="s">
        <v>76</v>
      </c>
      <c r="R1607" t="s">
        <v>2875</v>
      </c>
      <c r="S1607">
        <v>60</v>
      </c>
      <c r="T1607" t="s">
        <v>40</v>
      </c>
      <c r="U1607">
        <f>+IF(Tabla1[[#This Row],[MONEDA]]="PEN",Tabla1[[#This Row],[MONTO]],Tabla1[[#This Row],[MONTO]]*3.56)</f>
        <v>60</v>
      </c>
      <c r="V1607" t="s">
        <v>190</v>
      </c>
      <c r="W1607">
        <v>34656</v>
      </c>
      <c r="X1607" t="s">
        <v>41</v>
      </c>
      <c r="Y1607" t="s">
        <v>42</v>
      </c>
      <c r="Z1607" t="s">
        <v>43</v>
      </c>
      <c r="AA1607" t="s">
        <v>2876</v>
      </c>
      <c r="AC1607" t="s">
        <v>2877</v>
      </c>
      <c r="AD1607" t="s">
        <v>2878</v>
      </c>
    </row>
    <row r="1608" spans="1:33" hidden="1" x14ac:dyDescent="0.25">
      <c r="A1608">
        <v>38416</v>
      </c>
      <c r="B1608" t="s">
        <v>32</v>
      </c>
      <c r="C1608">
        <v>1</v>
      </c>
      <c r="D1608" t="s">
        <v>2863</v>
      </c>
      <c r="E1608" t="s">
        <v>70</v>
      </c>
      <c r="F1608" t="s">
        <v>33</v>
      </c>
      <c r="G1608" t="s">
        <v>71</v>
      </c>
      <c r="H1608" t="s">
        <v>35</v>
      </c>
      <c r="I1608" t="s">
        <v>2863</v>
      </c>
      <c r="J1608" t="s">
        <v>2879</v>
      </c>
      <c r="K1608" t="s">
        <v>36</v>
      </c>
      <c r="L1608" t="s">
        <v>33</v>
      </c>
      <c r="O1608" t="s">
        <v>76</v>
      </c>
      <c r="R1608" t="s">
        <v>2880</v>
      </c>
      <c r="S1608">
        <v>50</v>
      </c>
      <c r="T1608" t="s">
        <v>40</v>
      </c>
      <c r="U1608">
        <f>+IF(Tabla1[[#This Row],[MONEDA]]="PEN",Tabla1[[#This Row],[MONTO]],Tabla1[[#This Row],[MONTO]]*3.56)</f>
        <v>50</v>
      </c>
      <c r="V1608" t="s">
        <v>190</v>
      </c>
      <c r="W1608">
        <v>34656</v>
      </c>
      <c r="X1608" t="s">
        <v>41</v>
      </c>
      <c r="Y1608" t="s">
        <v>42</v>
      </c>
      <c r="Z1608" t="s">
        <v>43</v>
      </c>
      <c r="AA1608" t="s">
        <v>2881</v>
      </c>
      <c r="AC1608" t="s">
        <v>2882</v>
      </c>
      <c r="AD1608" t="s">
        <v>2883</v>
      </c>
    </row>
    <row r="1609" spans="1:33" hidden="1" x14ac:dyDescent="0.25">
      <c r="A1609">
        <v>38409</v>
      </c>
      <c r="B1609" t="s">
        <v>32</v>
      </c>
      <c r="C1609">
        <v>1</v>
      </c>
      <c r="D1609" t="s">
        <v>2884</v>
      </c>
      <c r="E1609" t="s">
        <v>70</v>
      </c>
      <c r="F1609" t="s">
        <v>33</v>
      </c>
      <c r="G1609" t="s">
        <v>71</v>
      </c>
      <c r="H1609" t="s">
        <v>35</v>
      </c>
      <c r="I1609" t="s">
        <v>2884</v>
      </c>
      <c r="J1609" t="s">
        <v>2895</v>
      </c>
      <c r="K1609" t="s">
        <v>36</v>
      </c>
      <c r="L1609" t="s">
        <v>33</v>
      </c>
      <c r="O1609" t="s">
        <v>76</v>
      </c>
      <c r="R1609" t="s">
        <v>2896</v>
      </c>
      <c r="S1609">
        <v>44</v>
      </c>
      <c r="T1609" t="s">
        <v>40</v>
      </c>
      <c r="U1609">
        <f>+IF(Tabla1[[#This Row],[MONEDA]]="PEN",Tabla1[[#This Row],[MONTO]],Tabla1[[#This Row],[MONTO]]*3.56)</f>
        <v>44</v>
      </c>
      <c r="V1609" t="s">
        <v>190</v>
      </c>
      <c r="W1609">
        <v>34656</v>
      </c>
      <c r="X1609" t="s">
        <v>81</v>
      </c>
      <c r="Y1609" t="s">
        <v>42</v>
      </c>
      <c r="Z1609" t="s">
        <v>43</v>
      </c>
      <c r="AA1609" t="s">
        <v>2897</v>
      </c>
      <c r="AC1609" t="s">
        <v>2898</v>
      </c>
      <c r="AD1609" t="s">
        <v>2899</v>
      </c>
    </row>
    <row r="1610" spans="1:33" hidden="1" x14ac:dyDescent="0.25">
      <c r="A1610">
        <v>38411</v>
      </c>
      <c r="B1610" t="s">
        <v>32</v>
      </c>
      <c r="C1610">
        <v>1</v>
      </c>
      <c r="D1610" t="s">
        <v>2884</v>
      </c>
      <c r="E1610" t="s">
        <v>70</v>
      </c>
      <c r="F1610" t="s">
        <v>33</v>
      </c>
      <c r="G1610" t="s">
        <v>71</v>
      </c>
      <c r="H1610" t="s">
        <v>35</v>
      </c>
      <c r="I1610" t="s">
        <v>2884</v>
      </c>
      <c r="J1610" t="s">
        <v>2905</v>
      </c>
      <c r="K1610" t="s">
        <v>36</v>
      </c>
      <c r="L1610" t="s">
        <v>33</v>
      </c>
      <c r="R1610" t="s">
        <v>2906</v>
      </c>
      <c r="S1610">
        <v>10</v>
      </c>
      <c r="T1610" t="s">
        <v>40</v>
      </c>
      <c r="U1610">
        <f>+IF(Tabla1[[#This Row],[MONEDA]]="PEN",Tabla1[[#This Row],[MONTO]],Tabla1[[#This Row],[MONTO]]*3.56)</f>
        <v>10</v>
      </c>
      <c r="V1610" t="s">
        <v>190</v>
      </c>
      <c r="W1610">
        <v>34656</v>
      </c>
      <c r="X1610" t="s">
        <v>41</v>
      </c>
      <c r="Y1610" t="s">
        <v>42</v>
      </c>
      <c r="Z1610" t="s">
        <v>43</v>
      </c>
      <c r="AA1610" t="s">
        <v>2907</v>
      </c>
      <c r="AC1610" t="s">
        <v>2908</v>
      </c>
      <c r="AD1610" t="s">
        <v>2909</v>
      </c>
    </row>
    <row r="1611" spans="1:33" hidden="1" x14ac:dyDescent="0.25">
      <c r="A1611">
        <v>38412</v>
      </c>
      <c r="B1611" t="s">
        <v>32</v>
      </c>
      <c r="C1611">
        <v>1</v>
      </c>
      <c r="D1611" t="s">
        <v>2884</v>
      </c>
      <c r="E1611" t="s">
        <v>70</v>
      </c>
      <c r="F1611" t="s">
        <v>33</v>
      </c>
      <c r="G1611" t="s">
        <v>71</v>
      </c>
      <c r="H1611" t="s">
        <v>35</v>
      </c>
      <c r="I1611" t="s">
        <v>2884</v>
      </c>
      <c r="J1611" t="s">
        <v>2910</v>
      </c>
      <c r="K1611" t="s">
        <v>36</v>
      </c>
      <c r="L1611" t="s">
        <v>33</v>
      </c>
      <c r="O1611" t="s">
        <v>76</v>
      </c>
      <c r="R1611" t="s">
        <v>2911</v>
      </c>
      <c r="S1611">
        <v>7</v>
      </c>
      <c r="T1611" t="s">
        <v>40</v>
      </c>
      <c r="U1611">
        <f>+IF(Tabla1[[#This Row],[MONEDA]]="PEN",Tabla1[[#This Row],[MONTO]],Tabla1[[#This Row],[MONTO]]*3.56)</f>
        <v>7</v>
      </c>
      <c r="V1611" t="s">
        <v>190</v>
      </c>
      <c r="W1611">
        <v>34656</v>
      </c>
      <c r="X1611" t="s">
        <v>41</v>
      </c>
      <c r="Y1611" t="s">
        <v>42</v>
      </c>
      <c r="Z1611" t="s">
        <v>43</v>
      </c>
      <c r="AA1611" t="s">
        <v>2912</v>
      </c>
      <c r="AC1611" t="s">
        <v>2913</v>
      </c>
      <c r="AD1611" t="s">
        <v>2914</v>
      </c>
    </row>
    <row r="1612" spans="1:33" hidden="1" x14ac:dyDescent="0.25">
      <c r="A1612">
        <v>38402</v>
      </c>
      <c r="B1612" t="s">
        <v>32</v>
      </c>
      <c r="C1612">
        <v>1</v>
      </c>
      <c r="D1612" t="s">
        <v>2921</v>
      </c>
      <c r="E1612" t="s">
        <v>70</v>
      </c>
      <c r="F1612" t="s">
        <v>33</v>
      </c>
      <c r="G1612" t="s">
        <v>71</v>
      </c>
      <c r="H1612" t="s">
        <v>35</v>
      </c>
      <c r="I1612" t="s">
        <v>2921</v>
      </c>
      <c r="J1612" t="s">
        <v>2926</v>
      </c>
      <c r="K1612" t="s">
        <v>36</v>
      </c>
      <c r="L1612" t="s">
        <v>33</v>
      </c>
      <c r="O1612" t="s">
        <v>76</v>
      </c>
      <c r="R1612" t="s">
        <v>2356</v>
      </c>
      <c r="S1612">
        <v>15</v>
      </c>
      <c r="T1612" t="s">
        <v>40</v>
      </c>
      <c r="U1612">
        <f>+IF(Tabla1[[#This Row],[MONEDA]]="PEN",Tabla1[[#This Row],[MONTO]],Tabla1[[#This Row],[MONTO]]*3.56)</f>
        <v>15</v>
      </c>
      <c r="V1612" t="s">
        <v>190</v>
      </c>
      <c r="W1612">
        <v>34656</v>
      </c>
      <c r="X1612" t="s">
        <v>41</v>
      </c>
      <c r="Y1612" t="s">
        <v>42</v>
      </c>
      <c r="Z1612" t="s">
        <v>43</v>
      </c>
      <c r="AA1612" t="s">
        <v>2927</v>
      </c>
      <c r="AC1612" t="s">
        <v>2928</v>
      </c>
      <c r="AD1612" t="s">
        <v>2929</v>
      </c>
    </row>
    <row r="1613" spans="1:33" hidden="1" x14ac:dyDescent="0.25">
      <c r="A1613">
        <v>38404</v>
      </c>
      <c r="B1613" t="s">
        <v>32</v>
      </c>
      <c r="C1613">
        <v>1</v>
      </c>
      <c r="D1613" t="s">
        <v>2921</v>
      </c>
      <c r="E1613" t="s">
        <v>70</v>
      </c>
      <c r="F1613" t="s">
        <v>33</v>
      </c>
      <c r="G1613" t="s">
        <v>71</v>
      </c>
      <c r="H1613" t="s">
        <v>35</v>
      </c>
      <c r="I1613" t="s">
        <v>2921</v>
      </c>
      <c r="J1613" t="s">
        <v>2935</v>
      </c>
      <c r="K1613" t="s">
        <v>36</v>
      </c>
      <c r="L1613" t="s">
        <v>33</v>
      </c>
      <c r="O1613" t="s">
        <v>76</v>
      </c>
      <c r="R1613" t="s">
        <v>2936</v>
      </c>
      <c r="S1613">
        <v>150</v>
      </c>
      <c r="T1613" t="s">
        <v>40</v>
      </c>
      <c r="U1613">
        <f>+IF(Tabla1[[#This Row],[MONEDA]]="PEN",Tabla1[[#This Row],[MONTO]],Tabla1[[#This Row],[MONTO]]*3.56)</f>
        <v>150</v>
      </c>
      <c r="V1613" t="s">
        <v>190</v>
      </c>
      <c r="W1613">
        <v>34656</v>
      </c>
      <c r="X1613" t="s">
        <v>81</v>
      </c>
      <c r="Y1613" t="s">
        <v>42</v>
      </c>
      <c r="Z1613" t="s">
        <v>43</v>
      </c>
      <c r="AA1613" t="s">
        <v>2937</v>
      </c>
      <c r="AC1613" t="s">
        <v>2938</v>
      </c>
      <c r="AD1613" t="s">
        <v>2939</v>
      </c>
    </row>
    <row r="1614" spans="1:33" hidden="1" x14ac:dyDescent="0.25">
      <c r="A1614">
        <v>38405</v>
      </c>
      <c r="B1614" t="s">
        <v>32</v>
      </c>
      <c r="C1614">
        <v>1</v>
      </c>
      <c r="D1614" t="s">
        <v>2921</v>
      </c>
      <c r="E1614" t="s">
        <v>70</v>
      </c>
      <c r="F1614" t="s">
        <v>33</v>
      </c>
      <c r="G1614" t="s">
        <v>71</v>
      </c>
      <c r="H1614" t="s">
        <v>35</v>
      </c>
      <c r="I1614" t="s">
        <v>2921</v>
      </c>
      <c r="J1614" t="s">
        <v>2940</v>
      </c>
      <c r="K1614" t="s">
        <v>36</v>
      </c>
      <c r="L1614" t="s">
        <v>33</v>
      </c>
      <c r="O1614" t="s">
        <v>76</v>
      </c>
      <c r="R1614" t="s">
        <v>2941</v>
      </c>
      <c r="S1614">
        <v>20</v>
      </c>
      <c r="T1614" t="s">
        <v>40</v>
      </c>
      <c r="U1614">
        <f>+IF(Tabla1[[#This Row],[MONEDA]]="PEN",Tabla1[[#This Row],[MONTO]],Tabla1[[#This Row],[MONTO]]*3.56)</f>
        <v>20</v>
      </c>
      <c r="V1614" t="s">
        <v>190</v>
      </c>
      <c r="W1614">
        <v>34656</v>
      </c>
      <c r="X1614" t="s">
        <v>41</v>
      </c>
      <c r="Y1614" t="s">
        <v>42</v>
      </c>
      <c r="Z1614" t="s">
        <v>43</v>
      </c>
      <c r="AA1614" t="s">
        <v>2942</v>
      </c>
      <c r="AC1614" t="s">
        <v>2943</v>
      </c>
      <c r="AD1614" t="s">
        <v>2944</v>
      </c>
    </row>
    <row r="1615" spans="1:33" x14ac:dyDescent="0.25">
      <c r="A1615">
        <v>37895</v>
      </c>
      <c r="B1615" t="s">
        <v>32</v>
      </c>
      <c r="C1615">
        <v>3</v>
      </c>
      <c r="D1615" t="s">
        <v>3052</v>
      </c>
      <c r="E1615" t="s">
        <v>70</v>
      </c>
      <c r="F1615" t="s">
        <v>130</v>
      </c>
      <c r="G1615" t="s">
        <v>132</v>
      </c>
      <c r="H1615" t="s">
        <v>132</v>
      </c>
      <c r="I1615" t="s">
        <v>3052</v>
      </c>
      <c r="J1615" t="s">
        <v>3052</v>
      </c>
      <c r="K1615" t="s">
        <v>36</v>
      </c>
      <c r="L1615" t="s">
        <v>33</v>
      </c>
      <c r="O1615" t="s">
        <v>3053</v>
      </c>
      <c r="P1615" t="s">
        <v>38</v>
      </c>
      <c r="Q1615">
        <v>57040274725094</v>
      </c>
      <c r="R1615" t="s">
        <v>510</v>
      </c>
      <c r="S1615">
        <v>2082.7800000000002</v>
      </c>
      <c r="T1615" t="s">
        <v>40</v>
      </c>
      <c r="U1615">
        <f>+IF(Tabla1[[#This Row],[MONEDA]]="PEN",Tabla1[[#This Row],[MONTO]],Tabla1[[#This Row],[MONTO]]*3.56)</f>
        <v>2082.7800000000002</v>
      </c>
      <c r="X1615" t="s">
        <v>139</v>
      </c>
      <c r="Y1615" t="s">
        <v>42</v>
      </c>
      <c r="Z1615" t="s">
        <v>511</v>
      </c>
      <c r="AA1615" t="s">
        <v>3054</v>
      </c>
      <c r="AB1615" t="s">
        <v>3055</v>
      </c>
      <c r="AC1615" t="s">
        <v>3056</v>
      </c>
      <c r="AE1615">
        <v>2082.7800000000002</v>
      </c>
      <c r="AG1615" t="s">
        <v>169</v>
      </c>
    </row>
    <row r="1616" spans="1:33" hidden="1" x14ac:dyDescent="0.25">
      <c r="A1616">
        <v>37779</v>
      </c>
      <c r="B1616" t="s">
        <v>32</v>
      </c>
      <c r="C1616">
        <v>6</v>
      </c>
      <c r="D1616" t="s">
        <v>3236</v>
      </c>
      <c r="E1616" t="s">
        <v>70</v>
      </c>
      <c r="F1616" t="s">
        <v>130</v>
      </c>
      <c r="G1616" t="s">
        <v>131</v>
      </c>
      <c r="H1616" t="s">
        <v>132</v>
      </c>
      <c r="I1616" t="s">
        <v>3236</v>
      </c>
      <c r="J1616" t="s">
        <v>3237</v>
      </c>
      <c r="K1616" t="s">
        <v>36</v>
      </c>
      <c r="L1616" t="s">
        <v>33</v>
      </c>
      <c r="R1616" t="s">
        <v>3238</v>
      </c>
      <c r="S1616">
        <v>26631.56</v>
      </c>
      <c r="T1616" t="s">
        <v>40</v>
      </c>
      <c r="U1616">
        <f>+IF(Tabla1[[#This Row],[MONEDA]]="PEN",Tabla1[[#This Row],[MONTO]],Tabla1[[#This Row],[MONTO]]*3.56)</f>
        <v>26631.56</v>
      </c>
      <c r="V1616" t="s">
        <v>190</v>
      </c>
      <c r="W1616">
        <v>37758</v>
      </c>
      <c r="X1616" t="s">
        <v>139</v>
      </c>
      <c r="Y1616" t="s">
        <v>51</v>
      </c>
      <c r="Z1616" t="s">
        <v>43</v>
      </c>
      <c r="AA1616" t="s">
        <v>3239</v>
      </c>
    </row>
    <row r="1617" spans="1:33" hidden="1" x14ac:dyDescent="0.25">
      <c r="A1617">
        <v>37568</v>
      </c>
      <c r="B1617" t="s">
        <v>32</v>
      </c>
      <c r="C1617">
        <v>6</v>
      </c>
      <c r="D1617" t="s">
        <v>3325</v>
      </c>
      <c r="E1617" t="s">
        <v>70</v>
      </c>
      <c r="F1617" t="s">
        <v>130</v>
      </c>
      <c r="G1617" t="s">
        <v>131</v>
      </c>
      <c r="H1617" t="s">
        <v>132</v>
      </c>
      <c r="I1617" t="s">
        <v>3325</v>
      </c>
      <c r="J1617" t="s">
        <v>3326</v>
      </c>
      <c r="K1617" t="s">
        <v>36</v>
      </c>
      <c r="L1617" t="s">
        <v>33</v>
      </c>
      <c r="R1617" t="s">
        <v>3327</v>
      </c>
      <c r="S1617">
        <v>101.7</v>
      </c>
      <c r="T1617" t="s">
        <v>40</v>
      </c>
      <c r="U1617">
        <f>+IF(Tabla1[[#This Row],[MONEDA]]="PEN",Tabla1[[#This Row],[MONTO]],Tabla1[[#This Row],[MONTO]]*3.56)</f>
        <v>101.7</v>
      </c>
      <c r="V1617" t="s">
        <v>190</v>
      </c>
      <c r="W1617">
        <v>37523</v>
      </c>
      <c r="X1617" t="s">
        <v>139</v>
      </c>
      <c r="Y1617" t="s">
        <v>51</v>
      </c>
      <c r="Z1617" t="s">
        <v>43</v>
      </c>
      <c r="AA1617" t="s">
        <v>3328</v>
      </c>
    </row>
    <row r="1618" spans="1:33" hidden="1" x14ac:dyDescent="0.25">
      <c r="A1618">
        <v>37538</v>
      </c>
      <c r="B1618" t="s">
        <v>32</v>
      </c>
      <c r="C1618">
        <v>6</v>
      </c>
      <c r="D1618" t="s">
        <v>3347</v>
      </c>
      <c r="E1618" t="s">
        <v>70</v>
      </c>
      <c r="F1618" t="s">
        <v>130</v>
      </c>
      <c r="G1618" t="s">
        <v>131</v>
      </c>
      <c r="H1618" t="s">
        <v>132</v>
      </c>
      <c r="I1618" t="s">
        <v>3347</v>
      </c>
      <c r="J1618" t="s">
        <v>3348</v>
      </c>
      <c r="K1618" t="s">
        <v>36</v>
      </c>
      <c r="L1618" t="s">
        <v>33</v>
      </c>
      <c r="R1618" t="s">
        <v>3349</v>
      </c>
      <c r="S1618">
        <v>73.37</v>
      </c>
      <c r="T1618" t="s">
        <v>40</v>
      </c>
      <c r="U1618">
        <f>+IF(Tabla1[[#This Row],[MONEDA]]="PEN",Tabla1[[#This Row],[MONTO]],Tabla1[[#This Row],[MONTO]]*3.56)</f>
        <v>73.37</v>
      </c>
      <c r="V1618" t="s">
        <v>190</v>
      </c>
      <c r="W1618">
        <v>37520</v>
      </c>
      <c r="X1618" t="s">
        <v>139</v>
      </c>
      <c r="Y1618" t="s">
        <v>51</v>
      </c>
      <c r="Z1618" t="s">
        <v>43</v>
      </c>
      <c r="AA1618" t="s">
        <v>3350</v>
      </c>
    </row>
    <row r="1619" spans="1:33" hidden="1" x14ac:dyDescent="0.25">
      <c r="A1619">
        <v>37501</v>
      </c>
      <c r="B1619" t="s">
        <v>32</v>
      </c>
      <c r="C1619">
        <v>6</v>
      </c>
      <c r="D1619" t="s">
        <v>3383</v>
      </c>
      <c r="E1619" t="s">
        <v>70</v>
      </c>
      <c r="F1619" t="s">
        <v>130</v>
      </c>
      <c r="G1619" t="s">
        <v>131</v>
      </c>
      <c r="H1619" t="s">
        <v>132</v>
      </c>
      <c r="I1619" t="s">
        <v>3383</v>
      </c>
      <c r="J1619" t="s">
        <v>3384</v>
      </c>
      <c r="K1619" t="s">
        <v>36</v>
      </c>
      <c r="L1619" t="s">
        <v>33</v>
      </c>
      <c r="R1619" t="s">
        <v>3385</v>
      </c>
      <c r="S1619">
        <v>2454.63</v>
      </c>
      <c r="T1619" t="s">
        <v>40</v>
      </c>
      <c r="U1619">
        <f>+IF(Tabla1[[#This Row],[MONEDA]]="PEN",Tabla1[[#This Row],[MONTO]],Tabla1[[#This Row],[MONTO]]*3.56)</f>
        <v>2454.63</v>
      </c>
      <c r="V1619" t="s">
        <v>190</v>
      </c>
      <c r="W1619">
        <v>37366</v>
      </c>
      <c r="X1619" t="s">
        <v>139</v>
      </c>
      <c r="Y1619" t="s">
        <v>51</v>
      </c>
      <c r="Z1619" t="s">
        <v>43</v>
      </c>
      <c r="AA1619" t="s">
        <v>3386</v>
      </c>
    </row>
    <row r="1620" spans="1:33" hidden="1" x14ac:dyDescent="0.25">
      <c r="A1620">
        <v>37458</v>
      </c>
      <c r="B1620" t="s">
        <v>32</v>
      </c>
      <c r="C1620">
        <v>6</v>
      </c>
      <c r="D1620" t="s">
        <v>3387</v>
      </c>
      <c r="E1620" t="s">
        <v>70</v>
      </c>
      <c r="F1620" t="s">
        <v>130</v>
      </c>
      <c r="G1620" t="s">
        <v>131</v>
      </c>
      <c r="H1620" t="s">
        <v>132</v>
      </c>
      <c r="I1620" t="s">
        <v>3387</v>
      </c>
      <c r="J1620" t="s">
        <v>3388</v>
      </c>
      <c r="K1620" t="s">
        <v>36</v>
      </c>
      <c r="L1620" t="s">
        <v>33</v>
      </c>
      <c r="R1620" t="s">
        <v>3389</v>
      </c>
      <c r="S1620">
        <v>4079.53</v>
      </c>
      <c r="T1620" t="s">
        <v>40</v>
      </c>
      <c r="U1620">
        <f>+IF(Tabla1[[#This Row],[MONEDA]]="PEN",Tabla1[[#This Row],[MONTO]],Tabla1[[#This Row],[MONTO]]*3.56)</f>
        <v>4079.53</v>
      </c>
      <c r="V1620" t="s">
        <v>190</v>
      </c>
      <c r="W1620">
        <v>37365</v>
      </c>
      <c r="X1620" t="s">
        <v>139</v>
      </c>
      <c r="Y1620" t="s">
        <v>51</v>
      </c>
      <c r="Z1620" t="s">
        <v>43</v>
      </c>
      <c r="AA1620" t="s">
        <v>3390</v>
      </c>
    </row>
    <row r="1621" spans="1:33" hidden="1" x14ac:dyDescent="0.25">
      <c r="A1621">
        <v>37445</v>
      </c>
      <c r="B1621" t="s">
        <v>32</v>
      </c>
      <c r="C1621">
        <v>6</v>
      </c>
      <c r="D1621" t="s">
        <v>3391</v>
      </c>
      <c r="E1621" t="s">
        <v>70</v>
      </c>
      <c r="F1621" t="s">
        <v>130</v>
      </c>
      <c r="G1621" t="s">
        <v>131</v>
      </c>
      <c r="H1621" t="s">
        <v>132</v>
      </c>
      <c r="I1621" t="s">
        <v>3391</v>
      </c>
      <c r="J1621" t="s">
        <v>3392</v>
      </c>
      <c r="K1621" t="s">
        <v>36</v>
      </c>
      <c r="L1621" t="s">
        <v>33</v>
      </c>
      <c r="R1621" t="s">
        <v>3393</v>
      </c>
      <c r="S1621">
        <v>10882.4</v>
      </c>
      <c r="T1621" t="s">
        <v>40</v>
      </c>
      <c r="U1621">
        <f>+IF(Tabla1[[#This Row],[MONEDA]]="PEN",Tabla1[[#This Row],[MONTO]],Tabla1[[#This Row],[MONTO]]*3.56)</f>
        <v>10882.4</v>
      </c>
      <c r="V1621" t="s">
        <v>190</v>
      </c>
      <c r="W1621">
        <v>37363</v>
      </c>
      <c r="X1621" t="s">
        <v>139</v>
      </c>
      <c r="Y1621" t="s">
        <v>51</v>
      </c>
      <c r="Z1621" t="s">
        <v>43</v>
      </c>
      <c r="AA1621" t="s">
        <v>3394</v>
      </c>
    </row>
    <row r="1622" spans="1:33" hidden="1" x14ac:dyDescent="0.25">
      <c r="A1622">
        <v>37414</v>
      </c>
      <c r="B1622" t="s">
        <v>32</v>
      </c>
      <c r="C1622">
        <v>6</v>
      </c>
      <c r="D1622" t="s">
        <v>3395</v>
      </c>
      <c r="E1622" t="s">
        <v>70</v>
      </c>
      <c r="F1622" t="s">
        <v>130</v>
      </c>
      <c r="G1622" t="s">
        <v>131</v>
      </c>
      <c r="H1622" t="s">
        <v>132</v>
      </c>
      <c r="I1622" t="s">
        <v>3395</v>
      </c>
      <c r="J1622" t="s">
        <v>3396</v>
      </c>
      <c r="K1622" t="s">
        <v>36</v>
      </c>
      <c r="L1622" t="s">
        <v>33</v>
      </c>
      <c r="R1622" t="s">
        <v>3397</v>
      </c>
      <c r="S1622">
        <v>11064.7</v>
      </c>
      <c r="T1622" t="s">
        <v>40</v>
      </c>
      <c r="U1622">
        <f>+IF(Tabla1[[#This Row],[MONEDA]]="PEN",Tabla1[[#This Row],[MONTO]],Tabla1[[#This Row],[MONTO]]*3.56)</f>
        <v>11064.7</v>
      </c>
      <c r="V1622" t="s">
        <v>190</v>
      </c>
      <c r="W1622">
        <v>37362</v>
      </c>
      <c r="X1622" t="s">
        <v>139</v>
      </c>
      <c r="Y1622" t="s">
        <v>51</v>
      </c>
      <c r="Z1622" t="s">
        <v>43</v>
      </c>
      <c r="AA1622" t="s">
        <v>3398</v>
      </c>
    </row>
    <row r="1623" spans="1:33" x14ac:dyDescent="0.25">
      <c r="A1623">
        <v>37286</v>
      </c>
      <c r="B1623" t="s">
        <v>32</v>
      </c>
      <c r="C1623">
        <v>1</v>
      </c>
      <c r="D1623" t="s">
        <v>3410</v>
      </c>
      <c r="E1623" t="s">
        <v>70</v>
      </c>
      <c r="F1623" t="s">
        <v>3256</v>
      </c>
      <c r="G1623" t="s">
        <v>3257</v>
      </c>
      <c r="H1623" t="s">
        <v>159</v>
      </c>
      <c r="I1623" t="s">
        <v>3411</v>
      </c>
      <c r="J1623" t="s">
        <v>3412</v>
      </c>
      <c r="K1623" t="s">
        <v>36</v>
      </c>
      <c r="L1623" t="s">
        <v>33</v>
      </c>
      <c r="M1623">
        <v>20533151435</v>
      </c>
      <c r="P1623" t="s">
        <v>38</v>
      </c>
      <c r="Q1623" t="s">
        <v>163</v>
      </c>
      <c r="R1623" t="s">
        <v>3413</v>
      </c>
      <c r="S1623">
        <v>389.4</v>
      </c>
      <c r="T1623" t="s">
        <v>40</v>
      </c>
      <c r="U1623">
        <f>+IF(Tabla1[[#This Row],[MONEDA]]="PEN",Tabla1[[#This Row],[MONTO]],Tabla1[[#This Row],[MONTO]]*3.56)</f>
        <v>389.4</v>
      </c>
      <c r="X1623" t="s">
        <v>41</v>
      </c>
      <c r="Y1623" t="s">
        <v>42</v>
      </c>
      <c r="Z1623" t="s">
        <v>82</v>
      </c>
      <c r="AA1623" t="s">
        <v>3414</v>
      </c>
      <c r="AB1623" t="s">
        <v>3415</v>
      </c>
      <c r="AC1623" t="s">
        <v>3416</v>
      </c>
      <c r="AD1623" t="s">
        <v>3417</v>
      </c>
      <c r="AE1623">
        <v>389.4</v>
      </c>
      <c r="AF1623" t="s">
        <v>87</v>
      </c>
      <c r="AG1623" t="s">
        <v>169</v>
      </c>
    </row>
    <row r="1624" spans="1:33" hidden="1" x14ac:dyDescent="0.25">
      <c r="A1624">
        <v>37236</v>
      </c>
      <c r="B1624" t="s">
        <v>32</v>
      </c>
      <c r="C1624">
        <v>1</v>
      </c>
      <c r="D1624" t="s">
        <v>3418</v>
      </c>
      <c r="E1624" t="s">
        <v>70</v>
      </c>
      <c r="F1624" t="s">
        <v>33</v>
      </c>
      <c r="G1624" t="s">
        <v>71</v>
      </c>
      <c r="H1624" t="s">
        <v>35</v>
      </c>
      <c r="I1624" t="s">
        <v>3418</v>
      </c>
      <c r="J1624" t="s">
        <v>3418</v>
      </c>
      <c r="K1624" t="s">
        <v>36</v>
      </c>
      <c r="L1624" t="s">
        <v>33</v>
      </c>
      <c r="R1624" t="s">
        <v>3419</v>
      </c>
      <c r="S1624">
        <v>3.2</v>
      </c>
      <c r="T1624" t="s">
        <v>40</v>
      </c>
      <c r="U1624">
        <f>+IF(Tabla1[[#This Row],[MONEDA]]="PEN",Tabla1[[#This Row],[MONTO]],Tabla1[[#This Row],[MONTO]]*3.56)</f>
        <v>3.2</v>
      </c>
      <c r="V1624" t="s">
        <v>190</v>
      </c>
      <c r="W1624">
        <v>33331</v>
      </c>
      <c r="X1624" t="s">
        <v>41</v>
      </c>
      <c r="Y1624" t="s">
        <v>42</v>
      </c>
      <c r="Z1624" t="s">
        <v>43</v>
      </c>
      <c r="AA1624" t="s">
        <v>3420</v>
      </c>
      <c r="AC1624" t="s">
        <v>3421</v>
      </c>
      <c r="AD1624" t="s">
        <v>3422</v>
      </c>
    </row>
    <row r="1625" spans="1:33" x14ac:dyDescent="0.25">
      <c r="A1625">
        <v>37084</v>
      </c>
      <c r="B1625" t="s">
        <v>32</v>
      </c>
      <c r="C1625">
        <v>1</v>
      </c>
      <c r="D1625" t="s">
        <v>3499</v>
      </c>
      <c r="E1625" t="s">
        <v>70</v>
      </c>
      <c r="F1625" t="s">
        <v>130</v>
      </c>
      <c r="G1625" t="s">
        <v>132</v>
      </c>
      <c r="H1625" t="s">
        <v>132</v>
      </c>
      <c r="I1625" t="s">
        <v>3500</v>
      </c>
      <c r="J1625" t="s">
        <v>3500</v>
      </c>
      <c r="K1625" t="s">
        <v>36</v>
      </c>
      <c r="L1625" t="s">
        <v>33</v>
      </c>
      <c r="O1625" t="s">
        <v>3501</v>
      </c>
      <c r="P1625" t="s">
        <v>38</v>
      </c>
      <c r="Q1625" t="s">
        <v>3502</v>
      </c>
      <c r="R1625" t="s">
        <v>510</v>
      </c>
      <c r="S1625">
        <v>3785.04</v>
      </c>
      <c r="T1625" t="s">
        <v>40</v>
      </c>
      <c r="U1625">
        <f>+IF(Tabla1[[#This Row],[MONEDA]]="PEN",Tabla1[[#This Row],[MONTO]],Tabla1[[#This Row],[MONTO]]*3.56)</f>
        <v>3785.04</v>
      </c>
      <c r="X1625" t="s">
        <v>139</v>
      </c>
      <c r="Y1625" t="s">
        <v>42</v>
      </c>
      <c r="Z1625" t="s">
        <v>511</v>
      </c>
      <c r="AA1625" t="s">
        <v>3503</v>
      </c>
      <c r="AB1625" t="s">
        <v>3504</v>
      </c>
      <c r="AC1625" t="s">
        <v>3505</v>
      </c>
      <c r="AE1625">
        <v>3785.04</v>
      </c>
      <c r="AF1625" t="s">
        <v>87</v>
      </c>
      <c r="AG1625" t="s">
        <v>169</v>
      </c>
    </row>
    <row r="1626" spans="1:33" hidden="1" x14ac:dyDescent="0.25">
      <c r="A1626">
        <v>37073</v>
      </c>
      <c r="B1626" t="s">
        <v>32</v>
      </c>
      <c r="C1626">
        <v>1</v>
      </c>
      <c r="D1626" t="s">
        <v>3506</v>
      </c>
      <c r="E1626" t="s">
        <v>70</v>
      </c>
      <c r="F1626" t="s">
        <v>33</v>
      </c>
      <c r="G1626" t="s">
        <v>71</v>
      </c>
      <c r="H1626" t="s">
        <v>35</v>
      </c>
      <c r="I1626" t="s">
        <v>3506</v>
      </c>
      <c r="J1626" t="s">
        <v>3507</v>
      </c>
      <c r="K1626" t="s">
        <v>36</v>
      </c>
      <c r="L1626" t="s">
        <v>33</v>
      </c>
      <c r="O1626" t="s">
        <v>76</v>
      </c>
      <c r="R1626" t="s">
        <v>3508</v>
      </c>
      <c r="S1626">
        <v>25</v>
      </c>
      <c r="T1626" t="s">
        <v>40</v>
      </c>
      <c r="U1626">
        <f>+IF(Tabla1[[#This Row],[MONEDA]]="PEN",Tabla1[[#This Row],[MONTO]],Tabla1[[#This Row],[MONTO]]*3.56)</f>
        <v>25</v>
      </c>
      <c r="V1626" t="s">
        <v>190</v>
      </c>
      <c r="W1626">
        <v>33331</v>
      </c>
      <c r="X1626" t="s">
        <v>41</v>
      </c>
      <c r="Y1626" t="s">
        <v>42</v>
      </c>
      <c r="Z1626" t="s">
        <v>43</v>
      </c>
      <c r="AA1626" t="s">
        <v>3509</v>
      </c>
      <c r="AC1626" t="s">
        <v>3510</v>
      </c>
      <c r="AD1626" t="s">
        <v>3511</v>
      </c>
    </row>
    <row r="1627" spans="1:33" x14ac:dyDescent="0.25">
      <c r="A1627">
        <v>36846</v>
      </c>
      <c r="B1627" t="s">
        <v>32</v>
      </c>
      <c r="C1627">
        <v>1</v>
      </c>
      <c r="D1627" t="s">
        <v>3619</v>
      </c>
      <c r="E1627" t="s">
        <v>70</v>
      </c>
      <c r="F1627" t="s">
        <v>157</v>
      </c>
      <c r="G1627" t="s">
        <v>158</v>
      </c>
      <c r="H1627" t="s">
        <v>159</v>
      </c>
      <c r="I1627" t="s">
        <v>3612</v>
      </c>
      <c r="J1627" t="s">
        <v>3620</v>
      </c>
      <c r="K1627" t="s">
        <v>36</v>
      </c>
      <c r="L1627" t="s">
        <v>33</v>
      </c>
      <c r="M1627">
        <v>20533151435</v>
      </c>
      <c r="P1627" t="s">
        <v>38</v>
      </c>
      <c r="Q1627" t="s">
        <v>163</v>
      </c>
      <c r="R1627" t="s">
        <v>3621</v>
      </c>
      <c r="S1627">
        <v>194.7</v>
      </c>
      <c r="T1627" t="s">
        <v>40</v>
      </c>
      <c r="U1627">
        <f>+IF(Tabla1[[#This Row],[MONEDA]]="PEN",Tabla1[[#This Row],[MONTO]],Tabla1[[#This Row],[MONTO]]*3.56)</f>
        <v>194.7</v>
      </c>
      <c r="X1627" t="s">
        <v>41</v>
      </c>
      <c r="Y1627" t="s">
        <v>42</v>
      </c>
      <c r="Z1627" t="s">
        <v>82</v>
      </c>
      <c r="AA1627" t="s">
        <v>3622</v>
      </c>
      <c r="AB1627" t="s">
        <v>3623</v>
      </c>
      <c r="AC1627" t="s">
        <v>3624</v>
      </c>
      <c r="AD1627" t="s">
        <v>3625</v>
      </c>
      <c r="AE1627">
        <v>194.7</v>
      </c>
      <c r="AF1627" t="s">
        <v>87</v>
      </c>
      <c r="AG1627" t="s">
        <v>169</v>
      </c>
    </row>
    <row r="1628" spans="1:33" hidden="1" x14ac:dyDescent="0.25">
      <c r="A1628">
        <v>36672</v>
      </c>
      <c r="B1628" t="s">
        <v>32</v>
      </c>
      <c r="C1628">
        <v>1</v>
      </c>
      <c r="D1628" t="s">
        <v>3725</v>
      </c>
      <c r="E1628" t="s">
        <v>70</v>
      </c>
      <c r="F1628" t="s">
        <v>33</v>
      </c>
      <c r="G1628" t="s">
        <v>71</v>
      </c>
      <c r="H1628" t="s">
        <v>35</v>
      </c>
      <c r="I1628" t="s">
        <v>3725</v>
      </c>
      <c r="J1628" t="s">
        <v>3726</v>
      </c>
      <c r="K1628" t="s">
        <v>36</v>
      </c>
      <c r="L1628" t="s">
        <v>33</v>
      </c>
      <c r="O1628" t="s">
        <v>76</v>
      </c>
      <c r="R1628" t="s">
        <v>3727</v>
      </c>
      <c r="S1628">
        <v>250</v>
      </c>
      <c r="T1628" t="s">
        <v>40</v>
      </c>
      <c r="U1628">
        <f>+IF(Tabla1[[#This Row],[MONEDA]]="PEN",Tabla1[[#This Row],[MONTO]],Tabla1[[#This Row],[MONTO]]*3.56)</f>
        <v>250</v>
      </c>
      <c r="V1628" t="s">
        <v>190</v>
      </c>
      <c r="W1628">
        <v>33331</v>
      </c>
      <c r="X1628" t="s">
        <v>41</v>
      </c>
      <c r="Y1628" t="s">
        <v>42</v>
      </c>
      <c r="Z1628" t="s">
        <v>43</v>
      </c>
      <c r="AA1628" t="s">
        <v>3728</v>
      </c>
      <c r="AC1628" t="s">
        <v>3729</v>
      </c>
      <c r="AD1628" t="s">
        <v>3730</v>
      </c>
    </row>
    <row r="1629" spans="1:33" hidden="1" x14ac:dyDescent="0.25">
      <c r="A1629">
        <v>36671</v>
      </c>
      <c r="B1629" t="s">
        <v>32</v>
      </c>
      <c r="C1629">
        <v>1</v>
      </c>
      <c r="D1629" t="s">
        <v>3731</v>
      </c>
      <c r="E1629" t="s">
        <v>70</v>
      </c>
      <c r="F1629" t="s">
        <v>33</v>
      </c>
      <c r="G1629" t="s">
        <v>71</v>
      </c>
      <c r="H1629" t="s">
        <v>35</v>
      </c>
      <c r="I1629" t="s">
        <v>3731</v>
      </c>
      <c r="J1629" t="s">
        <v>3732</v>
      </c>
      <c r="K1629" t="s">
        <v>36</v>
      </c>
      <c r="L1629" t="s">
        <v>33</v>
      </c>
      <c r="O1629" t="s">
        <v>76</v>
      </c>
      <c r="R1629" t="s">
        <v>2356</v>
      </c>
      <c r="S1629">
        <v>20</v>
      </c>
      <c r="T1629" t="s">
        <v>40</v>
      </c>
      <c r="U1629">
        <f>+IF(Tabla1[[#This Row],[MONEDA]]="PEN",Tabla1[[#This Row],[MONTO]],Tabla1[[#This Row],[MONTO]]*3.56)</f>
        <v>20</v>
      </c>
      <c r="V1629" t="s">
        <v>190</v>
      </c>
      <c r="W1629">
        <v>33331</v>
      </c>
      <c r="X1629" t="s">
        <v>41</v>
      </c>
      <c r="Y1629" t="s">
        <v>42</v>
      </c>
      <c r="Z1629" t="s">
        <v>43</v>
      </c>
      <c r="AA1629" t="s">
        <v>3733</v>
      </c>
      <c r="AC1629" t="s">
        <v>3734</v>
      </c>
      <c r="AD1629" t="s">
        <v>3735</v>
      </c>
    </row>
    <row r="1630" spans="1:33" hidden="1" x14ac:dyDescent="0.25">
      <c r="A1630">
        <v>36668</v>
      </c>
      <c r="B1630" t="s">
        <v>32</v>
      </c>
      <c r="C1630">
        <v>1</v>
      </c>
      <c r="D1630" t="s">
        <v>3736</v>
      </c>
      <c r="E1630" t="s">
        <v>70</v>
      </c>
      <c r="F1630" t="s">
        <v>33</v>
      </c>
      <c r="G1630" t="s">
        <v>71</v>
      </c>
      <c r="H1630" t="s">
        <v>35</v>
      </c>
      <c r="I1630" t="s">
        <v>3736</v>
      </c>
      <c r="J1630" t="s">
        <v>3737</v>
      </c>
      <c r="K1630" t="s">
        <v>36</v>
      </c>
      <c r="L1630" t="s">
        <v>33</v>
      </c>
      <c r="O1630" t="s">
        <v>76</v>
      </c>
      <c r="R1630" t="s">
        <v>3738</v>
      </c>
      <c r="S1630">
        <v>20.5</v>
      </c>
      <c r="T1630" t="s">
        <v>40</v>
      </c>
      <c r="U1630">
        <f>+IF(Tabla1[[#This Row],[MONEDA]]="PEN",Tabla1[[#This Row],[MONTO]],Tabla1[[#This Row],[MONTO]]*3.56)</f>
        <v>20.5</v>
      </c>
      <c r="V1630" t="s">
        <v>190</v>
      </c>
      <c r="W1630">
        <v>33331</v>
      </c>
      <c r="X1630" t="s">
        <v>41</v>
      </c>
      <c r="Y1630" t="s">
        <v>42</v>
      </c>
      <c r="Z1630" t="s">
        <v>43</v>
      </c>
      <c r="AA1630" t="s">
        <v>3739</v>
      </c>
      <c r="AC1630" t="s">
        <v>3740</v>
      </c>
      <c r="AD1630" t="s">
        <v>3741</v>
      </c>
    </row>
    <row r="1631" spans="1:33" hidden="1" x14ac:dyDescent="0.25">
      <c r="A1631">
        <v>36667</v>
      </c>
      <c r="B1631" t="s">
        <v>32</v>
      </c>
      <c r="C1631">
        <v>1</v>
      </c>
      <c r="D1631" t="s">
        <v>3753</v>
      </c>
      <c r="E1631" t="s">
        <v>70</v>
      </c>
      <c r="F1631" t="s">
        <v>33</v>
      </c>
      <c r="G1631" t="s">
        <v>71</v>
      </c>
      <c r="H1631" t="s">
        <v>35</v>
      </c>
      <c r="I1631" t="s">
        <v>3753</v>
      </c>
      <c r="J1631" t="s">
        <v>3754</v>
      </c>
      <c r="K1631" t="s">
        <v>36</v>
      </c>
      <c r="L1631" t="s">
        <v>33</v>
      </c>
      <c r="O1631" t="s">
        <v>76</v>
      </c>
      <c r="R1631" t="s">
        <v>3755</v>
      </c>
      <c r="S1631">
        <v>74.900000000000006</v>
      </c>
      <c r="T1631" t="s">
        <v>40</v>
      </c>
      <c r="U1631">
        <f>+IF(Tabla1[[#This Row],[MONEDA]]="PEN",Tabla1[[#This Row],[MONTO]],Tabla1[[#This Row],[MONTO]]*3.56)</f>
        <v>74.900000000000006</v>
      </c>
      <c r="V1631" t="s">
        <v>190</v>
      </c>
      <c r="W1631">
        <v>33331</v>
      </c>
      <c r="X1631" t="s">
        <v>41</v>
      </c>
      <c r="Y1631" t="s">
        <v>42</v>
      </c>
      <c r="Z1631" t="s">
        <v>43</v>
      </c>
      <c r="AA1631" t="s">
        <v>3756</v>
      </c>
      <c r="AC1631" t="s">
        <v>3757</v>
      </c>
      <c r="AD1631" t="s">
        <v>3758</v>
      </c>
    </row>
    <row r="1632" spans="1:33" hidden="1" x14ac:dyDescent="0.25">
      <c r="A1632">
        <v>36666</v>
      </c>
      <c r="B1632" t="s">
        <v>32</v>
      </c>
      <c r="C1632">
        <v>1</v>
      </c>
      <c r="D1632" t="s">
        <v>3759</v>
      </c>
      <c r="E1632" t="s">
        <v>70</v>
      </c>
      <c r="F1632" t="s">
        <v>33</v>
      </c>
      <c r="G1632" t="s">
        <v>71</v>
      </c>
      <c r="H1632" t="s">
        <v>35</v>
      </c>
      <c r="I1632" t="s">
        <v>3759</v>
      </c>
      <c r="J1632" t="s">
        <v>3760</v>
      </c>
      <c r="K1632" t="s">
        <v>36</v>
      </c>
      <c r="L1632" t="s">
        <v>33</v>
      </c>
      <c r="O1632" t="s">
        <v>76</v>
      </c>
      <c r="R1632" t="s">
        <v>3761</v>
      </c>
      <c r="S1632">
        <v>90</v>
      </c>
      <c r="T1632" t="s">
        <v>40</v>
      </c>
      <c r="U1632">
        <f>+IF(Tabla1[[#This Row],[MONEDA]]="PEN",Tabla1[[#This Row],[MONTO]],Tabla1[[#This Row],[MONTO]]*3.56)</f>
        <v>90</v>
      </c>
      <c r="V1632" t="s">
        <v>190</v>
      </c>
      <c r="W1632">
        <v>33331</v>
      </c>
      <c r="X1632" t="s">
        <v>41</v>
      </c>
      <c r="Y1632" t="s">
        <v>42</v>
      </c>
      <c r="Z1632" t="s">
        <v>43</v>
      </c>
      <c r="AA1632" t="s">
        <v>3762</v>
      </c>
      <c r="AC1632" t="s">
        <v>3763</v>
      </c>
      <c r="AD1632" t="s">
        <v>3764</v>
      </c>
    </row>
    <row r="1633" spans="1:33" hidden="1" x14ac:dyDescent="0.25">
      <c r="A1633">
        <v>36665</v>
      </c>
      <c r="B1633" t="s">
        <v>32</v>
      </c>
      <c r="C1633">
        <v>1</v>
      </c>
      <c r="D1633" t="s">
        <v>3765</v>
      </c>
      <c r="E1633" t="s">
        <v>70</v>
      </c>
      <c r="F1633" t="s">
        <v>33</v>
      </c>
      <c r="G1633" t="s">
        <v>71</v>
      </c>
      <c r="H1633" t="s">
        <v>35</v>
      </c>
      <c r="I1633" t="s">
        <v>3765</v>
      </c>
      <c r="J1633" t="s">
        <v>3766</v>
      </c>
      <c r="K1633" t="s">
        <v>36</v>
      </c>
      <c r="L1633" t="s">
        <v>33</v>
      </c>
      <c r="O1633" t="s">
        <v>76</v>
      </c>
      <c r="R1633" t="s">
        <v>3767</v>
      </c>
      <c r="S1633">
        <v>35</v>
      </c>
      <c r="T1633" t="s">
        <v>40</v>
      </c>
      <c r="U1633">
        <f>+IF(Tabla1[[#This Row],[MONEDA]]="PEN",Tabla1[[#This Row],[MONTO]],Tabla1[[#This Row],[MONTO]]*3.56)</f>
        <v>35</v>
      </c>
      <c r="V1633" t="s">
        <v>190</v>
      </c>
      <c r="W1633">
        <v>33331</v>
      </c>
      <c r="X1633" t="s">
        <v>41</v>
      </c>
      <c r="Y1633" t="s">
        <v>42</v>
      </c>
      <c r="Z1633" t="s">
        <v>43</v>
      </c>
      <c r="AA1633" t="s">
        <v>3768</v>
      </c>
      <c r="AC1633" t="s">
        <v>3769</v>
      </c>
      <c r="AD1633" t="s">
        <v>3770</v>
      </c>
    </row>
    <row r="1634" spans="1:33" hidden="1" x14ac:dyDescent="0.25">
      <c r="A1634">
        <v>36663</v>
      </c>
      <c r="B1634" t="s">
        <v>32</v>
      </c>
      <c r="C1634">
        <v>1</v>
      </c>
      <c r="D1634" t="s">
        <v>3777</v>
      </c>
      <c r="E1634" t="s">
        <v>70</v>
      </c>
      <c r="F1634" t="s">
        <v>33</v>
      </c>
      <c r="G1634" t="s">
        <v>71</v>
      </c>
      <c r="H1634" t="s">
        <v>35</v>
      </c>
      <c r="I1634" t="s">
        <v>3777</v>
      </c>
      <c r="J1634" t="s">
        <v>3778</v>
      </c>
      <c r="K1634" t="s">
        <v>36</v>
      </c>
      <c r="L1634" t="s">
        <v>33</v>
      </c>
      <c r="R1634" t="s">
        <v>3779</v>
      </c>
      <c r="S1634">
        <v>30</v>
      </c>
      <c r="T1634" t="s">
        <v>40</v>
      </c>
      <c r="U1634">
        <f>+IF(Tabla1[[#This Row],[MONEDA]]="PEN",Tabla1[[#This Row],[MONTO]],Tabla1[[#This Row],[MONTO]]*3.56)</f>
        <v>30</v>
      </c>
      <c r="V1634" t="s">
        <v>190</v>
      </c>
      <c r="W1634">
        <v>33331</v>
      </c>
      <c r="X1634" t="s">
        <v>41</v>
      </c>
      <c r="Y1634" t="s">
        <v>42</v>
      </c>
      <c r="Z1634" t="s">
        <v>43</v>
      </c>
      <c r="AA1634" t="s">
        <v>3780</v>
      </c>
      <c r="AC1634" t="s">
        <v>3781</v>
      </c>
      <c r="AD1634" t="s">
        <v>3782</v>
      </c>
    </row>
    <row r="1635" spans="1:33" hidden="1" x14ac:dyDescent="0.25">
      <c r="A1635">
        <v>36662</v>
      </c>
      <c r="B1635" t="s">
        <v>32</v>
      </c>
      <c r="C1635">
        <v>1</v>
      </c>
      <c r="D1635" t="s">
        <v>3783</v>
      </c>
      <c r="E1635" t="s">
        <v>70</v>
      </c>
      <c r="F1635" t="s">
        <v>33</v>
      </c>
      <c r="G1635" t="s">
        <v>71</v>
      </c>
      <c r="H1635" t="s">
        <v>35</v>
      </c>
      <c r="I1635" t="s">
        <v>3783</v>
      </c>
      <c r="J1635" t="s">
        <v>3784</v>
      </c>
      <c r="K1635" t="s">
        <v>36</v>
      </c>
      <c r="L1635" t="s">
        <v>33</v>
      </c>
      <c r="O1635" t="s">
        <v>76</v>
      </c>
      <c r="R1635" t="s">
        <v>3785</v>
      </c>
      <c r="S1635">
        <v>20</v>
      </c>
      <c r="T1635" t="s">
        <v>40</v>
      </c>
      <c r="U1635">
        <f>+IF(Tabla1[[#This Row],[MONEDA]]="PEN",Tabla1[[#This Row],[MONTO]],Tabla1[[#This Row],[MONTO]]*3.56)</f>
        <v>20</v>
      </c>
      <c r="V1635" t="s">
        <v>190</v>
      </c>
      <c r="W1635">
        <v>33331</v>
      </c>
      <c r="X1635" t="s">
        <v>41</v>
      </c>
      <c r="Y1635" t="s">
        <v>42</v>
      </c>
      <c r="Z1635" t="s">
        <v>43</v>
      </c>
      <c r="AA1635" t="s">
        <v>3786</v>
      </c>
      <c r="AC1635" t="s">
        <v>3787</v>
      </c>
      <c r="AD1635" t="s">
        <v>3788</v>
      </c>
    </row>
    <row r="1636" spans="1:33" hidden="1" x14ac:dyDescent="0.25">
      <c r="A1636">
        <v>36660</v>
      </c>
      <c r="B1636" t="s">
        <v>32</v>
      </c>
      <c r="C1636">
        <v>1</v>
      </c>
      <c r="D1636" t="s">
        <v>3795</v>
      </c>
      <c r="E1636" t="s">
        <v>70</v>
      </c>
      <c r="F1636" t="s">
        <v>33</v>
      </c>
      <c r="G1636" t="s">
        <v>71</v>
      </c>
      <c r="H1636" t="s">
        <v>35</v>
      </c>
      <c r="I1636" t="s">
        <v>3795</v>
      </c>
      <c r="J1636" t="s">
        <v>3796</v>
      </c>
      <c r="K1636" t="s">
        <v>36</v>
      </c>
      <c r="L1636" t="s">
        <v>33</v>
      </c>
      <c r="O1636" t="s">
        <v>76</v>
      </c>
      <c r="R1636" t="s">
        <v>3797</v>
      </c>
      <c r="S1636">
        <v>50</v>
      </c>
      <c r="T1636" t="s">
        <v>40</v>
      </c>
      <c r="U1636">
        <f>+IF(Tabla1[[#This Row],[MONEDA]]="PEN",Tabla1[[#This Row],[MONTO]],Tabla1[[#This Row],[MONTO]]*3.56)</f>
        <v>50</v>
      </c>
      <c r="V1636" t="s">
        <v>190</v>
      </c>
      <c r="W1636">
        <v>33331</v>
      </c>
      <c r="X1636" t="s">
        <v>41</v>
      </c>
      <c r="Y1636" t="s">
        <v>42</v>
      </c>
      <c r="Z1636" t="s">
        <v>43</v>
      </c>
      <c r="AA1636" t="s">
        <v>3798</v>
      </c>
      <c r="AC1636" t="s">
        <v>3799</v>
      </c>
      <c r="AD1636" t="s">
        <v>3800</v>
      </c>
    </row>
    <row r="1637" spans="1:33" hidden="1" x14ac:dyDescent="0.25">
      <c r="A1637">
        <v>36658</v>
      </c>
      <c r="B1637" t="s">
        <v>32</v>
      </c>
      <c r="C1637">
        <v>1</v>
      </c>
      <c r="D1637" t="s">
        <v>3801</v>
      </c>
      <c r="E1637" t="s">
        <v>70</v>
      </c>
      <c r="F1637" t="s">
        <v>33</v>
      </c>
      <c r="G1637" t="s">
        <v>71</v>
      </c>
      <c r="H1637" t="s">
        <v>35</v>
      </c>
      <c r="I1637" t="s">
        <v>3801</v>
      </c>
      <c r="J1637" t="s">
        <v>3802</v>
      </c>
      <c r="K1637" t="s">
        <v>36</v>
      </c>
      <c r="L1637" t="s">
        <v>33</v>
      </c>
      <c r="O1637" t="s">
        <v>76</v>
      </c>
      <c r="R1637" t="s">
        <v>3803</v>
      </c>
      <c r="S1637">
        <v>30</v>
      </c>
      <c r="T1637" t="s">
        <v>40</v>
      </c>
      <c r="U1637">
        <f>+IF(Tabla1[[#This Row],[MONEDA]]="PEN",Tabla1[[#This Row],[MONTO]],Tabla1[[#This Row],[MONTO]]*3.56)</f>
        <v>30</v>
      </c>
      <c r="V1637" t="s">
        <v>190</v>
      </c>
      <c r="W1637">
        <v>33331</v>
      </c>
      <c r="X1637" t="s">
        <v>139</v>
      </c>
      <c r="Y1637" t="s">
        <v>42</v>
      </c>
      <c r="Z1637" t="s">
        <v>43</v>
      </c>
      <c r="AA1637" t="s">
        <v>3804</v>
      </c>
      <c r="AC1637" t="s">
        <v>3805</v>
      </c>
      <c r="AD1637" t="s">
        <v>3806</v>
      </c>
    </row>
    <row r="1638" spans="1:33" hidden="1" x14ac:dyDescent="0.25">
      <c r="A1638">
        <v>36656</v>
      </c>
      <c r="B1638" t="s">
        <v>32</v>
      </c>
      <c r="C1638">
        <v>1</v>
      </c>
      <c r="D1638" t="s">
        <v>3811</v>
      </c>
      <c r="E1638" t="s">
        <v>70</v>
      </c>
      <c r="F1638" t="s">
        <v>33</v>
      </c>
      <c r="G1638" t="s">
        <v>71</v>
      </c>
      <c r="H1638" t="s">
        <v>35</v>
      </c>
      <c r="I1638" t="s">
        <v>3811</v>
      </c>
      <c r="J1638" t="s">
        <v>3812</v>
      </c>
      <c r="K1638" t="s">
        <v>36</v>
      </c>
      <c r="L1638" t="s">
        <v>33</v>
      </c>
      <c r="O1638" t="s">
        <v>76</v>
      </c>
      <c r="R1638" t="s">
        <v>3813</v>
      </c>
      <c r="S1638">
        <v>50</v>
      </c>
      <c r="T1638" t="s">
        <v>40</v>
      </c>
      <c r="U1638">
        <f>+IF(Tabla1[[#This Row],[MONEDA]]="PEN",Tabla1[[#This Row],[MONTO]],Tabla1[[#This Row],[MONTO]]*3.56)</f>
        <v>50</v>
      </c>
      <c r="V1638" t="s">
        <v>190</v>
      </c>
      <c r="W1638">
        <v>33331</v>
      </c>
      <c r="X1638" t="s">
        <v>41</v>
      </c>
      <c r="Y1638" t="s">
        <v>42</v>
      </c>
      <c r="Z1638" t="s">
        <v>43</v>
      </c>
      <c r="AA1638" t="s">
        <v>3814</v>
      </c>
      <c r="AC1638" t="s">
        <v>3815</v>
      </c>
      <c r="AD1638" t="s">
        <v>3816</v>
      </c>
    </row>
    <row r="1639" spans="1:33" hidden="1" x14ac:dyDescent="0.25">
      <c r="A1639">
        <v>36654</v>
      </c>
      <c r="B1639" t="s">
        <v>32</v>
      </c>
      <c r="C1639">
        <v>1</v>
      </c>
      <c r="D1639" t="s">
        <v>3826</v>
      </c>
      <c r="E1639" t="s">
        <v>70</v>
      </c>
      <c r="F1639" t="s">
        <v>33</v>
      </c>
      <c r="G1639" t="s">
        <v>71</v>
      </c>
      <c r="H1639" t="s">
        <v>35</v>
      </c>
      <c r="I1639" t="s">
        <v>3826</v>
      </c>
      <c r="J1639" t="s">
        <v>3827</v>
      </c>
      <c r="K1639" t="s">
        <v>36</v>
      </c>
      <c r="L1639" t="s">
        <v>33</v>
      </c>
      <c r="O1639" t="s">
        <v>76</v>
      </c>
      <c r="R1639" t="s">
        <v>3828</v>
      </c>
      <c r="S1639">
        <v>15.4</v>
      </c>
      <c r="T1639" t="s">
        <v>40</v>
      </c>
      <c r="U1639">
        <f>+IF(Tabla1[[#This Row],[MONEDA]]="PEN",Tabla1[[#This Row],[MONTO]],Tabla1[[#This Row],[MONTO]]*3.56)</f>
        <v>15.4</v>
      </c>
      <c r="V1639" t="s">
        <v>190</v>
      </c>
      <c r="W1639">
        <v>33331</v>
      </c>
      <c r="X1639" t="s">
        <v>81</v>
      </c>
      <c r="Y1639" t="s">
        <v>42</v>
      </c>
      <c r="Z1639" t="s">
        <v>43</v>
      </c>
      <c r="AA1639" t="s">
        <v>3829</v>
      </c>
      <c r="AC1639" t="s">
        <v>3830</v>
      </c>
      <c r="AD1639" t="s">
        <v>3831</v>
      </c>
    </row>
    <row r="1640" spans="1:33" hidden="1" x14ac:dyDescent="0.25">
      <c r="A1640">
        <v>36653</v>
      </c>
      <c r="B1640" t="s">
        <v>32</v>
      </c>
      <c r="C1640">
        <v>1</v>
      </c>
      <c r="D1640" t="s">
        <v>3832</v>
      </c>
      <c r="E1640" t="s">
        <v>70</v>
      </c>
      <c r="F1640" t="s">
        <v>33</v>
      </c>
      <c r="G1640" t="s">
        <v>71</v>
      </c>
      <c r="H1640" t="s">
        <v>35</v>
      </c>
      <c r="I1640" t="s">
        <v>3832</v>
      </c>
      <c r="J1640" t="s">
        <v>3833</v>
      </c>
      <c r="K1640" t="s">
        <v>36</v>
      </c>
      <c r="L1640" t="s">
        <v>33</v>
      </c>
      <c r="R1640" t="s">
        <v>3834</v>
      </c>
      <c r="S1640">
        <v>32</v>
      </c>
      <c r="T1640" t="s">
        <v>40</v>
      </c>
      <c r="U1640">
        <f>+IF(Tabla1[[#This Row],[MONEDA]]="PEN",Tabla1[[#This Row],[MONTO]],Tabla1[[#This Row],[MONTO]]*3.56)</f>
        <v>32</v>
      </c>
      <c r="V1640" t="s">
        <v>190</v>
      </c>
      <c r="W1640">
        <v>33331</v>
      </c>
      <c r="X1640" t="s">
        <v>41</v>
      </c>
      <c r="Y1640" t="s">
        <v>42</v>
      </c>
      <c r="Z1640" t="s">
        <v>43</v>
      </c>
      <c r="AA1640" t="s">
        <v>3835</v>
      </c>
      <c r="AC1640" t="s">
        <v>3836</v>
      </c>
      <c r="AD1640" t="s">
        <v>3837</v>
      </c>
    </row>
    <row r="1641" spans="1:33" hidden="1" x14ac:dyDescent="0.25">
      <c r="A1641">
        <v>36651</v>
      </c>
      <c r="B1641" t="s">
        <v>32</v>
      </c>
      <c r="C1641">
        <v>1</v>
      </c>
      <c r="D1641" t="s">
        <v>3843</v>
      </c>
      <c r="E1641" t="s">
        <v>70</v>
      </c>
      <c r="F1641" t="s">
        <v>33</v>
      </c>
      <c r="G1641" t="s">
        <v>71</v>
      </c>
      <c r="H1641" t="s">
        <v>35</v>
      </c>
      <c r="I1641" t="s">
        <v>3843</v>
      </c>
      <c r="J1641" t="s">
        <v>3844</v>
      </c>
      <c r="K1641" t="s">
        <v>36</v>
      </c>
      <c r="L1641" t="s">
        <v>33</v>
      </c>
      <c r="O1641" t="s">
        <v>76</v>
      </c>
      <c r="R1641" t="s">
        <v>3845</v>
      </c>
      <c r="S1641">
        <v>50</v>
      </c>
      <c r="T1641" t="s">
        <v>40</v>
      </c>
      <c r="U1641">
        <f>+IF(Tabla1[[#This Row],[MONEDA]]="PEN",Tabla1[[#This Row],[MONTO]],Tabla1[[#This Row],[MONTO]]*3.56)</f>
        <v>50</v>
      </c>
      <c r="V1641" t="s">
        <v>190</v>
      </c>
      <c r="W1641">
        <v>33331</v>
      </c>
      <c r="X1641" t="s">
        <v>41</v>
      </c>
      <c r="Y1641" t="s">
        <v>42</v>
      </c>
      <c r="Z1641" t="s">
        <v>43</v>
      </c>
      <c r="AA1641" t="s">
        <v>3846</v>
      </c>
      <c r="AC1641" t="s">
        <v>3847</v>
      </c>
      <c r="AD1641" t="s">
        <v>3848</v>
      </c>
    </row>
    <row r="1642" spans="1:33" hidden="1" x14ac:dyDescent="0.25">
      <c r="A1642">
        <v>36648</v>
      </c>
      <c r="B1642" t="s">
        <v>32</v>
      </c>
      <c r="C1642">
        <v>1</v>
      </c>
      <c r="D1642" t="s">
        <v>3860</v>
      </c>
      <c r="E1642" t="s">
        <v>70</v>
      </c>
      <c r="F1642" t="s">
        <v>33</v>
      </c>
      <c r="G1642" t="s">
        <v>71</v>
      </c>
      <c r="H1642" t="s">
        <v>35</v>
      </c>
      <c r="I1642" t="s">
        <v>3860</v>
      </c>
      <c r="J1642" t="s">
        <v>3861</v>
      </c>
      <c r="K1642" t="s">
        <v>36</v>
      </c>
      <c r="L1642" t="s">
        <v>33</v>
      </c>
      <c r="O1642" t="s">
        <v>76</v>
      </c>
      <c r="R1642" t="s">
        <v>2356</v>
      </c>
      <c r="S1642">
        <v>14</v>
      </c>
      <c r="T1642" t="s">
        <v>40</v>
      </c>
      <c r="U1642">
        <f>+IF(Tabla1[[#This Row],[MONEDA]]="PEN",Tabla1[[#This Row],[MONTO]],Tabla1[[#This Row],[MONTO]]*3.56)</f>
        <v>14</v>
      </c>
      <c r="V1642" t="s">
        <v>190</v>
      </c>
      <c r="W1642">
        <v>33331</v>
      </c>
      <c r="X1642" t="s">
        <v>81</v>
      </c>
      <c r="Y1642" t="s">
        <v>42</v>
      </c>
      <c r="Z1642" t="s">
        <v>43</v>
      </c>
      <c r="AA1642" t="s">
        <v>3862</v>
      </c>
      <c r="AC1642" t="s">
        <v>3863</v>
      </c>
      <c r="AD1642" t="s">
        <v>3864</v>
      </c>
    </row>
    <row r="1643" spans="1:33" hidden="1" x14ac:dyDescent="0.25">
      <c r="A1643">
        <v>36646</v>
      </c>
      <c r="B1643" t="s">
        <v>32</v>
      </c>
      <c r="C1643">
        <v>1</v>
      </c>
      <c r="D1643" t="s">
        <v>3865</v>
      </c>
      <c r="E1643" t="s">
        <v>70</v>
      </c>
      <c r="F1643" t="s">
        <v>33</v>
      </c>
      <c r="G1643" t="s">
        <v>71</v>
      </c>
      <c r="H1643" t="s">
        <v>35</v>
      </c>
      <c r="I1643" t="s">
        <v>3865</v>
      </c>
      <c r="J1643" t="s">
        <v>3866</v>
      </c>
      <c r="K1643" t="s">
        <v>36</v>
      </c>
      <c r="L1643" t="s">
        <v>33</v>
      </c>
      <c r="O1643" t="s">
        <v>76</v>
      </c>
      <c r="R1643" t="s">
        <v>3867</v>
      </c>
      <c r="S1643">
        <v>100</v>
      </c>
      <c r="T1643" t="s">
        <v>40</v>
      </c>
      <c r="U1643">
        <f>+IF(Tabla1[[#This Row],[MONEDA]]="PEN",Tabla1[[#This Row],[MONTO]],Tabla1[[#This Row],[MONTO]]*3.56)</f>
        <v>100</v>
      </c>
      <c r="V1643" t="s">
        <v>190</v>
      </c>
      <c r="W1643">
        <v>33331</v>
      </c>
      <c r="X1643" t="s">
        <v>81</v>
      </c>
      <c r="Y1643" t="s">
        <v>42</v>
      </c>
      <c r="Z1643" t="s">
        <v>43</v>
      </c>
      <c r="AA1643" t="s">
        <v>3868</v>
      </c>
      <c r="AC1643" t="s">
        <v>3869</v>
      </c>
      <c r="AD1643" t="s">
        <v>3870</v>
      </c>
    </row>
    <row r="1644" spans="1:33" x14ac:dyDescent="0.25">
      <c r="A1644">
        <v>36507</v>
      </c>
      <c r="B1644" t="s">
        <v>32</v>
      </c>
      <c r="C1644">
        <v>1</v>
      </c>
      <c r="D1644" t="s">
        <v>3892</v>
      </c>
      <c r="E1644" t="s">
        <v>70</v>
      </c>
      <c r="F1644" t="s">
        <v>157</v>
      </c>
      <c r="G1644" t="s">
        <v>158</v>
      </c>
      <c r="H1644" t="s">
        <v>159</v>
      </c>
      <c r="I1644" t="s">
        <v>3885</v>
      </c>
      <c r="J1644" t="s">
        <v>3893</v>
      </c>
      <c r="K1644" t="s">
        <v>36</v>
      </c>
      <c r="L1644" t="s">
        <v>33</v>
      </c>
      <c r="M1644">
        <v>20533151435</v>
      </c>
      <c r="P1644" t="s">
        <v>38</v>
      </c>
      <c r="Q1644" t="s">
        <v>163</v>
      </c>
      <c r="R1644" t="s">
        <v>3894</v>
      </c>
      <c r="S1644">
        <v>194.7</v>
      </c>
      <c r="T1644" t="s">
        <v>40</v>
      </c>
      <c r="U1644">
        <f>+IF(Tabla1[[#This Row],[MONEDA]]="PEN",Tabla1[[#This Row],[MONTO]],Tabla1[[#This Row],[MONTO]]*3.56)</f>
        <v>194.7</v>
      </c>
      <c r="X1644" t="s">
        <v>41</v>
      </c>
      <c r="Y1644" t="s">
        <v>42</v>
      </c>
      <c r="Z1644" t="s">
        <v>82</v>
      </c>
      <c r="AA1644" t="s">
        <v>3895</v>
      </c>
      <c r="AB1644" t="s">
        <v>3896</v>
      </c>
      <c r="AC1644" t="s">
        <v>3897</v>
      </c>
      <c r="AD1644" t="s">
        <v>3898</v>
      </c>
      <c r="AE1644">
        <v>194.7</v>
      </c>
      <c r="AF1644" t="s">
        <v>87</v>
      </c>
      <c r="AG1644" t="s">
        <v>169</v>
      </c>
    </row>
    <row r="1645" spans="1:33" x14ac:dyDescent="0.25">
      <c r="A1645">
        <v>36454</v>
      </c>
      <c r="B1645" t="s">
        <v>32</v>
      </c>
      <c r="C1645">
        <v>3</v>
      </c>
      <c r="D1645" t="s">
        <v>3928</v>
      </c>
      <c r="E1645" t="s">
        <v>70</v>
      </c>
      <c r="F1645" t="s">
        <v>130</v>
      </c>
      <c r="G1645" t="s">
        <v>132</v>
      </c>
      <c r="H1645" t="s">
        <v>132</v>
      </c>
      <c r="I1645" t="s">
        <v>3928</v>
      </c>
      <c r="J1645" t="s">
        <v>3928</v>
      </c>
      <c r="K1645" t="s">
        <v>36</v>
      </c>
      <c r="L1645" t="s">
        <v>33</v>
      </c>
      <c r="O1645" t="s">
        <v>3929</v>
      </c>
      <c r="P1645" t="s">
        <v>62</v>
      </c>
      <c r="Q1645" t="s">
        <v>3930</v>
      </c>
      <c r="R1645" t="s">
        <v>510</v>
      </c>
      <c r="S1645">
        <v>3450.76</v>
      </c>
      <c r="T1645" t="s">
        <v>40</v>
      </c>
      <c r="U1645">
        <f>+IF(Tabla1[[#This Row],[MONEDA]]="PEN",Tabla1[[#This Row],[MONTO]],Tabla1[[#This Row],[MONTO]]*3.56)</f>
        <v>3450.76</v>
      </c>
      <c r="X1645" t="s">
        <v>139</v>
      </c>
      <c r="Y1645" t="s">
        <v>42</v>
      </c>
      <c r="Z1645" t="s">
        <v>511</v>
      </c>
      <c r="AA1645" t="s">
        <v>3931</v>
      </c>
      <c r="AB1645" t="s">
        <v>3932</v>
      </c>
      <c r="AC1645" t="s">
        <v>3933</v>
      </c>
      <c r="AE1645">
        <v>3450.76</v>
      </c>
      <c r="AF1645" t="s">
        <v>87</v>
      </c>
      <c r="AG1645" t="s">
        <v>515</v>
      </c>
    </row>
    <row r="1646" spans="1:33" x14ac:dyDescent="0.25">
      <c r="A1646">
        <v>36359</v>
      </c>
      <c r="B1646" t="s">
        <v>32</v>
      </c>
      <c r="C1646">
        <v>1</v>
      </c>
      <c r="D1646" t="s">
        <v>3948</v>
      </c>
      <c r="E1646" t="s">
        <v>70</v>
      </c>
      <c r="F1646" t="s">
        <v>3256</v>
      </c>
      <c r="G1646" t="s">
        <v>3257</v>
      </c>
      <c r="H1646" t="s">
        <v>159</v>
      </c>
      <c r="I1646" t="s">
        <v>3949</v>
      </c>
      <c r="J1646" t="s">
        <v>3950</v>
      </c>
      <c r="K1646" t="s">
        <v>36</v>
      </c>
      <c r="L1646" t="s">
        <v>33</v>
      </c>
      <c r="M1646">
        <v>20533151435</v>
      </c>
      <c r="P1646" t="s">
        <v>38</v>
      </c>
      <c r="Q1646" t="s">
        <v>163</v>
      </c>
      <c r="R1646" t="s">
        <v>3951</v>
      </c>
      <c r="S1646">
        <v>194.7</v>
      </c>
      <c r="T1646" t="s">
        <v>40</v>
      </c>
      <c r="U1646">
        <f>+IF(Tabla1[[#This Row],[MONEDA]]="PEN",Tabla1[[#This Row],[MONTO]],Tabla1[[#This Row],[MONTO]]*3.56)</f>
        <v>194.7</v>
      </c>
      <c r="X1646" t="s">
        <v>41</v>
      </c>
      <c r="Y1646" t="s">
        <v>42</v>
      </c>
      <c r="Z1646" t="s">
        <v>82</v>
      </c>
      <c r="AA1646" t="s">
        <v>3952</v>
      </c>
      <c r="AB1646" t="s">
        <v>3953</v>
      </c>
      <c r="AC1646" t="s">
        <v>3954</v>
      </c>
      <c r="AD1646" t="s">
        <v>3955</v>
      </c>
      <c r="AE1646">
        <v>194.7</v>
      </c>
      <c r="AF1646" t="s">
        <v>87</v>
      </c>
      <c r="AG1646" t="s">
        <v>169</v>
      </c>
    </row>
    <row r="1647" spans="1:33" x14ac:dyDescent="0.25">
      <c r="A1647">
        <v>35204</v>
      </c>
      <c r="B1647" t="s">
        <v>32</v>
      </c>
      <c r="C1647">
        <v>1</v>
      </c>
      <c r="D1647" t="s">
        <v>4431</v>
      </c>
      <c r="E1647" t="s">
        <v>70</v>
      </c>
      <c r="F1647" t="s">
        <v>3256</v>
      </c>
      <c r="G1647" t="s">
        <v>3257</v>
      </c>
      <c r="H1647" t="s">
        <v>159</v>
      </c>
      <c r="I1647" t="s">
        <v>4432</v>
      </c>
      <c r="J1647" t="s">
        <v>4433</v>
      </c>
      <c r="K1647" t="s">
        <v>36</v>
      </c>
      <c r="L1647" t="s">
        <v>33</v>
      </c>
      <c r="M1647">
        <v>20533151435</v>
      </c>
      <c r="P1647" t="s">
        <v>38</v>
      </c>
      <c r="Q1647" t="s">
        <v>163</v>
      </c>
      <c r="R1647" t="s">
        <v>4434</v>
      </c>
      <c r="S1647">
        <v>194.7</v>
      </c>
      <c r="T1647" t="s">
        <v>40</v>
      </c>
      <c r="U1647">
        <f>+IF(Tabla1[[#This Row],[MONEDA]]="PEN",Tabla1[[#This Row],[MONTO]],Tabla1[[#This Row],[MONTO]]*3.56)</f>
        <v>194.7</v>
      </c>
      <c r="X1647" t="s">
        <v>41</v>
      </c>
      <c r="Y1647" t="s">
        <v>42</v>
      </c>
      <c r="Z1647" t="s">
        <v>82</v>
      </c>
      <c r="AA1647" t="s">
        <v>4435</v>
      </c>
      <c r="AB1647" t="s">
        <v>4436</v>
      </c>
      <c r="AC1647" t="s">
        <v>4437</v>
      </c>
      <c r="AD1647" t="s">
        <v>4438</v>
      </c>
      <c r="AE1647">
        <v>194.7</v>
      </c>
      <c r="AG1647" t="s">
        <v>169</v>
      </c>
    </row>
    <row r="1648" spans="1:33" hidden="1" x14ac:dyDescent="0.25">
      <c r="A1648">
        <v>35034</v>
      </c>
      <c r="B1648" t="s">
        <v>32</v>
      </c>
      <c r="C1648">
        <v>1</v>
      </c>
      <c r="D1648" t="s">
        <v>4479</v>
      </c>
      <c r="E1648" t="s">
        <v>70</v>
      </c>
      <c r="F1648" t="s">
        <v>33</v>
      </c>
      <c r="G1648" t="s">
        <v>71</v>
      </c>
      <c r="H1648" t="s">
        <v>35</v>
      </c>
      <c r="I1648" t="s">
        <v>4479</v>
      </c>
      <c r="J1648" t="s">
        <v>4480</v>
      </c>
      <c r="K1648" t="s">
        <v>36</v>
      </c>
      <c r="L1648" t="s">
        <v>33</v>
      </c>
      <c r="R1648" t="s">
        <v>4481</v>
      </c>
      <c r="S1648">
        <v>26</v>
      </c>
      <c r="T1648" t="s">
        <v>40</v>
      </c>
      <c r="U1648">
        <f>+IF(Tabla1[[#This Row],[MONEDA]]="PEN",Tabla1[[#This Row],[MONTO]],Tabla1[[#This Row],[MONTO]]*3.56)</f>
        <v>26</v>
      </c>
      <c r="V1648" t="s">
        <v>190</v>
      </c>
      <c r="W1648">
        <v>32138</v>
      </c>
      <c r="X1648" t="s">
        <v>41</v>
      </c>
      <c r="Y1648" t="s">
        <v>42</v>
      </c>
      <c r="Z1648" t="s">
        <v>43</v>
      </c>
      <c r="AA1648" t="s">
        <v>4482</v>
      </c>
      <c r="AC1648" t="s">
        <v>4483</v>
      </c>
      <c r="AD1648" t="s">
        <v>4484</v>
      </c>
    </row>
    <row r="1649" spans="1:33" hidden="1" x14ac:dyDescent="0.25">
      <c r="A1649">
        <v>34490</v>
      </c>
      <c r="B1649" t="s">
        <v>32</v>
      </c>
      <c r="C1649">
        <v>6</v>
      </c>
      <c r="D1649" t="s">
        <v>4619</v>
      </c>
      <c r="E1649" t="s">
        <v>70</v>
      </c>
      <c r="F1649" t="s">
        <v>130</v>
      </c>
      <c r="G1649" t="s">
        <v>131</v>
      </c>
      <c r="H1649" t="s">
        <v>132</v>
      </c>
      <c r="I1649" t="s">
        <v>4619</v>
      </c>
      <c r="J1649" t="s">
        <v>4620</v>
      </c>
      <c r="K1649" t="s">
        <v>36</v>
      </c>
      <c r="L1649" t="s">
        <v>33</v>
      </c>
      <c r="R1649" t="s">
        <v>4621</v>
      </c>
      <c r="S1649">
        <v>2620.3000000000002</v>
      </c>
      <c r="T1649" t="s">
        <v>40</v>
      </c>
      <c r="U1649">
        <f>+IF(Tabla1[[#This Row],[MONEDA]]="PEN",Tabla1[[#This Row],[MONTO]],Tabla1[[#This Row],[MONTO]]*3.56)</f>
        <v>2620.3000000000002</v>
      </c>
      <c r="V1649" t="s">
        <v>190</v>
      </c>
      <c r="W1649">
        <v>34347</v>
      </c>
      <c r="X1649" t="s">
        <v>41</v>
      </c>
      <c r="Y1649" t="s">
        <v>51</v>
      </c>
      <c r="Z1649" t="s">
        <v>43</v>
      </c>
      <c r="AA1649" t="s">
        <v>4622</v>
      </c>
    </row>
    <row r="1650" spans="1:33" hidden="1" x14ac:dyDescent="0.25">
      <c r="A1650">
        <v>34472</v>
      </c>
      <c r="B1650" t="s">
        <v>32</v>
      </c>
      <c r="C1650">
        <v>6</v>
      </c>
      <c r="D1650" t="s">
        <v>4623</v>
      </c>
      <c r="E1650" t="s">
        <v>70</v>
      </c>
      <c r="F1650" t="s">
        <v>130</v>
      </c>
      <c r="G1650" t="s">
        <v>131</v>
      </c>
      <c r="H1650" t="s">
        <v>132</v>
      </c>
      <c r="I1650" t="s">
        <v>4623</v>
      </c>
      <c r="J1650" t="s">
        <v>4624</v>
      </c>
      <c r="K1650" t="s">
        <v>36</v>
      </c>
      <c r="L1650" t="s">
        <v>33</v>
      </c>
      <c r="R1650" t="s">
        <v>4625</v>
      </c>
      <c r="S1650">
        <v>2957.02</v>
      </c>
      <c r="T1650" t="s">
        <v>40</v>
      </c>
      <c r="U1650">
        <f>+IF(Tabla1[[#This Row],[MONEDA]]="PEN",Tabla1[[#This Row],[MONTO]],Tabla1[[#This Row],[MONTO]]*3.56)</f>
        <v>2957.02</v>
      </c>
      <c r="V1650" t="s">
        <v>190</v>
      </c>
      <c r="W1650">
        <v>34363</v>
      </c>
      <c r="X1650" t="s">
        <v>41</v>
      </c>
      <c r="Y1650" t="s">
        <v>51</v>
      </c>
      <c r="Z1650" t="s">
        <v>43</v>
      </c>
      <c r="AA1650" t="s">
        <v>4626</v>
      </c>
    </row>
    <row r="1651" spans="1:33" hidden="1" x14ac:dyDescent="0.25">
      <c r="A1651">
        <v>34454</v>
      </c>
      <c r="B1651" t="s">
        <v>32</v>
      </c>
      <c r="C1651">
        <v>6</v>
      </c>
      <c r="D1651" t="s">
        <v>4627</v>
      </c>
      <c r="E1651" t="s">
        <v>70</v>
      </c>
      <c r="F1651" t="s">
        <v>130</v>
      </c>
      <c r="G1651" t="s">
        <v>131</v>
      </c>
      <c r="H1651" t="s">
        <v>132</v>
      </c>
      <c r="I1651" t="s">
        <v>4627</v>
      </c>
      <c r="J1651" t="s">
        <v>4628</v>
      </c>
      <c r="K1651" t="s">
        <v>36</v>
      </c>
      <c r="L1651" t="s">
        <v>33</v>
      </c>
      <c r="R1651" t="s">
        <v>4629</v>
      </c>
      <c r="S1651">
        <v>11530.81</v>
      </c>
      <c r="T1651" t="s">
        <v>40</v>
      </c>
      <c r="U1651">
        <f>+IF(Tabla1[[#This Row],[MONEDA]]="PEN",Tabla1[[#This Row],[MONTO]],Tabla1[[#This Row],[MONTO]]*3.56)</f>
        <v>11530.81</v>
      </c>
      <c r="V1651" t="s">
        <v>190</v>
      </c>
      <c r="W1651">
        <v>34345</v>
      </c>
      <c r="X1651" t="s">
        <v>41</v>
      </c>
      <c r="Y1651" t="s">
        <v>51</v>
      </c>
      <c r="Z1651" t="s">
        <v>43</v>
      </c>
      <c r="AA1651" t="s">
        <v>4630</v>
      </c>
    </row>
    <row r="1652" spans="1:33" hidden="1" x14ac:dyDescent="0.25">
      <c r="A1652">
        <v>34427</v>
      </c>
      <c r="B1652" t="s">
        <v>32</v>
      </c>
      <c r="C1652">
        <v>6</v>
      </c>
      <c r="D1652" t="s">
        <v>4631</v>
      </c>
      <c r="E1652" t="s">
        <v>70</v>
      </c>
      <c r="F1652" t="s">
        <v>130</v>
      </c>
      <c r="G1652" t="s">
        <v>131</v>
      </c>
      <c r="H1652" t="s">
        <v>132</v>
      </c>
      <c r="I1652" t="s">
        <v>4631</v>
      </c>
      <c r="J1652" t="s">
        <v>4632</v>
      </c>
      <c r="K1652" t="s">
        <v>36</v>
      </c>
      <c r="L1652" t="s">
        <v>33</v>
      </c>
      <c r="R1652" t="s">
        <v>4633</v>
      </c>
      <c r="S1652">
        <v>10787.46</v>
      </c>
      <c r="T1652" t="s">
        <v>40</v>
      </c>
      <c r="U1652">
        <f>+IF(Tabla1[[#This Row],[MONEDA]]="PEN",Tabla1[[#This Row],[MONTO]],Tabla1[[#This Row],[MONTO]]*3.56)</f>
        <v>10787.46</v>
      </c>
      <c r="V1652" t="s">
        <v>190</v>
      </c>
      <c r="W1652">
        <v>34344</v>
      </c>
      <c r="X1652" t="s">
        <v>41</v>
      </c>
      <c r="Y1652" t="s">
        <v>51</v>
      </c>
      <c r="Z1652" t="s">
        <v>43</v>
      </c>
      <c r="AA1652" t="s">
        <v>4634</v>
      </c>
    </row>
    <row r="1653" spans="1:33" hidden="1" x14ac:dyDescent="0.25">
      <c r="A1653">
        <v>34366</v>
      </c>
      <c r="B1653" t="s">
        <v>32</v>
      </c>
      <c r="C1653">
        <v>5</v>
      </c>
      <c r="D1653" t="s">
        <v>4635</v>
      </c>
      <c r="E1653" t="s">
        <v>70</v>
      </c>
      <c r="F1653" t="s">
        <v>130</v>
      </c>
      <c r="G1653" t="s">
        <v>131</v>
      </c>
      <c r="H1653" t="s">
        <v>132</v>
      </c>
      <c r="I1653" t="s">
        <v>4635</v>
      </c>
      <c r="J1653" t="s">
        <v>4636</v>
      </c>
      <c r="K1653" t="s">
        <v>36</v>
      </c>
      <c r="L1653" t="s">
        <v>33</v>
      </c>
      <c r="R1653" t="s">
        <v>4637</v>
      </c>
      <c r="S1653">
        <v>99245.62</v>
      </c>
      <c r="T1653" t="s">
        <v>40</v>
      </c>
      <c r="U1653">
        <f>+IF(Tabla1[[#This Row],[MONEDA]]="PEN",Tabla1[[#This Row],[MONTO]],Tabla1[[#This Row],[MONTO]]*3.56)</f>
        <v>99245.62</v>
      </c>
      <c r="V1653" t="s">
        <v>190</v>
      </c>
      <c r="W1653">
        <v>34341</v>
      </c>
      <c r="X1653" t="s">
        <v>139</v>
      </c>
      <c r="Y1653" t="s">
        <v>51</v>
      </c>
      <c r="Z1653" t="s">
        <v>43</v>
      </c>
      <c r="AA1653" t="s">
        <v>4638</v>
      </c>
    </row>
    <row r="1654" spans="1:33" x14ac:dyDescent="0.25">
      <c r="A1654">
        <v>33850</v>
      </c>
      <c r="B1654" t="s">
        <v>32</v>
      </c>
      <c r="C1654">
        <v>3</v>
      </c>
      <c r="D1654" t="s">
        <v>4815</v>
      </c>
      <c r="E1654" t="s">
        <v>70</v>
      </c>
      <c r="F1654" t="s">
        <v>130</v>
      </c>
      <c r="G1654" t="s">
        <v>132</v>
      </c>
      <c r="H1654" t="s">
        <v>132</v>
      </c>
      <c r="I1654" t="s">
        <v>4815</v>
      </c>
      <c r="J1654" t="s">
        <v>4815</v>
      </c>
      <c r="K1654" t="s">
        <v>36</v>
      </c>
      <c r="L1654" t="s">
        <v>33</v>
      </c>
      <c r="O1654" t="s">
        <v>1374</v>
      </c>
      <c r="P1654" t="s">
        <v>38</v>
      </c>
      <c r="Q1654" t="s">
        <v>1375</v>
      </c>
      <c r="R1654" t="s">
        <v>510</v>
      </c>
      <c r="S1654">
        <v>3426.6</v>
      </c>
      <c r="T1654" t="s">
        <v>40</v>
      </c>
      <c r="U1654">
        <f>+IF(Tabla1[[#This Row],[MONEDA]]="PEN",Tabla1[[#This Row],[MONTO]],Tabla1[[#This Row],[MONTO]]*3.56)</f>
        <v>3426.6</v>
      </c>
      <c r="X1654" t="s">
        <v>139</v>
      </c>
      <c r="Y1654" t="s">
        <v>42</v>
      </c>
      <c r="Z1654" t="s">
        <v>511</v>
      </c>
      <c r="AA1654" t="s">
        <v>4816</v>
      </c>
      <c r="AB1654" t="s">
        <v>4817</v>
      </c>
      <c r="AC1654" t="s">
        <v>4818</v>
      </c>
      <c r="AE1654">
        <v>3426.6</v>
      </c>
      <c r="AG1654" t="s">
        <v>169</v>
      </c>
    </row>
    <row r="1655" spans="1:33" hidden="1" x14ac:dyDescent="0.25">
      <c r="A1655">
        <v>33320</v>
      </c>
      <c r="B1655" t="s">
        <v>32</v>
      </c>
      <c r="C1655">
        <v>1</v>
      </c>
      <c r="D1655" t="s">
        <v>4963</v>
      </c>
      <c r="E1655" t="s">
        <v>70</v>
      </c>
      <c r="F1655" t="s">
        <v>33</v>
      </c>
      <c r="G1655" t="s">
        <v>71</v>
      </c>
      <c r="H1655" t="s">
        <v>35</v>
      </c>
      <c r="I1655" t="s">
        <v>4963</v>
      </c>
      <c r="J1655" t="s">
        <v>4964</v>
      </c>
      <c r="K1655" t="s">
        <v>36</v>
      </c>
      <c r="L1655" t="s">
        <v>33</v>
      </c>
      <c r="O1655" t="s">
        <v>76</v>
      </c>
      <c r="R1655" t="s">
        <v>4965</v>
      </c>
      <c r="S1655">
        <v>105</v>
      </c>
      <c r="T1655" t="s">
        <v>40</v>
      </c>
      <c r="U1655">
        <f>+IF(Tabla1[[#This Row],[MONEDA]]="PEN",Tabla1[[#This Row],[MONTO]],Tabla1[[#This Row],[MONTO]]*3.56)</f>
        <v>105</v>
      </c>
      <c r="V1655" t="s">
        <v>190</v>
      </c>
      <c r="W1655">
        <v>32138</v>
      </c>
      <c r="X1655" t="s">
        <v>81</v>
      </c>
      <c r="Y1655" t="s">
        <v>42</v>
      </c>
      <c r="Z1655" t="s">
        <v>43</v>
      </c>
      <c r="AA1655" t="s">
        <v>4966</v>
      </c>
      <c r="AC1655" t="s">
        <v>4967</v>
      </c>
      <c r="AD1655" t="s">
        <v>4968</v>
      </c>
    </row>
    <row r="1656" spans="1:33" hidden="1" x14ac:dyDescent="0.25">
      <c r="A1656">
        <v>33318</v>
      </c>
      <c r="B1656" t="s">
        <v>32</v>
      </c>
      <c r="C1656">
        <v>1</v>
      </c>
      <c r="D1656" t="s">
        <v>4975</v>
      </c>
      <c r="E1656" t="s">
        <v>70</v>
      </c>
      <c r="F1656" t="s">
        <v>33</v>
      </c>
      <c r="G1656" t="s">
        <v>71</v>
      </c>
      <c r="H1656" t="s">
        <v>35</v>
      </c>
      <c r="I1656" t="s">
        <v>4975</v>
      </c>
      <c r="J1656" t="s">
        <v>4976</v>
      </c>
      <c r="K1656" t="s">
        <v>36</v>
      </c>
      <c r="L1656" t="s">
        <v>33</v>
      </c>
      <c r="O1656" t="s">
        <v>76</v>
      </c>
      <c r="R1656" t="s">
        <v>4977</v>
      </c>
      <c r="S1656">
        <v>31.55</v>
      </c>
      <c r="T1656" t="s">
        <v>40</v>
      </c>
      <c r="U1656">
        <f>+IF(Tabla1[[#This Row],[MONEDA]]="PEN",Tabla1[[#This Row],[MONTO]],Tabla1[[#This Row],[MONTO]]*3.56)</f>
        <v>31.55</v>
      </c>
      <c r="V1656" t="s">
        <v>190</v>
      </c>
      <c r="W1656">
        <v>32138</v>
      </c>
      <c r="X1656" t="s">
        <v>81</v>
      </c>
      <c r="Y1656" t="s">
        <v>42</v>
      </c>
      <c r="Z1656" t="s">
        <v>43</v>
      </c>
      <c r="AA1656" t="s">
        <v>4978</v>
      </c>
      <c r="AC1656" t="s">
        <v>4979</v>
      </c>
      <c r="AD1656" t="s">
        <v>4980</v>
      </c>
    </row>
    <row r="1657" spans="1:33" hidden="1" x14ac:dyDescent="0.25">
      <c r="A1657">
        <v>33315</v>
      </c>
      <c r="B1657" t="s">
        <v>32</v>
      </c>
      <c r="C1657">
        <v>1</v>
      </c>
      <c r="D1657" t="s">
        <v>4994</v>
      </c>
      <c r="E1657" t="s">
        <v>70</v>
      </c>
      <c r="F1657" t="s">
        <v>33</v>
      </c>
      <c r="G1657" t="s">
        <v>71</v>
      </c>
      <c r="H1657" t="s">
        <v>35</v>
      </c>
      <c r="I1657" t="s">
        <v>4994</v>
      </c>
      <c r="J1657" t="s">
        <v>5014</v>
      </c>
      <c r="K1657" t="s">
        <v>36</v>
      </c>
      <c r="L1657" t="s">
        <v>33</v>
      </c>
      <c r="O1657" t="s">
        <v>76</v>
      </c>
      <c r="R1657" t="s">
        <v>5015</v>
      </c>
      <c r="S1657">
        <v>40</v>
      </c>
      <c r="T1657" t="s">
        <v>40</v>
      </c>
      <c r="U1657">
        <f>+IF(Tabla1[[#This Row],[MONEDA]]="PEN",Tabla1[[#This Row],[MONTO]],Tabla1[[#This Row],[MONTO]]*3.56)</f>
        <v>40</v>
      </c>
      <c r="V1657" t="s">
        <v>190</v>
      </c>
      <c r="W1657">
        <v>32138</v>
      </c>
      <c r="X1657" t="s">
        <v>81</v>
      </c>
      <c r="Y1657" t="s">
        <v>42</v>
      </c>
      <c r="Z1657" t="s">
        <v>43</v>
      </c>
      <c r="AA1657" t="s">
        <v>5016</v>
      </c>
      <c r="AC1657" t="s">
        <v>5017</v>
      </c>
      <c r="AD1657" t="s">
        <v>5018</v>
      </c>
    </row>
    <row r="1658" spans="1:33" hidden="1" x14ac:dyDescent="0.25">
      <c r="A1658">
        <v>33304</v>
      </c>
      <c r="B1658" t="s">
        <v>32</v>
      </c>
      <c r="C1658">
        <v>1</v>
      </c>
      <c r="D1658" t="s">
        <v>5047</v>
      </c>
      <c r="E1658" t="s">
        <v>70</v>
      </c>
      <c r="F1658" t="s">
        <v>33</v>
      </c>
      <c r="G1658" t="s">
        <v>71</v>
      </c>
      <c r="H1658" t="s">
        <v>35</v>
      </c>
      <c r="I1658" t="s">
        <v>5047</v>
      </c>
      <c r="J1658" t="s">
        <v>5048</v>
      </c>
      <c r="K1658" t="s">
        <v>36</v>
      </c>
      <c r="L1658" t="s">
        <v>33</v>
      </c>
      <c r="O1658" t="s">
        <v>76</v>
      </c>
      <c r="R1658" t="s">
        <v>5049</v>
      </c>
      <c r="S1658">
        <v>34</v>
      </c>
      <c r="T1658" t="s">
        <v>40</v>
      </c>
      <c r="U1658">
        <f>+IF(Tabla1[[#This Row],[MONEDA]]="PEN",Tabla1[[#This Row],[MONTO]],Tabla1[[#This Row],[MONTO]]*3.56)</f>
        <v>34</v>
      </c>
      <c r="V1658" t="s">
        <v>190</v>
      </c>
      <c r="W1658">
        <v>32138</v>
      </c>
      <c r="X1658" t="s">
        <v>81</v>
      </c>
      <c r="Y1658" t="s">
        <v>42</v>
      </c>
      <c r="Z1658" t="s">
        <v>43</v>
      </c>
      <c r="AA1658" t="s">
        <v>5050</v>
      </c>
      <c r="AC1658" t="s">
        <v>5051</v>
      </c>
      <c r="AD1658" t="s">
        <v>5052</v>
      </c>
    </row>
    <row r="1659" spans="1:33" x14ac:dyDescent="0.25">
      <c r="A1659">
        <v>33109</v>
      </c>
      <c r="B1659" t="s">
        <v>32</v>
      </c>
      <c r="C1659">
        <v>3</v>
      </c>
      <c r="D1659" t="s">
        <v>5130</v>
      </c>
      <c r="E1659" t="s">
        <v>70</v>
      </c>
      <c r="F1659" t="s">
        <v>130</v>
      </c>
      <c r="G1659" t="s">
        <v>132</v>
      </c>
      <c r="H1659" t="s">
        <v>132</v>
      </c>
      <c r="I1659" t="s">
        <v>5130</v>
      </c>
      <c r="J1659" t="s">
        <v>5130</v>
      </c>
      <c r="K1659" t="s">
        <v>36</v>
      </c>
      <c r="L1659" t="s">
        <v>33</v>
      </c>
      <c r="O1659" t="s">
        <v>5131</v>
      </c>
      <c r="P1659" t="s">
        <v>38</v>
      </c>
      <c r="Q1659" t="s">
        <v>5132</v>
      </c>
      <c r="R1659" t="s">
        <v>510</v>
      </c>
      <c r="S1659">
        <v>1890.78</v>
      </c>
      <c r="T1659" t="s">
        <v>40</v>
      </c>
      <c r="U1659">
        <f>+IF(Tabla1[[#This Row],[MONEDA]]="PEN",Tabla1[[#This Row],[MONTO]],Tabla1[[#This Row],[MONTO]]*3.56)</f>
        <v>1890.78</v>
      </c>
      <c r="X1659" t="s">
        <v>139</v>
      </c>
      <c r="Y1659" t="s">
        <v>42</v>
      </c>
      <c r="Z1659" t="s">
        <v>511</v>
      </c>
      <c r="AA1659" t="s">
        <v>5133</v>
      </c>
      <c r="AB1659" t="s">
        <v>5134</v>
      </c>
      <c r="AC1659" t="s">
        <v>5135</v>
      </c>
      <c r="AE1659">
        <v>1890.78</v>
      </c>
      <c r="AF1659" t="s">
        <v>87</v>
      </c>
      <c r="AG1659" t="s">
        <v>169</v>
      </c>
    </row>
    <row r="1660" spans="1:33" hidden="1" x14ac:dyDescent="0.25">
      <c r="A1660">
        <v>32843</v>
      </c>
      <c r="B1660" t="s">
        <v>32</v>
      </c>
      <c r="C1660">
        <v>1</v>
      </c>
      <c r="D1660" t="s">
        <v>5284</v>
      </c>
      <c r="E1660" t="s">
        <v>70</v>
      </c>
      <c r="F1660" t="s">
        <v>33</v>
      </c>
      <c r="G1660" t="s">
        <v>71</v>
      </c>
      <c r="H1660" t="s">
        <v>72</v>
      </c>
      <c r="I1660" t="s">
        <v>5284</v>
      </c>
      <c r="J1660" t="s">
        <v>5284</v>
      </c>
      <c r="K1660" t="s">
        <v>36</v>
      </c>
      <c r="L1660" t="s">
        <v>33</v>
      </c>
      <c r="R1660" t="s">
        <v>5285</v>
      </c>
      <c r="S1660">
        <v>36.9</v>
      </c>
      <c r="T1660" t="s">
        <v>40</v>
      </c>
      <c r="U1660">
        <f>+IF(Tabla1[[#This Row],[MONEDA]]="PEN",Tabla1[[#This Row],[MONTO]],Tabla1[[#This Row],[MONTO]]*3.56)</f>
        <v>36.9</v>
      </c>
      <c r="V1660" t="s">
        <v>190</v>
      </c>
      <c r="W1660">
        <v>29730</v>
      </c>
      <c r="X1660" t="s">
        <v>41</v>
      </c>
      <c r="Y1660" t="s">
        <v>42</v>
      </c>
      <c r="Z1660" t="s">
        <v>43</v>
      </c>
      <c r="AA1660" t="s">
        <v>5286</v>
      </c>
      <c r="AC1660" t="s">
        <v>5287</v>
      </c>
      <c r="AD1660" t="s">
        <v>5288</v>
      </c>
    </row>
    <row r="1661" spans="1:33" hidden="1" x14ac:dyDescent="0.25">
      <c r="A1661">
        <v>32747</v>
      </c>
      <c r="B1661" t="s">
        <v>32</v>
      </c>
      <c r="C1661">
        <v>1</v>
      </c>
      <c r="D1661" t="s">
        <v>5289</v>
      </c>
      <c r="E1661" t="s">
        <v>70</v>
      </c>
      <c r="F1661" t="s">
        <v>33</v>
      </c>
      <c r="G1661" t="s">
        <v>71</v>
      </c>
      <c r="H1661" t="s">
        <v>35</v>
      </c>
      <c r="I1661" t="s">
        <v>5289</v>
      </c>
      <c r="J1661" t="s">
        <v>5290</v>
      </c>
      <c r="K1661" t="s">
        <v>36</v>
      </c>
      <c r="L1661" t="s">
        <v>33</v>
      </c>
      <c r="O1661" t="s">
        <v>76</v>
      </c>
      <c r="R1661" t="s">
        <v>5291</v>
      </c>
      <c r="S1661">
        <v>57.5</v>
      </c>
      <c r="T1661" t="s">
        <v>40</v>
      </c>
      <c r="U1661">
        <f>+IF(Tabla1[[#This Row],[MONEDA]]="PEN",Tabla1[[#This Row],[MONTO]],Tabla1[[#This Row],[MONTO]]*3.56)</f>
        <v>57.5</v>
      </c>
      <c r="V1661" t="s">
        <v>190</v>
      </c>
      <c r="W1661">
        <v>32138</v>
      </c>
      <c r="X1661" t="s">
        <v>81</v>
      </c>
      <c r="Y1661" t="s">
        <v>42</v>
      </c>
      <c r="Z1661" t="s">
        <v>43</v>
      </c>
      <c r="AA1661" t="s">
        <v>5292</v>
      </c>
      <c r="AC1661" t="s">
        <v>5293</v>
      </c>
      <c r="AD1661" t="s">
        <v>5294</v>
      </c>
    </row>
    <row r="1662" spans="1:33" hidden="1" x14ac:dyDescent="0.25">
      <c r="A1662">
        <v>32064</v>
      </c>
      <c r="B1662" t="s">
        <v>32</v>
      </c>
      <c r="C1662">
        <v>1</v>
      </c>
      <c r="D1662" t="s">
        <v>5463</v>
      </c>
      <c r="E1662" t="s">
        <v>70</v>
      </c>
      <c r="F1662" t="s">
        <v>33</v>
      </c>
      <c r="G1662" t="s">
        <v>71</v>
      </c>
      <c r="H1662" t="s">
        <v>72</v>
      </c>
      <c r="I1662" t="s">
        <v>5463</v>
      </c>
      <c r="J1662" t="s">
        <v>5464</v>
      </c>
      <c r="K1662" t="s">
        <v>36</v>
      </c>
      <c r="L1662" t="s">
        <v>33</v>
      </c>
      <c r="O1662" t="s">
        <v>76</v>
      </c>
      <c r="R1662" t="s">
        <v>5465</v>
      </c>
      <c r="S1662">
        <v>576.98</v>
      </c>
      <c r="T1662" t="s">
        <v>40</v>
      </c>
      <c r="U1662">
        <f>+IF(Tabla1[[#This Row],[MONEDA]]="PEN",Tabla1[[#This Row],[MONTO]],Tabla1[[#This Row],[MONTO]]*3.56)</f>
        <v>576.98</v>
      </c>
      <c r="V1662" t="s">
        <v>190</v>
      </c>
      <c r="W1662">
        <v>29730</v>
      </c>
      <c r="X1662" t="s">
        <v>41</v>
      </c>
      <c r="Y1662" t="s">
        <v>42</v>
      </c>
      <c r="Z1662" t="s">
        <v>43</v>
      </c>
      <c r="AA1662" t="s">
        <v>5466</v>
      </c>
      <c r="AC1662" t="s">
        <v>5467</v>
      </c>
      <c r="AD1662" t="s">
        <v>5468</v>
      </c>
    </row>
    <row r="1663" spans="1:33" hidden="1" x14ac:dyDescent="0.25">
      <c r="A1663">
        <v>32055</v>
      </c>
      <c r="B1663" t="s">
        <v>32</v>
      </c>
      <c r="C1663">
        <v>1</v>
      </c>
      <c r="D1663" t="s">
        <v>5502</v>
      </c>
      <c r="E1663" t="s">
        <v>70</v>
      </c>
      <c r="F1663" t="s">
        <v>33</v>
      </c>
      <c r="G1663" t="s">
        <v>71</v>
      </c>
      <c r="H1663" t="s">
        <v>72</v>
      </c>
      <c r="I1663" t="s">
        <v>5502</v>
      </c>
      <c r="J1663" t="s">
        <v>5520</v>
      </c>
      <c r="K1663" t="s">
        <v>36</v>
      </c>
      <c r="L1663" t="s">
        <v>33</v>
      </c>
      <c r="O1663" t="s">
        <v>76</v>
      </c>
      <c r="R1663" t="s">
        <v>5521</v>
      </c>
      <c r="S1663">
        <v>117</v>
      </c>
      <c r="T1663" t="s">
        <v>40</v>
      </c>
      <c r="U1663">
        <f>+IF(Tabla1[[#This Row],[MONEDA]]="PEN",Tabla1[[#This Row],[MONTO]],Tabla1[[#This Row],[MONTO]]*3.56)</f>
        <v>117</v>
      </c>
      <c r="V1663" t="s">
        <v>190</v>
      </c>
      <c r="W1663">
        <v>29730</v>
      </c>
      <c r="X1663" t="s">
        <v>81</v>
      </c>
      <c r="Y1663" t="s">
        <v>42</v>
      </c>
      <c r="Z1663" t="s">
        <v>43</v>
      </c>
      <c r="AA1663" t="s">
        <v>5522</v>
      </c>
      <c r="AC1663" t="s">
        <v>5523</v>
      </c>
      <c r="AD1663" t="s">
        <v>5524</v>
      </c>
    </row>
    <row r="1664" spans="1:33" x14ac:dyDescent="0.25">
      <c r="A1664">
        <v>31672</v>
      </c>
      <c r="B1664" t="s">
        <v>32</v>
      </c>
      <c r="C1664">
        <v>3</v>
      </c>
      <c r="D1664" t="s">
        <v>5768</v>
      </c>
      <c r="E1664" t="s">
        <v>70</v>
      </c>
      <c r="F1664" t="s">
        <v>130</v>
      </c>
      <c r="G1664" t="s">
        <v>132</v>
      </c>
      <c r="H1664" t="s">
        <v>132</v>
      </c>
      <c r="I1664" t="s">
        <v>5768</v>
      </c>
      <c r="J1664" t="s">
        <v>5768</v>
      </c>
      <c r="K1664" t="s">
        <v>36</v>
      </c>
      <c r="L1664" t="s">
        <v>33</v>
      </c>
      <c r="O1664" t="s">
        <v>5769</v>
      </c>
      <c r="P1664" t="s">
        <v>38</v>
      </c>
      <c r="Q1664" t="s">
        <v>5770</v>
      </c>
      <c r="R1664" t="s">
        <v>510</v>
      </c>
      <c r="S1664">
        <v>2822.03</v>
      </c>
      <c r="T1664" t="s">
        <v>40</v>
      </c>
      <c r="U1664">
        <f>+IF(Tabla1[[#This Row],[MONEDA]]="PEN",Tabla1[[#This Row],[MONTO]],Tabla1[[#This Row],[MONTO]]*3.56)</f>
        <v>2822.03</v>
      </c>
      <c r="X1664" t="s">
        <v>139</v>
      </c>
      <c r="Y1664" t="s">
        <v>42</v>
      </c>
      <c r="Z1664" t="s">
        <v>82</v>
      </c>
      <c r="AA1664" t="s">
        <v>5771</v>
      </c>
      <c r="AB1664" t="s">
        <v>5772</v>
      </c>
      <c r="AC1664" t="s">
        <v>5773</v>
      </c>
      <c r="AE1664">
        <v>2822.03</v>
      </c>
      <c r="AF1664" t="s">
        <v>87</v>
      </c>
      <c r="AG1664" t="s">
        <v>169</v>
      </c>
    </row>
    <row r="1665" spans="1:33" x14ac:dyDescent="0.25">
      <c r="A1665">
        <v>31669</v>
      </c>
      <c r="B1665" t="s">
        <v>32</v>
      </c>
      <c r="C1665">
        <v>3</v>
      </c>
      <c r="D1665" t="s">
        <v>5774</v>
      </c>
      <c r="E1665" t="s">
        <v>70</v>
      </c>
      <c r="F1665" t="s">
        <v>130</v>
      </c>
      <c r="G1665" t="s">
        <v>132</v>
      </c>
      <c r="H1665" t="s">
        <v>132</v>
      </c>
      <c r="I1665" t="s">
        <v>5774</v>
      </c>
      <c r="J1665" t="s">
        <v>5774</v>
      </c>
      <c r="K1665" t="s">
        <v>36</v>
      </c>
      <c r="L1665" t="s">
        <v>33</v>
      </c>
      <c r="O1665" t="s">
        <v>5593</v>
      </c>
      <c r="P1665" t="s">
        <v>38</v>
      </c>
      <c r="Q1665" t="s">
        <v>5594</v>
      </c>
      <c r="R1665" t="s">
        <v>510</v>
      </c>
      <c r="S1665">
        <v>5338.52</v>
      </c>
      <c r="T1665" t="s">
        <v>40</v>
      </c>
      <c r="U1665">
        <f>+IF(Tabla1[[#This Row],[MONEDA]]="PEN",Tabla1[[#This Row],[MONTO]],Tabla1[[#This Row],[MONTO]]*3.56)</f>
        <v>5338.52</v>
      </c>
      <c r="X1665" t="s">
        <v>139</v>
      </c>
      <c r="Y1665" t="s">
        <v>42</v>
      </c>
      <c r="Z1665" t="s">
        <v>511</v>
      </c>
      <c r="AA1665" t="s">
        <v>5771</v>
      </c>
      <c r="AB1665" t="s">
        <v>5775</v>
      </c>
      <c r="AC1665" t="s">
        <v>5776</v>
      </c>
      <c r="AE1665">
        <v>5338.52</v>
      </c>
      <c r="AG1665" t="s">
        <v>169</v>
      </c>
    </row>
    <row r="1666" spans="1:33" x14ac:dyDescent="0.25">
      <c r="A1666">
        <v>31499</v>
      </c>
      <c r="B1666" t="s">
        <v>32</v>
      </c>
      <c r="C1666">
        <v>3</v>
      </c>
      <c r="D1666" t="s">
        <v>5824</v>
      </c>
      <c r="E1666" t="s">
        <v>70</v>
      </c>
      <c r="F1666" t="s">
        <v>130</v>
      </c>
      <c r="G1666" t="s">
        <v>132</v>
      </c>
      <c r="H1666" t="s">
        <v>132</v>
      </c>
      <c r="I1666" t="s">
        <v>5825</v>
      </c>
      <c r="J1666" t="s">
        <v>5825</v>
      </c>
      <c r="K1666" t="s">
        <v>36</v>
      </c>
      <c r="L1666" t="s">
        <v>33</v>
      </c>
      <c r="O1666" t="s">
        <v>5818</v>
      </c>
      <c r="P1666" t="s">
        <v>38</v>
      </c>
      <c r="Q1666">
        <v>43002110819054</v>
      </c>
      <c r="R1666" t="s">
        <v>510</v>
      </c>
      <c r="S1666">
        <v>3801.91</v>
      </c>
      <c r="T1666" t="s">
        <v>40</v>
      </c>
      <c r="U1666">
        <f>+IF(Tabla1[[#This Row],[MONEDA]]="PEN",Tabla1[[#This Row],[MONTO]],Tabla1[[#This Row],[MONTO]]*3.56)</f>
        <v>3801.91</v>
      </c>
      <c r="X1666" t="s">
        <v>139</v>
      </c>
      <c r="Y1666" t="s">
        <v>42</v>
      </c>
      <c r="Z1666" t="s">
        <v>511</v>
      </c>
      <c r="AA1666" t="s">
        <v>5826</v>
      </c>
      <c r="AB1666" t="s">
        <v>5827</v>
      </c>
      <c r="AC1666" t="s">
        <v>5828</v>
      </c>
      <c r="AE1666">
        <v>3801.91</v>
      </c>
      <c r="AF1666" t="s">
        <v>87</v>
      </c>
      <c r="AG1666" t="s">
        <v>169</v>
      </c>
    </row>
    <row r="1667" spans="1:33" x14ac:dyDescent="0.25">
      <c r="A1667">
        <v>31495</v>
      </c>
      <c r="B1667" t="s">
        <v>32</v>
      </c>
      <c r="C1667">
        <v>3</v>
      </c>
      <c r="D1667" t="s">
        <v>5829</v>
      </c>
      <c r="E1667" t="s">
        <v>70</v>
      </c>
      <c r="F1667" t="s">
        <v>130</v>
      </c>
      <c r="G1667" t="s">
        <v>132</v>
      </c>
      <c r="H1667" t="s">
        <v>132</v>
      </c>
      <c r="I1667" t="s">
        <v>5830</v>
      </c>
      <c r="J1667" t="s">
        <v>5830</v>
      </c>
      <c r="K1667" t="s">
        <v>36</v>
      </c>
      <c r="L1667" t="s">
        <v>33</v>
      </c>
      <c r="O1667" t="s">
        <v>5831</v>
      </c>
      <c r="P1667" t="s">
        <v>38</v>
      </c>
      <c r="Q1667" t="s">
        <v>5832</v>
      </c>
      <c r="R1667" t="s">
        <v>510</v>
      </c>
      <c r="S1667">
        <v>2897.21</v>
      </c>
      <c r="T1667" t="s">
        <v>40</v>
      </c>
      <c r="U1667">
        <f>+IF(Tabla1[[#This Row],[MONEDA]]="PEN",Tabla1[[#This Row],[MONTO]],Tabla1[[#This Row],[MONTO]]*3.56)</f>
        <v>2897.21</v>
      </c>
      <c r="X1667" t="s">
        <v>139</v>
      </c>
      <c r="Y1667" t="s">
        <v>42</v>
      </c>
      <c r="Z1667" t="s">
        <v>511</v>
      </c>
      <c r="AA1667" t="s">
        <v>5771</v>
      </c>
      <c r="AB1667" t="s">
        <v>5833</v>
      </c>
      <c r="AC1667" t="s">
        <v>5834</v>
      </c>
      <c r="AE1667">
        <v>2897.21</v>
      </c>
      <c r="AG1667" t="s">
        <v>169</v>
      </c>
    </row>
    <row r="1668" spans="1:33" x14ac:dyDescent="0.25">
      <c r="A1668">
        <v>31387</v>
      </c>
      <c r="B1668" t="s">
        <v>32</v>
      </c>
      <c r="C1668">
        <v>1</v>
      </c>
      <c r="D1668" t="s">
        <v>5835</v>
      </c>
      <c r="E1668" t="s">
        <v>70</v>
      </c>
      <c r="F1668" t="s">
        <v>3256</v>
      </c>
      <c r="G1668" t="s">
        <v>3257</v>
      </c>
      <c r="H1668" t="s">
        <v>159</v>
      </c>
      <c r="I1668" t="s">
        <v>5836</v>
      </c>
      <c r="J1668" t="s">
        <v>5837</v>
      </c>
      <c r="K1668" t="s">
        <v>36</v>
      </c>
      <c r="L1668" t="s">
        <v>33</v>
      </c>
      <c r="M1668">
        <v>20533151435</v>
      </c>
      <c r="P1668" t="s">
        <v>38</v>
      </c>
      <c r="Q1668" t="s">
        <v>163</v>
      </c>
      <c r="R1668" t="s">
        <v>5838</v>
      </c>
      <c r="S1668">
        <v>228.92</v>
      </c>
      <c r="T1668" t="s">
        <v>40</v>
      </c>
      <c r="U1668">
        <f>+IF(Tabla1[[#This Row],[MONEDA]]="PEN",Tabla1[[#This Row],[MONTO]],Tabla1[[#This Row],[MONTO]]*3.56)</f>
        <v>228.92</v>
      </c>
      <c r="X1668" t="s">
        <v>41</v>
      </c>
      <c r="Y1668" t="s">
        <v>42</v>
      </c>
      <c r="Z1668" t="s">
        <v>82</v>
      </c>
      <c r="AA1668" t="s">
        <v>5839</v>
      </c>
      <c r="AB1668" t="s">
        <v>5840</v>
      </c>
      <c r="AC1668" t="s">
        <v>5841</v>
      </c>
      <c r="AD1668" t="s">
        <v>5842</v>
      </c>
      <c r="AE1668">
        <v>228.92</v>
      </c>
      <c r="AF1668" t="s">
        <v>87</v>
      </c>
      <c r="AG1668" t="s">
        <v>169</v>
      </c>
    </row>
    <row r="1669" spans="1:33" x14ac:dyDescent="0.25">
      <c r="A1669">
        <v>31405</v>
      </c>
      <c r="B1669" t="s">
        <v>32</v>
      </c>
      <c r="C1669">
        <v>3</v>
      </c>
      <c r="D1669" t="s">
        <v>5864</v>
      </c>
      <c r="E1669" t="s">
        <v>70</v>
      </c>
      <c r="F1669" t="s">
        <v>130</v>
      </c>
      <c r="G1669" t="s">
        <v>132</v>
      </c>
      <c r="H1669" t="s">
        <v>132</v>
      </c>
      <c r="I1669" t="s">
        <v>5865</v>
      </c>
      <c r="J1669" t="s">
        <v>5865</v>
      </c>
      <c r="K1669" t="s">
        <v>36</v>
      </c>
      <c r="L1669" t="s">
        <v>33</v>
      </c>
      <c r="O1669" t="s">
        <v>5866</v>
      </c>
      <c r="P1669" t="s">
        <v>38</v>
      </c>
      <c r="Q1669" t="s">
        <v>5867</v>
      </c>
      <c r="R1669" t="s">
        <v>510</v>
      </c>
      <c r="S1669">
        <v>5355.47</v>
      </c>
      <c r="T1669" t="s">
        <v>40</v>
      </c>
      <c r="U1669">
        <f>+IF(Tabla1[[#This Row],[MONEDA]]="PEN",Tabla1[[#This Row],[MONTO]],Tabla1[[#This Row],[MONTO]]*3.56)</f>
        <v>5355.47</v>
      </c>
      <c r="X1669" t="s">
        <v>139</v>
      </c>
      <c r="Y1669" t="s">
        <v>42</v>
      </c>
      <c r="Z1669" t="s">
        <v>511</v>
      </c>
      <c r="AA1669" t="s">
        <v>5868</v>
      </c>
      <c r="AB1669" t="s">
        <v>5869</v>
      </c>
      <c r="AC1669" t="s">
        <v>5870</v>
      </c>
      <c r="AE1669">
        <v>5355.47</v>
      </c>
      <c r="AF1669" t="s">
        <v>87</v>
      </c>
      <c r="AG1669" t="s">
        <v>169</v>
      </c>
    </row>
    <row r="1670" spans="1:33" hidden="1" x14ac:dyDescent="0.25">
      <c r="A1670">
        <v>31325</v>
      </c>
      <c r="B1670" t="s">
        <v>32</v>
      </c>
      <c r="C1670">
        <v>1</v>
      </c>
      <c r="D1670" t="s">
        <v>5894</v>
      </c>
      <c r="E1670" t="s">
        <v>70</v>
      </c>
      <c r="F1670" t="s">
        <v>33</v>
      </c>
      <c r="G1670" t="s">
        <v>71</v>
      </c>
      <c r="H1670" t="s">
        <v>72</v>
      </c>
      <c r="I1670" t="s">
        <v>5895</v>
      </c>
      <c r="J1670" t="s">
        <v>5896</v>
      </c>
      <c r="K1670" t="s">
        <v>36</v>
      </c>
      <c r="L1670" t="s">
        <v>33</v>
      </c>
      <c r="O1670" t="s">
        <v>76</v>
      </c>
      <c r="R1670" t="s">
        <v>5897</v>
      </c>
      <c r="S1670">
        <v>90</v>
      </c>
      <c r="T1670" t="s">
        <v>40</v>
      </c>
      <c r="U1670">
        <f>+IF(Tabla1[[#This Row],[MONEDA]]="PEN",Tabla1[[#This Row],[MONTO]],Tabla1[[#This Row],[MONTO]]*3.56)</f>
        <v>90</v>
      </c>
      <c r="V1670" t="s">
        <v>190</v>
      </c>
      <c r="W1670">
        <v>29024</v>
      </c>
      <c r="X1670" t="s">
        <v>81</v>
      </c>
      <c r="Y1670" t="s">
        <v>42</v>
      </c>
      <c r="Z1670" t="s">
        <v>43</v>
      </c>
      <c r="AA1670" t="s">
        <v>5898</v>
      </c>
      <c r="AC1670" t="s">
        <v>5899</v>
      </c>
      <c r="AD1670" t="s">
        <v>5900</v>
      </c>
    </row>
    <row r="1671" spans="1:33" hidden="1" x14ac:dyDescent="0.25">
      <c r="A1671">
        <v>31324</v>
      </c>
      <c r="B1671" t="s">
        <v>32</v>
      </c>
      <c r="C1671">
        <v>1</v>
      </c>
      <c r="D1671" t="s">
        <v>5901</v>
      </c>
      <c r="E1671" t="s">
        <v>70</v>
      </c>
      <c r="F1671" t="s">
        <v>33</v>
      </c>
      <c r="G1671" t="s">
        <v>71</v>
      </c>
      <c r="H1671" t="s">
        <v>72</v>
      </c>
      <c r="I1671" t="s">
        <v>5902</v>
      </c>
      <c r="J1671" t="s">
        <v>5903</v>
      </c>
      <c r="K1671" t="s">
        <v>36</v>
      </c>
      <c r="L1671" t="s">
        <v>33</v>
      </c>
      <c r="O1671" t="s">
        <v>76</v>
      </c>
      <c r="R1671" t="s">
        <v>5904</v>
      </c>
      <c r="S1671">
        <v>80</v>
      </c>
      <c r="T1671" t="s">
        <v>40</v>
      </c>
      <c r="U1671">
        <f>+IF(Tabla1[[#This Row],[MONEDA]]="PEN",Tabla1[[#This Row],[MONTO]],Tabla1[[#This Row],[MONTO]]*3.56)</f>
        <v>80</v>
      </c>
      <c r="V1671" t="s">
        <v>190</v>
      </c>
      <c r="W1671">
        <v>29024</v>
      </c>
      <c r="X1671" t="s">
        <v>81</v>
      </c>
      <c r="Y1671" t="s">
        <v>42</v>
      </c>
      <c r="Z1671" t="s">
        <v>43</v>
      </c>
      <c r="AA1671" t="s">
        <v>5905</v>
      </c>
      <c r="AC1671" t="s">
        <v>5906</v>
      </c>
      <c r="AD1671" t="s">
        <v>5907</v>
      </c>
    </row>
    <row r="1672" spans="1:33" hidden="1" x14ac:dyDescent="0.25">
      <c r="A1672">
        <v>31321</v>
      </c>
      <c r="B1672" t="s">
        <v>32</v>
      </c>
      <c r="C1672">
        <v>1</v>
      </c>
      <c r="D1672" t="s">
        <v>5908</v>
      </c>
      <c r="E1672" t="s">
        <v>70</v>
      </c>
      <c r="F1672" t="s">
        <v>33</v>
      </c>
      <c r="G1672" t="s">
        <v>71</v>
      </c>
      <c r="H1672" t="s">
        <v>72</v>
      </c>
      <c r="I1672" t="s">
        <v>5909</v>
      </c>
      <c r="J1672" t="s">
        <v>5910</v>
      </c>
      <c r="K1672" t="s">
        <v>36</v>
      </c>
      <c r="L1672" t="s">
        <v>33</v>
      </c>
      <c r="O1672" t="s">
        <v>76</v>
      </c>
      <c r="R1672" t="s">
        <v>5911</v>
      </c>
      <c r="S1672">
        <v>67</v>
      </c>
      <c r="T1672" t="s">
        <v>40</v>
      </c>
      <c r="U1672">
        <f>+IF(Tabla1[[#This Row],[MONEDA]]="PEN",Tabla1[[#This Row],[MONTO]],Tabla1[[#This Row],[MONTO]]*3.56)</f>
        <v>67</v>
      </c>
      <c r="V1672" t="s">
        <v>190</v>
      </c>
      <c r="W1672">
        <v>29024</v>
      </c>
      <c r="X1672" t="s">
        <v>81</v>
      </c>
      <c r="Y1672" t="s">
        <v>42</v>
      </c>
      <c r="Z1672" t="s">
        <v>43</v>
      </c>
      <c r="AA1672" t="s">
        <v>5912</v>
      </c>
      <c r="AC1672" t="s">
        <v>5913</v>
      </c>
      <c r="AD1672" t="s">
        <v>5914</v>
      </c>
    </row>
    <row r="1673" spans="1:33" hidden="1" x14ac:dyDescent="0.25">
      <c r="A1673">
        <v>31322</v>
      </c>
      <c r="B1673" t="s">
        <v>32</v>
      </c>
      <c r="C1673">
        <v>1</v>
      </c>
      <c r="D1673" t="s">
        <v>5908</v>
      </c>
      <c r="E1673" t="s">
        <v>70</v>
      </c>
      <c r="F1673" t="s">
        <v>33</v>
      </c>
      <c r="G1673" t="s">
        <v>71</v>
      </c>
      <c r="H1673" t="s">
        <v>72</v>
      </c>
      <c r="I1673" t="s">
        <v>5909</v>
      </c>
      <c r="J1673" t="s">
        <v>5915</v>
      </c>
      <c r="K1673" t="s">
        <v>36</v>
      </c>
      <c r="L1673" t="s">
        <v>33</v>
      </c>
      <c r="O1673" t="s">
        <v>76</v>
      </c>
      <c r="R1673" t="s">
        <v>5916</v>
      </c>
      <c r="S1673">
        <v>22</v>
      </c>
      <c r="T1673" t="s">
        <v>40</v>
      </c>
      <c r="U1673">
        <f>+IF(Tabla1[[#This Row],[MONEDA]]="PEN",Tabla1[[#This Row],[MONTO]],Tabla1[[#This Row],[MONTO]]*3.56)</f>
        <v>22</v>
      </c>
      <c r="V1673" t="s">
        <v>190</v>
      </c>
      <c r="W1673">
        <v>29024</v>
      </c>
      <c r="X1673" t="s">
        <v>81</v>
      </c>
      <c r="Y1673" t="s">
        <v>42</v>
      </c>
      <c r="Z1673" t="s">
        <v>43</v>
      </c>
      <c r="AA1673" t="s">
        <v>5917</v>
      </c>
      <c r="AC1673" t="s">
        <v>5918</v>
      </c>
      <c r="AD1673" t="s">
        <v>5919</v>
      </c>
    </row>
    <row r="1674" spans="1:33" hidden="1" x14ac:dyDescent="0.25">
      <c r="A1674">
        <v>31323</v>
      </c>
      <c r="B1674" t="s">
        <v>32</v>
      </c>
      <c r="C1674">
        <v>1</v>
      </c>
      <c r="D1674" t="s">
        <v>5908</v>
      </c>
      <c r="E1674" t="s">
        <v>70</v>
      </c>
      <c r="F1674" t="s">
        <v>33</v>
      </c>
      <c r="G1674" t="s">
        <v>71</v>
      </c>
      <c r="H1674" t="s">
        <v>72</v>
      </c>
      <c r="I1674" t="s">
        <v>5909</v>
      </c>
      <c r="J1674" t="s">
        <v>5920</v>
      </c>
      <c r="K1674" t="s">
        <v>36</v>
      </c>
      <c r="L1674" t="s">
        <v>33</v>
      </c>
      <c r="O1674" t="s">
        <v>76</v>
      </c>
      <c r="R1674" t="s">
        <v>5921</v>
      </c>
      <c r="S1674">
        <v>40</v>
      </c>
      <c r="T1674" t="s">
        <v>40</v>
      </c>
      <c r="U1674">
        <f>+IF(Tabla1[[#This Row],[MONEDA]]="PEN",Tabla1[[#This Row],[MONTO]],Tabla1[[#This Row],[MONTO]]*3.56)</f>
        <v>40</v>
      </c>
      <c r="V1674" t="s">
        <v>190</v>
      </c>
      <c r="W1674">
        <v>29024</v>
      </c>
      <c r="X1674" t="s">
        <v>81</v>
      </c>
      <c r="Y1674" t="s">
        <v>42</v>
      </c>
      <c r="Z1674" t="s">
        <v>43</v>
      </c>
      <c r="AA1674" t="s">
        <v>5922</v>
      </c>
      <c r="AC1674" t="s">
        <v>5923</v>
      </c>
      <c r="AD1674" t="s">
        <v>5924</v>
      </c>
    </row>
    <row r="1675" spans="1:33" hidden="1" x14ac:dyDescent="0.25">
      <c r="A1675">
        <v>31320</v>
      </c>
      <c r="B1675" t="s">
        <v>32</v>
      </c>
      <c r="C1675">
        <v>1</v>
      </c>
      <c r="D1675" t="s">
        <v>5925</v>
      </c>
      <c r="E1675" t="s">
        <v>70</v>
      </c>
      <c r="F1675" t="s">
        <v>33</v>
      </c>
      <c r="G1675" t="s">
        <v>71</v>
      </c>
      <c r="H1675" t="s">
        <v>72</v>
      </c>
      <c r="I1675" t="s">
        <v>5926</v>
      </c>
      <c r="J1675" t="s">
        <v>5927</v>
      </c>
      <c r="K1675" t="s">
        <v>36</v>
      </c>
      <c r="L1675" t="s">
        <v>33</v>
      </c>
      <c r="O1675" t="s">
        <v>76</v>
      </c>
      <c r="R1675" t="s">
        <v>5928</v>
      </c>
      <c r="S1675">
        <v>100</v>
      </c>
      <c r="T1675" t="s">
        <v>40</v>
      </c>
      <c r="U1675">
        <f>+IF(Tabla1[[#This Row],[MONEDA]]="PEN",Tabla1[[#This Row],[MONTO]],Tabla1[[#This Row],[MONTO]]*3.56)</f>
        <v>100</v>
      </c>
      <c r="V1675" t="s">
        <v>190</v>
      </c>
      <c r="W1675">
        <v>29024</v>
      </c>
      <c r="X1675" t="s">
        <v>81</v>
      </c>
      <c r="Y1675" t="s">
        <v>42</v>
      </c>
      <c r="Z1675" t="s">
        <v>43</v>
      </c>
      <c r="AA1675" t="s">
        <v>5929</v>
      </c>
      <c r="AC1675" t="s">
        <v>5930</v>
      </c>
      <c r="AD1675" t="s">
        <v>5931</v>
      </c>
    </row>
    <row r="1676" spans="1:33" hidden="1" x14ac:dyDescent="0.25">
      <c r="A1676">
        <v>31319</v>
      </c>
      <c r="B1676" t="s">
        <v>32</v>
      </c>
      <c r="C1676">
        <v>1</v>
      </c>
      <c r="D1676" t="s">
        <v>5932</v>
      </c>
      <c r="E1676" t="s">
        <v>70</v>
      </c>
      <c r="F1676" t="s">
        <v>33</v>
      </c>
      <c r="G1676" t="s">
        <v>71</v>
      </c>
      <c r="H1676" t="s">
        <v>72</v>
      </c>
      <c r="I1676" t="s">
        <v>5933</v>
      </c>
      <c r="J1676" t="s">
        <v>5934</v>
      </c>
      <c r="K1676" t="s">
        <v>36</v>
      </c>
      <c r="L1676" t="s">
        <v>33</v>
      </c>
      <c r="O1676" t="s">
        <v>76</v>
      </c>
      <c r="R1676" t="s">
        <v>5935</v>
      </c>
      <c r="S1676">
        <v>55</v>
      </c>
      <c r="T1676" t="s">
        <v>40</v>
      </c>
      <c r="U1676">
        <f>+IF(Tabla1[[#This Row],[MONEDA]]="PEN",Tabla1[[#This Row],[MONTO]],Tabla1[[#This Row],[MONTO]]*3.56)</f>
        <v>55</v>
      </c>
      <c r="V1676" t="s">
        <v>190</v>
      </c>
      <c r="W1676">
        <v>29024</v>
      </c>
      <c r="X1676" t="s">
        <v>81</v>
      </c>
      <c r="Y1676" t="s">
        <v>42</v>
      </c>
      <c r="Z1676" t="s">
        <v>43</v>
      </c>
      <c r="AA1676" t="s">
        <v>5936</v>
      </c>
      <c r="AC1676" t="s">
        <v>5937</v>
      </c>
      <c r="AD1676" t="s">
        <v>5938</v>
      </c>
    </row>
    <row r="1677" spans="1:33" hidden="1" x14ac:dyDescent="0.25">
      <c r="A1677">
        <v>31318</v>
      </c>
      <c r="B1677" t="s">
        <v>32</v>
      </c>
      <c r="C1677">
        <v>1</v>
      </c>
      <c r="D1677" t="s">
        <v>5939</v>
      </c>
      <c r="E1677" t="s">
        <v>70</v>
      </c>
      <c r="F1677" t="s">
        <v>33</v>
      </c>
      <c r="G1677" t="s">
        <v>71</v>
      </c>
      <c r="H1677" t="s">
        <v>72</v>
      </c>
      <c r="I1677" t="s">
        <v>5940</v>
      </c>
      <c r="J1677" t="s">
        <v>5941</v>
      </c>
      <c r="K1677" t="s">
        <v>36</v>
      </c>
      <c r="L1677" t="s">
        <v>33</v>
      </c>
      <c r="O1677" t="s">
        <v>76</v>
      </c>
      <c r="R1677" t="s">
        <v>5942</v>
      </c>
      <c r="S1677">
        <v>40</v>
      </c>
      <c r="T1677" t="s">
        <v>40</v>
      </c>
      <c r="U1677">
        <f>+IF(Tabla1[[#This Row],[MONEDA]]="PEN",Tabla1[[#This Row],[MONTO]],Tabla1[[#This Row],[MONTO]]*3.56)</f>
        <v>40</v>
      </c>
      <c r="V1677" t="s">
        <v>190</v>
      </c>
      <c r="W1677">
        <v>29024</v>
      </c>
      <c r="X1677" t="s">
        <v>81</v>
      </c>
      <c r="Y1677" t="s">
        <v>42</v>
      </c>
      <c r="Z1677" t="s">
        <v>43</v>
      </c>
      <c r="AA1677" t="s">
        <v>5943</v>
      </c>
      <c r="AC1677" t="s">
        <v>5944</v>
      </c>
      <c r="AD1677" t="s">
        <v>5945</v>
      </c>
    </row>
    <row r="1678" spans="1:33" hidden="1" x14ac:dyDescent="0.25">
      <c r="A1678">
        <v>31317</v>
      </c>
      <c r="B1678" t="s">
        <v>32</v>
      </c>
      <c r="C1678">
        <v>1</v>
      </c>
      <c r="D1678" t="s">
        <v>5946</v>
      </c>
      <c r="E1678" t="s">
        <v>70</v>
      </c>
      <c r="F1678" t="s">
        <v>33</v>
      </c>
      <c r="G1678" t="s">
        <v>71</v>
      </c>
      <c r="H1678" t="s">
        <v>72</v>
      </c>
      <c r="I1678" t="s">
        <v>5947</v>
      </c>
      <c r="J1678" t="s">
        <v>5948</v>
      </c>
      <c r="K1678" t="s">
        <v>36</v>
      </c>
      <c r="L1678" t="s">
        <v>33</v>
      </c>
      <c r="O1678" t="s">
        <v>76</v>
      </c>
      <c r="R1678" t="s">
        <v>5949</v>
      </c>
      <c r="S1678">
        <v>50</v>
      </c>
      <c r="T1678" t="s">
        <v>40</v>
      </c>
      <c r="U1678">
        <f>+IF(Tabla1[[#This Row],[MONEDA]]="PEN",Tabla1[[#This Row],[MONTO]],Tabla1[[#This Row],[MONTO]]*3.56)</f>
        <v>50</v>
      </c>
      <c r="V1678" t="s">
        <v>190</v>
      </c>
      <c r="W1678">
        <v>29024</v>
      </c>
      <c r="X1678" t="s">
        <v>81</v>
      </c>
      <c r="Y1678" t="s">
        <v>42</v>
      </c>
      <c r="Z1678" t="s">
        <v>43</v>
      </c>
      <c r="AA1678" t="s">
        <v>5950</v>
      </c>
      <c r="AC1678" t="s">
        <v>5951</v>
      </c>
      <c r="AD1678" t="s">
        <v>5952</v>
      </c>
    </row>
    <row r="1679" spans="1:33" hidden="1" x14ac:dyDescent="0.25">
      <c r="A1679">
        <v>31316</v>
      </c>
      <c r="B1679" t="s">
        <v>32</v>
      </c>
      <c r="C1679">
        <v>1</v>
      </c>
      <c r="D1679" t="s">
        <v>5953</v>
      </c>
      <c r="E1679" t="s">
        <v>70</v>
      </c>
      <c r="F1679" t="s">
        <v>33</v>
      </c>
      <c r="G1679" t="s">
        <v>71</v>
      </c>
      <c r="H1679" t="s">
        <v>72</v>
      </c>
      <c r="I1679" t="s">
        <v>5954</v>
      </c>
      <c r="J1679" t="s">
        <v>5955</v>
      </c>
      <c r="K1679" t="s">
        <v>36</v>
      </c>
      <c r="L1679" t="s">
        <v>33</v>
      </c>
      <c r="O1679" t="s">
        <v>76</v>
      </c>
      <c r="R1679" t="s">
        <v>5956</v>
      </c>
      <c r="S1679">
        <v>65</v>
      </c>
      <c r="T1679" t="s">
        <v>40</v>
      </c>
      <c r="U1679">
        <f>+IF(Tabla1[[#This Row],[MONEDA]]="PEN",Tabla1[[#This Row],[MONTO]],Tabla1[[#This Row],[MONTO]]*3.56)</f>
        <v>65</v>
      </c>
      <c r="V1679" t="s">
        <v>190</v>
      </c>
      <c r="W1679">
        <v>29024</v>
      </c>
      <c r="X1679" t="s">
        <v>81</v>
      </c>
      <c r="Y1679" t="s">
        <v>42</v>
      </c>
      <c r="Z1679" t="s">
        <v>43</v>
      </c>
      <c r="AA1679" t="s">
        <v>5957</v>
      </c>
      <c r="AC1679" t="s">
        <v>5958</v>
      </c>
      <c r="AD1679" t="s">
        <v>5959</v>
      </c>
    </row>
    <row r="1680" spans="1:33" hidden="1" x14ac:dyDescent="0.25">
      <c r="A1680">
        <v>31290</v>
      </c>
      <c r="B1680" t="s">
        <v>32</v>
      </c>
      <c r="C1680">
        <v>6</v>
      </c>
      <c r="D1680" t="s">
        <v>5960</v>
      </c>
      <c r="E1680" t="s">
        <v>70</v>
      </c>
      <c r="F1680" t="s">
        <v>130</v>
      </c>
      <c r="G1680" t="s">
        <v>131</v>
      </c>
      <c r="H1680" t="s">
        <v>132</v>
      </c>
      <c r="I1680" t="s">
        <v>5961</v>
      </c>
      <c r="J1680" t="s">
        <v>5962</v>
      </c>
      <c r="K1680" t="s">
        <v>36</v>
      </c>
      <c r="L1680" t="s">
        <v>33</v>
      </c>
      <c r="R1680" t="s">
        <v>5963</v>
      </c>
      <c r="S1680">
        <v>2652.85</v>
      </c>
      <c r="T1680" t="s">
        <v>40</v>
      </c>
      <c r="U1680">
        <f>+IF(Tabla1[[#This Row],[MONEDA]]="PEN",Tabla1[[#This Row],[MONTO]],Tabla1[[#This Row],[MONTO]]*3.56)</f>
        <v>2652.85</v>
      </c>
      <c r="V1680" t="s">
        <v>190</v>
      </c>
      <c r="W1680">
        <v>30222</v>
      </c>
      <c r="X1680" t="s">
        <v>139</v>
      </c>
      <c r="Y1680" t="s">
        <v>51</v>
      </c>
      <c r="Z1680" t="s">
        <v>43</v>
      </c>
      <c r="AA1680" t="s">
        <v>5964</v>
      </c>
    </row>
    <row r="1681" spans="1:33" x14ac:dyDescent="0.25">
      <c r="A1681">
        <v>31215</v>
      </c>
      <c r="B1681" t="s">
        <v>32</v>
      </c>
      <c r="C1681">
        <v>3</v>
      </c>
      <c r="D1681" t="s">
        <v>5980</v>
      </c>
      <c r="E1681" t="s">
        <v>70</v>
      </c>
      <c r="F1681" t="s">
        <v>130</v>
      </c>
      <c r="G1681" t="s">
        <v>132</v>
      </c>
      <c r="H1681" t="s">
        <v>132</v>
      </c>
      <c r="I1681" t="s">
        <v>5981</v>
      </c>
      <c r="J1681" t="s">
        <v>5981</v>
      </c>
      <c r="K1681" t="s">
        <v>36</v>
      </c>
      <c r="L1681" t="s">
        <v>33</v>
      </c>
      <c r="O1681" t="s">
        <v>5982</v>
      </c>
      <c r="P1681" t="s">
        <v>101</v>
      </c>
      <c r="Q1681" t="s">
        <v>5983</v>
      </c>
      <c r="R1681" t="s">
        <v>510</v>
      </c>
      <c r="S1681">
        <v>5827.39</v>
      </c>
      <c r="T1681" t="s">
        <v>40</v>
      </c>
      <c r="U1681">
        <f>+IF(Tabla1[[#This Row],[MONEDA]]="PEN",Tabla1[[#This Row],[MONTO]],Tabla1[[#This Row],[MONTO]]*3.56)</f>
        <v>5827.39</v>
      </c>
      <c r="X1681" t="s">
        <v>139</v>
      </c>
      <c r="Y1681" t="s">
        <v>42</v>
      </c>
      <c r="Z1681" t="s">
        <v>511</v>
      </c>
      <c r="AA1681" t="s">
        <v>5984</v>
      </c>
      <c r="AB1681" t="s">
        <v>5985</v>
      </c>
      <c r="AC1681" t="s">
        <v>5986</v>
      </c>
      <c r="AE1681">
        <v>5827.39</v>
      </c>
      <c r="AF1681" t="s">
        <v>87</v>
      </c>
      <c r="AG1681" t="s">
        <v>666</v>
      </c>
    </row>
    <row r="1682" spans="1:33" hidden="1" x14ac:dyDescent="0.25">
      <c r="A1682">
        <v>31202</v>
      </c>
      <c r="B1682" t="s">
        <v>32</v>
      </c>
      <c r="C1682">
        <v>1</v>
      </c>
      <c r="D1682" t="s">
        <v>5987</v>
      </c>
      <c r="E1682" t="s">
        <v>70</v>
      </c>
      <c r="F1682" t="s">
        <v>33</v>
      </c>
      <c r="G1682" t="s">
        <v>71</v>
      </c>
      <c r="H1682" t="s">
        <v>72</v>
      </c>
      <c r="I1682" t="s">
        <v>5988</v>
      </c>
      <c r="J1682" t="s">
        <v>5989</v>
      </c>
      <c r="K1682" t="s">
        <v>36</v>
      </c>
      <c r="L1682" t="s">
        <v>33</v>
      </c>
      <c r="O1682" t="s">
        <v>76</v>
      </c>
      <c r="R1682" t="s">
        <v>5990</v>
      </c>
      <c r="S1682">
        <v>50</v>
      </c>
      <c r="T1682" t="s">
        <v>40</v>
      </c>
      <c r="U1682">
        <f>+IF(Tabla1[[#This Row],[MONEDA]]="PEN",Tabla1[[#This Row],[MONTO]],Tabla1[[#This Row],[MONTO]]*3.56)</f>
        <v>50</v>
      </c>
      <c r="V1682" t="s">
        <v>190</v>
      </c>
      <c r="W1682">
        <v>29024</v>
      </c>
      <c r="X1682" t="s">
        <v>81</v>
      </c>
      <c r="Y1682" t="s">
        <v>42</v>
      </c>
      <c r="Z1682" t="s">
        <v>43</v>
      </c>
      <c r="AA1682" t="s">
        <v>5991</v>
      </c>
      <c r="AC1682" t="s">
        <v>5992</v>
      </c>
      <c r="AD1682" t="s">
        <v>5993</v>
      </c>
    </row>
    <row r="1683" spans="1:33" hidden="1" x14ac:dyDescent="0.25">
      <c r="A1683">
        <v>31203</v>
      </c>
      <c r="B1683" t="s">
        <v>32</v>
      </c>
      <c r="C1683">
        <v>1</v>
      </c>
      <c r="D1683" t="s">
        <v>5987</v>
      </c>
      <c r="E1683" t="s">
        <v>70</v>
      </c>
      <c r="F1683" t="s">
        <v>33</v>
      </c>
      <c r="G1683" t="s">
        <v>71</v>
      </c>
      <c r="H1683" t="s">
        <v>72</v>
      </c>
      <c r="I1683" t="s">
        <v>5988</v>
      </c>
      <c r="J1683" t="s">
        <v>5994</v>
      </c>
      <c r="K1683" t="s">
        <v>36</v>
      </c>
      <c r="L1683" t="s">
        <v>33</v>
      </c>
      <c r="O1683" t="s">
        <v>76</v>
      </c>
      <c r="R1683" t="s">
        <v>5995</v>
      </c>
      <c r="S1683">
        <v>28</v>
      </c>
      <c r="T1683" t="s">
        <v>40</v>
      </c>
      <c r="U1683">
        <f>+IF(Tabla1[[#This Row],[MONEDA]]="PEN",Tabla1[[#This Row],[MONTO]],Tabla1[[#This Row],[MONTO]]*3.56)</f>
        <v>28</v>
      </c>
      <c r="V1683" t="s">
        <v>190</v>
      </c>
      <c r="W1683">
        <v>29024</v>
      </c>
      <c r="X1683" t="s">
        <v>81</v>
      </c>
      <c r="Y1683" t="s">
        <v>42</v>
      </c>
      <c r="Z1683" t="s">
        <v>43</v>
      </c>
      <c r="AA1683" t="s">
        <v>5996</v>
      </c>
      <c r="AC1683" t="s">
        <v>5997</v>
      </c>
      <c r="AD1683" t="s">
        <v>5998</v>
      </c>
    </row>
    <row r="1684" spans="1:33" hidden="1" x14ac:dyDescent="0.25">
      <c r="A1684">
        <v>31199</v>
      </c>
      <c r="B1684" t="s">
        <v>32</v>
      </c>
      <c r="C1684">
        <v>1</v>
      </c>
      <c r="D1684" t="s">
        <v>5999</v>
      </c>
      <c r="E1684" t="s">
        <v>70</v>
      </c>
      <c r="F1684" t="s">
        <v>33</v>
      </c>
      <c r="G1684" t="s">
        <v>71</v>
      </c>
      <c r="H1684" t="s">
        <v>72</v>
      </c>
      <c r="I1684" t="s">
        <v>6000</v>
      </c>
      <c r="J1684" t="s">
        <v>6001</v>
      </c>
      <c r="K1684" t="s">
        <v>36</v>
      </c>
      <c r="L1684" t="s">
        <v>33</v>
      </c>
      <c r="O1684" t="s">
        <v>76</v>
      </c>
      <c r="R1684" t="s">
        <v>6002</v>
      </c>
      <c r="S1684">
        <v>49</v>
      </c>
      <c r="T1684" t="s">
        <v>40</v>
      </c>
      <c r="U1684">
        <f>+IF(Tabla1[[#This Row],[MONEDA]]="PEN",Tabla1[[#This Row],[MONTO]],Tabla1[[#This Row],[MONTO]]*3.56)</f>
        <v>49</v>
      </c>
      <c r="V1684" t="s">
        <v>190</v>
      </c>
      <c r="W1684">
        <v>29024</v>
      </c>
      <c r="X1684" t="s">
        <v>81</v>
      </c>
      <c r="Y1684" t="s">
        <v>42</v>
      </c>
      <c r="Z1684" t="s">
        <v>43</v>
      </c>
      <c r="AA1684" t="s">
        <v>6003</v>
      </c>
      <c r="AC1684" t="s">
        <v>6004</v>
      </c>
      <c r="AD1684" t="s">
        <v>6005</v>
      </c>
    </row>
    <row r="1685" spans="1:33" hidden="1" x14ac:dyDescent="0.25">
      <c r="A1685">
        <v>31200</v>
      </c>
      <c r="B1685" t="s">
        <v>32</v>
      </c>
      <c r="C1685">
        <v>1</v>
      </c>
      <c r="D1685" t="s">
        <v>5999</v>
      </c>
      <c r="E1685" t="s">
        <v>70</v>
      </c>
      <c r="F1685" t="s">
        <v>33</v>
      </c>
      <c r="G1685" t="s">
        <v>71</v>
      </c>
      <c r="H1685" t="s">
        <v>72</v>
      </c>
      <c r="I1685" t="s">
        <v>6000</v>
      </c>
      <c r="J1685" t="s">
        <v>6006</v>
      </c>
      <c r="K1685" t="s">
        <v>36</v>
      </c>
      <c r="L1685" t="s">
        <v>33</v>
      </c>
      <c r="O1685" t="s">
        <v>76</v>
      </c>
      <c r="R1685" t="s">
        <v>6007</v>
      </c>
      <c r="S1685">
        <v>32</v>
      </c>
      <c r="T1685" t="s">
        <v>40</v>
      </c>
      <c r="U1685">
        <f>+IF(Tabla1[[#This Row],[MONEDA]]="PEN",Tabla1[[#This Row],[MONTO]],Tabla1[[#This Row],[MONTO]]*3.56)</f>
        <v>32</v>
      </c>
      <c r="V1685" t="s">
        <v>190</v>
      </c>
      <c r="W1685">
        <v>29024</v>
      </c>
      <c r="X1685" t="s">
        <v>81</v>
      </c>
      <c r="Y1685" t="s">
        <v>42</v>
      </c>
      <c r="Z1685" t="s">
        <v>43</v>
      </c>
      <c r="AA1685" t="s">
        <v>6008</v>
      </c>
      <c r="AC1685" t="s">
        <v>6009</v>
      </c>
      <c r="AD1685" t="s">
        <v>6010</v>
      </c>
    </row>
    <row r="1686" spans="1:33" hidden="1" x14ac:dyDescent="0.25">
      <c r="A1686">
        <v>31201</v>
      </c>
      <c r="B1686" t="s">
        <v>32</v>
      </c>
      <c r="C1686">
        <v>1</v>
      </c>
      <c r="D1686" t="s">
        <v>5999</v>
      </c>
      <c r="E1686" t="s">
        <v>70</v>
      </c>
      <c r="F1686" t="s">
        <v>33</v>
      </c>
      <c r="G1686" t="s">
        <v>71</v>
      </c>
      <c r="H1686" t="s">
        <v>72</v>
      </c>
      <c r="I1686" t="s">
        <v>6000</v>
      </c>
      <c r="J1686" t="s">
        <v>6011</v>
      </c>
      <c r="K1686" t="s">
        <v>36</v>
      </c>
      <c r="L1686" t="s">
        <v>33</v>
      </c>
      <c r="O1686" t="s">
        <v>76</v>
      </c>
      <c r="R1686" t="s">
        <v>6012</v>
      </c>
      <c r="S1686">
        <v>29</v>
      </c>
      <c r="T1686" t="s">
        <v>40</v>
      </c>
      <c r="U1686">
        <f>+IF(Tabla1[[#This Row],[MONEDA]]="PEN",Tabla1[[#This Row],[MONTO]],Tabla1[[#This Row],[MONTO]]*3.56)</f>
        <v>29</v>
      </c>
      <c r="V1686" t="s">
        <v>190</v>
      </c>
      <c r="W1686">
        <v>29024</v>
      </c>
      <c r="X1686" t="s">
        <v>81</v>
      </c>
      <c r="Y1686" t="s">
        <v>42</v>
      </c>
      <c r="Z1686" t="s">
        <v>43</v>
      </c>
      <c r="AA1686" t="s">
        <v>6013</v>
      </c>
      <c r="AC1686" t="s">
        <v>6014</v>
      </c>
      <c r="AD1686" t="s">
        <v>6015</v>
      </c>
    </row>
    <row r="1687" spans="1:33" hidden="1" x14ac:dyDescent="0.25">
      <c r="A1687">
        <v>31197</v>
      </c>
      <c r="B1687" t="s">
        <v>32</v>
      </c>
      <c r="C1687">
        <v>1</v>
      </c>
      <c r="D1687" t="s">
        <v>6016</v>
      </c>
      <c r="E1687" t="s">
        <v>70</v>
      </c>
      <c r="F1687" t="s">
        <v>33</v>
      </c>
      <c r="G1687" t="s">
        <v>71</v>
      </c>
      <c r="H1687" t="s">
        <v>72</v>
      </c>
      <c r="I1687" t="s">
        <v>6017</v>
      </c>
      <c r="J1687" t="s">
        <v>6018</v>
      </c>
      <c r="K1687" t="s">
        <v>36</v>
      </c>
      <c r="L1687" t="s">
        <v>33</v>
      </c>
      <c r="O1687" t="s">
        <v>76</v>
      </c>
      <c r="R1687" t="s">
        <v>6019</v>
      </c>
      <c r="S1687">
        <v>360</v>
      </c>
      <c r="T1687" t="s">
        <v>40</v>
      </c>
      <c r="U1687">
        <f>+IF(Tabla1[[#This Row],[MONEDA]]="PEN",Tabla1[[#This Row],[MONTO]],Tabla1[[#This Row],[MONTO]]*3.56)</f>
        <v>360</v>
      </c>
      <c r="V1687" t="s">
        <v>190</v>
      </c>
      <c r="W1687">
        <v>29024</v>
      </c>
      <c r="X1687" t="s">
        <v>81</v>
      </c>
      <c r="Y1687" t="s">
        <v>42</v>
      </c>
      <c r="Z1687" t="s">
        <v>43</v>
      </c>
      <c r="AA1687" t="s">
        <v>6020</v>
      </c>
      <c r="AC1687" t="s">
        <v>6021</v>
      </c>
      <c r="AD1687" t="s">
        <v>6022</v>
      </c>
    </row>
    <row r="1688" spans="1:33" hidden="1" x14ac:dyDescent="0.25">
      <c r="A1688">
        <v>31198</v>
      </c>
      <c r="B1688" t="s">
        <v>32</v>
      </c>
      <c r="C1688">
        <v>1</v>
      </c>
      <c r="D1688" t="s">
        <v>6016</v>
      </c>
      <c r="E1688" t="s">
        <v>70</v>
      </c>
      <c r="F1688" t="s">
        <v>33</v>
      </c>
      <c r="G1688" t="s">
        <v>71</v>
      </c>
      <c r="H1688" t="s">
        <v>72</v>
      </c>
      <c r="I1688" t="s">
        <v>6017</v>
      </c>
      <c r="J1688" t="s">
        <v>6023</v>
      </c>
      <c r="K1688" t="s">
        <v>36</v>
      </c>
      <c r="L1688" t="s">
        <v>33</v>
      </c>
      <c r="O1688" t="s">
        <v>76</v>
      </c>
      <c r="R1688" t="s">
        <v>6024</v>
      </c>
      <c r="S1688">
        <v>90</v>
      </c>
      <c r="T1688" t="s">
        <v>40</v>
      </c>
      <c r="U1688">
        <f>+IF(Tabla1[[#This Row],[MONEDA]]="PEN",Tabla1[[#This Row],[MONTO]],Tabla1[[#This Row],[MONTO]]*3.56)</f>
        <v>90</v>
      </c>
      <c r="V1688" t="s">
        <v>190</v>
      </c>
      <c r="W1688">
        <v>29024</v>
      </c>
      <c r="X1688" t="s">
        <v>81</v>
      </c>
      <c r="Y1688" t="s">
        <v>42</v>
      </c>
      <c r="Z1688" t="s">
        <v>43</v>
      </c>
      <c r="AA1688" t="s">
        <v>6025</v>
      </c>
      <c r="AC1688" t="s">
        <v>6026</v>
      </c>
      <c r="AD1688" t="s">
        <v>6027</v>
      </c>
    </row>
    <row r="1689" spans="1:33" hidden="1" x14ac:dyDescent="0.25">
      <c r="A1689">
        <v>31196</v>
      </c>
      <c r="B1689" t="s">
        <v>32</v>
      </c>
      <c r="C1689">
        <v>1</v>
      </c>
      <c r="D1689" t="s">
        <v>6028</v>
      </c>
      <c r="E1689" t="s">
        <v>70</v>
      </c>
      <c r="F1689" t="s">
        <v>33</v>
      </c>
      <c r="G1689" t="s">
        <v>71</v>
      </c>
      <c r="H1689" t="s">
        <v>72</v>
      </c>
      <c r="I1689" t="s">
        <v>6029</v>
      </c>
      <c r="J1689" t="s">
        <v>6030</v>
      </c>
      <c r="K1689" t="s">
        <v>36</v>
      </c>
      <c r="L1689" t="s">
        <v>33</v>
      </c>
      <c r="O1689" t="s">
        <v>76</v>
      </c>
      <c r="R1689" t="s">
        <v>6031</v>
      </c>
      <c r="S1689">
        <v>50</v>
      </c>
      <c r="T1689" t="s">
        <v>40</v>
      </c>
      <c r="U1689">
        <f>+IF(Tabla1[[#This Row],[MONEDA]]="PEN",Tabla1[[#This Row],[MONTO]],Tabla1[[#This Row],[MONTO]]*3.56)</f>
        <v>50</v>
      </c>
      <c r="V1689" t="s">
        <v>190</v>
      </c>
      <c r="W1689">
        <v>29024</v>
      </c>
      <c r="X1689" t="s">
        <v>81</v>
      </c>
      <c r="Y1689" t="s">
        <v>42</v>
      </c>
      <c r="Z1689" t="s">
        <v>43</v>
      </c>
      <c r="AA1689" t="s">
        <v>6032</v>
      </c>
      <c r="AC1689" t="s">
        <v>6033</v>
      </c>
      <c r="AD1689" t="s">
        <v>6034</v>
      </c>
    </row>
    <row r="1690" spans="1:33" hidden="1" x14ac:dyDescent="0.25">
      <c r="A1690">
        <v>31193</v>
      </c>
      <c r="B1690" t="s">
        <v>32</v>
      </c>
      <c r="C1690">
        <v>1</v>
      </c>
      <c r="D1690" t="s">
        <v>6035</v>
      </c>
      <c r="E1690" t="s">
        <v>70</v>
      </c>
      <c r="F1690" t="s">
        <v>33</v>
      </c>
      <c r="G1690" t="s">
        <v>71</v>
      </c>
      <c r="H1690" t="s">
        <v>72</v>
      </c>
      <c r="I1690" t="s">
        <v>6036</v>
      </c>
      <c r="J1690" t="s">
        <v>6037</v>
      </c>
      <c r="K1690" t="s">
        <v>36</v>
      </c>
      <c r="L1690" t="s">
        <v>33</v>
      </c>
      <c r="O1690" t="s">
        <v>76</v>
      </c>
      <c r="R1690" t="s">
        <v>6038</v>
      </c>
      <c r="S1690">
        <v>50</v>
      </c>
      <c r="T1690" t="s">
        <v>40</v>
      </c>
      <c r="U1690">
        <f>+IF(Tabla1[[#This Row],[MONEDA]]="PEN",Tabla1[[#This Row],[MONTO]],Tabla1[[#This Row],[MONTO]]*3.56)</f>
        <v>50</v>
      </c>
      <c r="V1690" t="s">
        <v>190</v>
      </c>
      <c r="W1690">
        <v>29024</v>
      </c>
      <c r="X1690" t="s">
        <v>81</v>
      </c>
      <c r="Y1690" t="s">
        <v>42</v>
      </c>
      <c r="Z1690" t="s">
        <v>43</v>
      </c>
      <c r="AA1690" t="s">
        <v>6039</v>
      </c>
      <c r="AC1690" t="s">
        <v>6040</v>
      </c>
      <c r="AD1690" t="s">
        <v>6041</v>
      </c>
    </row>
    <row r="1691" spans="1:33" hidden="1" x14ac:dyDescent="0.25">
      <c r="A1691">
        <v>31195</v>
      </c>
      <c r="B1691" t="s">
        <v>32</v>
      </c>
      <c r="C1691">
        <v>1</v>
      </c>
      <c r="D1691" t="s">
        <v>6035</v>
      </c>
      <c r="E1691" t="s">
        <v>70</v>
      </c>
      <c r="F1691" t="s">
        <v>33</v>
      </c>
      <c r="G1691" t="s">
        <v>71</v>
      </c>
      <c r="H1691" t="s">
        <v>72</v>
      </c>
      <c r="I1691" t="s">
        <v>6036</v>
      </c>
      <c r="J1691" t="s">
        <v>6037</v>
      </c>
      <c r="K1691" t="s">
        <v>36</v>
      </c>
      <c r="L1691" t="s">
        <v>33</v>
      </c>
      <c r="O1691" t="s">
        <v>76</v>
      </c>
      <c r="R1691" t="s">
        <v>6047</v>
      </c>
      <c r="S1691">
        <v>50</v>
      </c>
      <c r="T1691" t="s">
        <v>40</v>
      </c>
      <c r="U1691">
        <f>+IF(Tabla1[[#This Row],[MONEDA]]="PEN",Tabla1[[#This Row],[MONTO]],Tabla1[[#This Row],[MONTO]]*3.56)</f>
        <v>50</v>
      </c>
      <c r="V1691" t="s">
        <v>190</v>
      </c>
      <c r="W1691">
        <v>29024</v>
      </c>
      <c r="X1691" t="s">
        <v>81</v>
      </c>
      <c r="Y1691" t="s">
        <v>42</v>
      </c>
      <c r="Z1691" t="s">
        <v>43</v>
      </c>
      <c r="AA1691" t="s">
        <v>6048</v>
      </c>
      <c r="AC1691" t="s">
        <v>6049</v>
      </c>
      <c r="AD1691" t="s">
        <v>6050</v>
      </c>
    </row>
    <row r="1692" spans="1:33" hidden="1" x14ac:dyDescent="0.25">
      <c r="A1692">
        <v>31189</v>
      </c>
      <c r="B1692" t="s">
        <v>32</v>
      </c>
      <c r="C1692">
        <v>1</v>
      </c>
      <c r="D1692" t="s">
        <v>6051</v>
      </c>
      <c r="E1692" t="s">
        <v>70</v>
      </c>
      <c r="F1692" t="s">
        <v>33</v>
      </c>
      <c r="G1692" t="s">
        <v>71</v>
      </c>
      <c r="H1692" t="s">
        <v>72</v>
      </c>
      <c r="I1692" t="s">
        <v>6052</v>
      </c>
      <c r="J1692" t="s">
        <v>6053</v>
      </c>
      <c r="K1692" t="s">
        <v>36</v>
      </c>
      <c r="L1692" t="s">
        <v>33</v>
      </c>
      <c r="O1692" t="s">
        <v>76</v>
      </c>
      <c r="R1692" t="s">
        <v>6054</v>
      </c>
      <c r="S1692">
        <v>7</v>
      </c>
      <c r="T1692" t="s">
        <v>40</v>
      </c>
      <c r="U1692">
        <f>+IF(Tabla1[[#This Row],[MONEDA]]="PEN",Tabla1[[#This Row],[MONTO]],Tabla1[[#This Row],[MONTO]]*3.56)</f>
        <v>7</v>
      </c>
      <c r="V1692" t="s">
        <v>190</v>
      </c>
      <c r="W1692">
        <v>29024</v>
      </c>
      <c r="X1692" t="s">
        <v>81</v>
      </c>
      <c r="Y1692" t="s">
        <v>42</v>
      </c>
      <c r="Z1692" t="s">
        <v>43</v>
      </c>
      <c r="AA1692" t="s">
        <v>6055</v>
      </c>
      <c r="AC1692" t="s">
        <v>6056</v>
      </c>
      <c r="AD1692" t="s">
        <v>6057</v>
      </c>
    </row>
    <row r="1693" spans="1:33" hidden="1" x14ac:dyDescent="0.25">
      <c r="A1693">
        <v>31191</v>
      </c>
      <c r="B1693" t="s">
        <v>32</v>
      </c>
      <c r="C1693">
        <v>1</v>
      </c>
      <c r="D1693" t="s">
        <v>6051</v>
      </c>
      <c r="E1693" t="s">
        <v>70</v>
      </c>
      <c r="F1693" t="s">
        <v>33</v>
      </c>
      <c r="G1693" t="s">
        <v>71</v>
      </c>
      <c r="H1693" t="s">
        <v>72</v>
      </c>
      <c r="I1693" t="s">
        <v>6052</v>
      </c>
      <c r="J1693" t="s">
        <v>6063</v>
      </c>
      <c r="K1693" t="s">
        <v>36</v>
      </c>
      <c r="L1693" t="s">
        <v>33</v>
      </c>
      <c r="O1693" t="s">
        <v>76</v>
      </c>
      <c r="R1693" t="s">
        <v>6064</v>
      </c>
      <c r="S1693">
        <v>40</v>
      </c>
      <c r="T1693" t="s">
        <v>40</v>
      </c>
      <c r="U1693">
        <f>+IF(Tabla1[[#This Row],[MONEDA]]="PEN",Tabla1[[#This Row],[MONTO]],Tabla1[[#This Row],[MONTO]]*3.56)</f>
        <v>40</v>
      </c>
      <c r="V1693" t="s">
        <v>190</v>
      </c>
      <c r="W1693">
        <v>29024</v>
      </c>
      <c r="X1693" t="s">
        <v>81</v>
      </c>
      <c r="Y1693" t="s">
        <v>42</v>
      </c>
      <c r="Z1693" t="s">
        <v>43</v>
      </c>
      <c r="AA1693" t="s">
        <v>6065</v>
      </c>
      <c r="AC1693" t="s">
        <v>6066</v>
      </c>
      <c r="AD1693" t="s">
        <v>6067</v>
      </c>
    </row>
    <row r="1694" spans="1:33" hidden="1" x14ac:dyDescent="0.25">
      <c r="A1694">
        <v>31192</v>
      </c>
      <c r="B1694" t="s">
        <v>32</v>
      </c>
      <c r="C1694">
        <v>1</v>
      </c>
      <c r="D1694" t="s">
        <v>6051</v>
      </c>
      <c r="E1694" t="s">
        <v>70</v>
      </c>
      <c r="F1694" t="s">
        <v>33</v>
      </c>
      <c r="G1694" t="s">
        <v>71</v>
      </c>
      <c r="H1694" t="s">
        <v>72</v>
      </c>
      <c r="I1694" t="s">
        <v>6052</v>
      </c>
      <c r="J1694" t="s">
        <v>6068</v>
      </c>
      <c r="K1694" t="s">
        <v>36</v>
      </c>
      <c r="L1694" t="s">
        <v>33</v>
      </c>
      <c r="O1694" t="s">
        <v>76</v>
      </c>
      <c r="R1694" t="s">
        <v>6069</v>
      </c>
      <c r="S1694">
        <v>50</v>
      </c>
      <c r="T1694" t="s">
        <v>40</v>
      </c>
      <c r="U1694">
        <f>+IF(Tabla1[[#This Row],[MONEDA]]="PEN",Tabla1[[#This Row],[MONTO]],Tabla1[[#This Row],[MONTO]]*3.56)</f>
        <v>50</v>
      </c>
      <c r="V1694" t="s">
        <v>190</v>
      </c>
      <c r="W1694">
        <v>29024</v>
      </c>
      <c r="X1694" t="s">
        <v>81</v>
      </c>
      <c r="Y1694" t="s">
        <v>42</v>
      </c>
      <c r="Z1694" t="s">
        <v>43</v>
      </c>
      <c r="AA1694" t="s">
        <v>6070</v>
      </c>
      <c r="AC1694" t="s">
        <v>6071</v>
      </c>
      <c r="AD1694" t="s">
        <v>6072</v>
      </c>
    </row>
    <row r="1695" spans="1:33" hidden="1" x14ac:dyDescent="0.25">
      <c r="A1695">
        <v>31186</v>
      </c>
      <c r="B1695" t="s">
        <v>32</v>
      </c>
      <c r="C1695">
        <v>1</v>
      </c>
      <c r="D1695" t="s">
        <v>6073</v>
      </c>
      <c r="E1695" t="s">
        <v>70</v>
      </c>
      <c r="F1695" t="s">
        <v>33</v>
      </c>
      <c r="G1695" t="s">
        <v>71</v>
      </c>
      <c r="H1695" t="s">
        <v>72</v>
      </c>
      <c r="I1695" t="s">
        <v>6074</v>
      </c>
      <c r="J1695" t="s">
        <v>6079</v>
      </c>
      <c r="K1695" t="s">
        <v>36</v>
      </c>
      <c r="L1695" t="s">
        <v>33</v>
      </c>
      <c r="O1695" t="s">
        <v>76</v>
      </c>
      <c r="R1695" t="s">
        <v>6080</v>
      </c>
      <c r="S1695">
        <v>50</v>
      </c>
      <c r="T1695" t="s">
        <v>40</v>
      </c>
      <c r="U1695">
        <f>+IF(Tabla1[[#This Row],[MONEDA]]="PEN",Tabla1[[#This Row],[MONTO]],Tabla1[[#This Row],[MONTO]]*3.56)</f>
        <v>50</v>
      </c>
      <c r="V1695" t="s">
        <v>190</v>
      </c>
      <c r="W1695">
        <v>29024</v>
      </c>
      <c r="X1695" t="s">
        <v>81</v>
      </c>
      <c r="Y1695" t="s">
        <v>42</v>
      </c>
      <c r="Z1695" t="s">
        <v>43</v>
      </c>
      <c r="AA1695" t="s">
        <v>6081</v>
      </c>
      <c r="AC1695" t="s">
        <v>6082</v>
      </c>
      <c r="AD1695" t="s">
        <v>6083</v>
      </c>
    </row>
    <row r="1696" spans="1:33" hidden="1" x14ac:dyDescent="0.25">
      <c r="A1696">
        <v>31188</v>
      </c>
      <c r="B1696" t="s">
        <v>32</v>
      </c>
      <c r="C1696">
        <v>1</v>
      </c>
      <c r="D1696" t="s">
        <v>6073</v>
      </c>
      <c r="E1696" t="s">
        <v>70</v>
      </c>
      <c r="F1696" t="s">
        <v>33</v>
      </c>
      <c r="G1696" t="s">
        <v>71</v>
      </c>
      <c r="H1696" t="s">
        <v>72</v>
      </c>
      <c r="I1696" t="s">
        <v>6074</v>
      </c>
      <c r="J1696" t="s">
        <v>6089</v>
      </c>
      <c r="K1696" t="s">
        <v>36</v>
      </c>
      <c r="L1696" t="s">
        <v>33</v>
      </c>
      <c r="O1696" t="s">
        <v>76</v>
      </c>
      <c r="R1696" t="s">
        <v>6090</v>
      </c>
      <c r="S1696">
        <v>30</v>
      </c>
      <c r="T1696" t="s">
        <v>40</v>
      </c>
      <c r="U1696">
        <f>+IF(Tabla1[[#This Row],[MONEDA]]="PEN",Tabla1[[#This Row],[MONTO]],Tabla1[[#This Row],[MONTO]]*3.56)</f>
        <v>30</v>
      </c>
      <c r="V1696" t="s">
        <v>190</v>
      </c>
      <c r="W1696">
        <v>29024</v>
      </c>
      <c r="X1696" t="s">
        <v>81</v>
      </c>
      <c r="Y1696" t="s">
        <v>42</v>
      </c>
      <c r="Z1696" t="s">
        <v>43</v>
      </c>
      <c r="AA1696" t="s">
        <v>6091</v>
      </c>
      <c r="AC1696" t="s">
        <v>6092</v>
      </c>
      <c r="AD1696" t="s">
        <v>6093</v>
      </c>
    </row>
    <row r="1697" spans="1:33" hidden="1" x14ac:dyDescent="0.25">
      <c r="A1697">
        <v>31006</v>
      </c>
      <c r="B1697" t="s">
        <v>32</v>
      </c>
      <c r="C1697">
        <v>6</v>
      </c>
      <c r="D1697" t="s">
        <v>6197</v>
      </c>
      <c r="E1697" t="s">
        <v>70</v>
      </c>
      <c r="F1697" t="s">
        <v>130</v>
      </c>
      <c r="G1697" t="s">
        <v>131</v>
      </c>
      <c r="H1697" t="s">
        <v>132</v>
      </c>
      <c r="I1697" t="s">
        <v>6198</v>
      </c>
      <c r="J1697" t="s">
        <v>6199</v>
      </c>
      <c r="K1697" t="s">
        <v>36</v>
      </c>
      <c r="L1697" t="s">
        <v>33</v>
      </c>
      <c r="R1697" t="s">
        <v>6200</v>
      </c>
      <c r="S1697">
        <v>2628.8</v>
      </c>
      <c r="T1697" t="s">
        <v>40</v>
      </c>
      <c r="U1697">
        <f>+IF(Tabla1[[#This Row],[MONEDA]]="PEN",Tabla1[[#This Row],[MONTO]],Tabla1[[#This Row],[MONTO]]*3.56)</f>
        <v>2628.8</v>
      </c>
      <c r="V1697" t="s">
        <v>190</v>
      </c>
      <c r="W1697">
        <v>30219</v>
      </c>
      <c r="X1697" t="s">
        <v>139</v>
      </c>
      <c r="Y1697" t="s">
        <v>51</v>
      </c>
      <c r="Z1697" t="s">
        <v>43</v>
      </c>
      <c r="AA1697" t="s">
        <v>6201</v>
      </c>
    </row>
    <row r="1698" spans="1:33" hidden="1" x14ac:dyDescent="0.25">
      <c r="A1698">
        <v>30984</v>
      </c>
      <c r="B1698" t="s">
        <v>32</v>
      </c>
      <c r="C1698">
        <v>6</v>
      </c>
      <c r="D1698" t="s">
        <v>6202</v>
      </c>
      <c r="E1698" t="s">
        <v>70</v>
      </c>
      <c r="F1698" t="s">
        <v>130</v>
      </c>
      <c r="G1698" t="s">
        <v>131</v>
      </c>
      <c r="H1698" t="s">
        <v>132</v>
      </c>
      <c r="I1698" t="s">
        <v>6203</v>
      </c>
      <c r="J1698" t="s">
        <v>6204</v>
      </c>
      <c r="K1698" t="s">
        <v>36</v>
      </c>
      <c r="L1698" t="s">
        <v>33</v>
      </c>
      <c r="R1698" t="s">
        <v>6205</v>
      </c>
      <c r="S1698">
        <v>10926.78</v>
      </c>
      <c r="T1698" t="s">
        <v>40</v>
      </c>
      <c r="U1698">
        <f>+IF(Tabla1[[#This Row],[MONEDA]]="PEN",Tabla1[[#This Row],[MONTO]],Tabla1[[#This Row],[MONTO]]*3.56)</f>
        <v>10926.78</v>
      </c>
      <c r="V1698" t="s">
        <v>190</v>
      </c>
      <c r="W1698">
        <v>30216</v>
      </c>
      <c r="X1698" t="s">
        <v>139</v>
      </c>
      <c r="Y1698" t="s">
        <v>51</v>
      </c>
      <c r="Z1698" t="s">
        <v>43</v>
      </c>
      <c r="AA1698" t="s">
        <v>6206</v>
      </c>
    </row>
    <row r="1699" spans="1:33" hidden="1" x14ac:dyDescent="0.25">
      <c r="A1699">
        <v>30959</v>
      </c>
      <c r="B1699" t="s">
        <v>32</v>
      </c>
      <c r="C1699">
        <v>6</v>
      </c>
      <c r="D1699" t="s">
        <v>6207</v>
      </c>
      <c r="E1699" t="s">
        <v>70</v>
      </c>
      <c r="F1699" t="s">
        <v>130</v>
      </c>
      <c r="G1699" t="s">
        <v>131</v>
      </c>
      <c r="H1699" t="s">
        <v>132</v>
      </c>
      <c r="I1699" t="s">
        <v>6208</v>
      </c>
      <c r="J1699" t="s">
        <v>6209</v>
      </c>
      <c r="K1699" t="s">
        <v>36</v>
      </c>
      <c r="L1699" t="s">
        <v>33</v>
      </c>
      <c r="R1699" t="s">
        <v>6210</v>
      </c>
      <c r="S1699">
        <v>12005.12</v>
      </c>
      <c r="T1699" t="s">
        <v>40</v>
      </c>
      <c r="U1699">
        <f>+IF(Tabla1[[#This Row],[MONEDA]]="PEN",Tabla1[[#This Row],[MONTO]],Tabla1[[#This Row],[MONTO]]*3.56)</f>
        <v>12005.12</v>
      </c>
      <c r="V1699" t="s">
        <v>190</v>
      </c>
      <c r="W1699">
        <v>30214</v>
      </c>
      <c r="X1699" t="s">
        <v>139</v>
      </c>
      <c r="Y1699" t="s">
        <v>51</v>
      </c>
      <c r="Z1699" t="s">
        <v>43</v>
      </c>
      <c r="AA1699" t="s">
        <v>6211</v>
      </c>
    </row>
    <row r="1700" spans="1:33" hidden="1" x14ac:dyDescent="0.25">
      <c r="A1700">
        <v>30514</v>
      </c>
      <c r="B1700" t="s">
        <v>32</v>
      </c>
      <c r="C1700">
        <v>6</v>
      </c>
      <c r="D1700" t="s">
        <v>6333</v>
      </c>
      <c r="E1700" t="s">
        <v>70</v>
      </c>
      <c r="F1700" t="s">
        <v>130</v>
      </c>
      <c r="G1700" t="s">
        <v>131</v>
      </c>
      <c r="H1700" t="s">
        <v>132</v>
      </c>
      <c r="I1700" t="s">
        <v>6334</v>
      </c>
      <c r="J1700" t="s">
        <v>6335</v>
      </c>
      <c r="K1700" t="s">
        <v>36</v>
      </c>
      <c r="L1700" t="s">
        <v>33</v>
      </c>
      <c r="R1700" t="s">
        <v>6336</v>
      </c>
      <c r="S1700">
        <v>94949.82</v>
      </c>
      <c r="T1700" t="s">
        <v>40</v>
      </c>
      <c r="U1700">
        <f>+IF(Tabla1[[#This Row],[MONEDA]]="PEN",Tabla1[[#This Row],[MONTO]],Tabla1[[#This Row],[MONTO]]*3.56)</f>
        <v>94949.82</v>
      </c>
      <c r="V1700" t="s">
        <v>190</v>
      </c>
      <c r="W1700">
        <v>30212</v>
      </c>
      <c r="X1700" t="s">
        <v>139</v>
      </c>
      <c r="Y1700" t="s">
        <v>51</v>
      </c>
      <c r="Z1700" t="s">
        <v>43</v>
      </c>
      <c r="AA1700" t="s">
        <v>6337</v>
      </c>
    </row>
    <row r="1701" spans="1:33" hidden="1" x14ac:dyDescent="0.25">
      <c r="A1701">
        <v>30194</v>
      </c>
      <c r="B1701" t="s">
        <v>32</v>
      </c>
      <c r="C1701">
        <v>1</v>
      </c>
      <c r="D1701" t="s">
        <v>6338</v>
      </c>
      <c r="E1701" t="s">
        <v>70</v>
      </c>
      <c r="F1701" t="s">
        <v>33</v>
      </c>
      <c r="G1701" t="s">
        <v>71</v>
      </c>
      <c r="H1701" t="s">
        <v>72</v>
      </c>
      <c r="I1701" t="s">
        <v>6339</v>
      </c>
      <c r="J1701" t="s">
        <v>6339</v>
      </c>
      <c r="K1701" t="s">
        <v>36</v>
      </c>
      <c r="L1701" t="s">
        <v>33</v>
      </c>
      <c r="R1701" t="s">
        <v>5285</v>
      </c>
      <c r="S1701">
        <v>3</v>
      </c>
      <c r="T1701" t="s">
        <v>40</v>
      </c>
      <c r="U1701">
        <f>+IF(Tabla1[[#This Row],[MONEDA]]="PEN",Tabla1[[#This Row],[MONTO]],Tabla1[[#This Row],[MONTO]]*3.56)</f>
        <v>3</v>
      </c>
      <c r="V1701" t="s">
        <v>190</v>
      </c>
      <c r="W1701">
        <v>28316</v>
      </c>
      <c r="X1701" t="s">
        <v>41</v>
      </c>
      <c r="Y1701" t="s">
        <v>42</v>
      </c>
      <c r="Z1701" t="s">
        <v>43</v>
      </c>
      <c r="AA1701" t="s">
        <v>6340</v>
      </c>
      <c r="AC1701" t="s">
        <v>6341</v>
      </c>
      <c r="AD1701" t="s">
        <v>6342</v>
      </c>
    </row>
    <row r="1702" spans="1:33" hidden="1" x14ac:dyDescent="0.25">
      <c r="A1702">
        <v>30093</v>
      </c>
      <c r="B1702" t="s">
        <v>32</v>
      </c>
      <c r="C1702">
        <v>1</v>
      </c>
      <c r="D1702" t="s">
        <v>6451</v>
      </c>
      <c r="E1702" t="s">
        <v>70</v>
      </c>
      <c r="F1702" t="s">
        <v>33</v>
      </c>
      <c r="G1702" t="s">
        <v>71</v>
      </c>
      <c r="H1702" t="s">
        <v>72</v>
      </c>
      <c r="I1702" t="s">
        <v>6452</v>
      </c>
      <c r="J1702" t="s">
        <v>6453</v>
      </c>
      <c r="K1702" t="s">
        <v>36</v>
      </c>
      <c r="L1702" t="s">
        <v>33</v>
      </c>
      <c r="O1702" t="s">
        <v>76</v>
      </c>
      <c r="R1702" t="s">
        <v>6454</v>
      </c>
      <c r="S1702">
        <v>220</v>
      </c>
      <c r="T1702" t="s">
        <v>40</v>
      </c>
      <c r="U1702">
        <f>+IF(Tabla1[[#This Row],[MONEDA]]="PEN",Tabla1[[#This Row],[MONTO]],Tabla1[[#This Row],[MONTO]]*3.56)</f>
        <v>220</v>
      </c>
      <c r="V1702" t="s">
        <v>190</v>
      </c>
      <c r="W1702">
        <v>28316</v>
      </c>
      <c r="X1702" t="s">
        <v>81</v>
      </c>
      <c r="Y1702" t="s">
        <v>42</v>
      </c>
      <c r="Z1702" t="s">
        <v>43</v>
      </c>
      <c r="AA1702" t="s">
        <v>6455</v>
      </c>
      <c r="AC1702" t="s">
        <v>6456</v>
      </c>
      <c r="AD1702" t="s">
        <v>6457</v>
      </c>
    </row>
    <row r="1703" spans="1:33" hidden="1" x14ac:dyDescent="0.25">
      <c r="A1703">
        <v>30092</v>
      </c>
      <c r="B1703" t="s">
        <v>32</v>
      </c>
      <c r="C1703">
        <v>1</v>
      </c>
      <c r="D1703" t="s">
        <v>6458</v>
      </c>
      <c r="E1703" t="s">
        <v>70</v>
      </c>
      <c r="F1703" t="s">
        <v>33</v>
      </c>
      <c r="G1703" t="s">
        <v>71</v>
      </c>
      <c r="H1703" t="s">
        <v>72</v>
      </c>
      <c r="I1703" t="s">
        <v>6459</v>
      </c>
      <c r="J1703" t="s">
        <v>6460</v>
      </c>
      <c r="K1703" t="s">
        <v>36</v>
      </c>
      <c r="L1703" t="s">
        <v>33</v>
      </c>
      <c r="O1703" t="s">
        <v>76</v>
      </c>
      <c r="R1703" t="s">
        <v>6461</v>
      </c>
      <c r="S1703">
        <v>70</v>
      </c>
      <c r="T1703" t="s">
        <v>40</v>
      </c>
      <c r="U1703">
        <f>+IF(Tabla1[[#This Row],[MONEDA]]="PEN",Tabla1[[#This Row],[MONTO]],Tabla1[[#This Row],[MONTO]]*3.56)</f>
        <v>70</v>
      </c>
      <c r="V1703" t="s">
        <v>190</v>
      </c>
      <c r="W1703">
        <v>28316</v>
      </c>
      <c r="X1703" t="s">
        <v>81</v>
      </c>
      <c r="Y1703" t="s">
        <v>42</v>
      </c>
      <c r="Z1703" t="s">
        <v>43</v>
      </c>
      <c r="AA1703" t="s">
        <v>6462</v>
      </c>
      <c r="AC1703" t="s">
        <v>6463</v>
      </c>
      <c r="AD1703" t="s">
        <v>6464</v>
      </c>
    </row>
    <row r="1704" spans="1:33" x14ac:dyDescent="0.25">
      <c r="A1704">
        <v>30072</v>
      </c>
      <c r="B1704" t="s">
        <v>32</v>
      </c>
      <c r="C1704">
        <v>3</v>
      </c>
      <c r="D1704" t="s">
        <v>6475</v>
      </c>
      <c r="E1704" t="s">
        <v>70</v>
      </c>
      <c r="F1704" t="s">
        <v>130</v>
      </c>
      <c r="G1704" t="s">
        <v>132</v>
      </c>
      <c r="H1704" t="s">
        <v>132</v>
      </c>
      <c r="I1704" t="s">
        <v>6476</v>
      </c>
      <c r="J1704" t="s">
        <v>6476</v>
      </c>
      <c r="K1704" t="s">
        <v>36</v>
      </c>
      <c r="L1704" t="s">
        <v>33</v>
      </c>
      <c r="O1704" t="s">
        <v>6477</v>
      </c>
      <c r="P1704" t="s">
        <v>38</v>
      </c>
      <c r="Q1704" t="s">
        <v>6478</v>
      </c>
      <c r="R1704" t="s">
        <v>510</v>
      </c>
      <c r="S1704">
        <v>334.87</v>
      </c>
      <c r="T1704" t="s">
        <v>40</v>
      </c>
      <c r="U1704">
        <f>+IF(Tabla1[[#This Row],[MONEDA]]="PEN",Tabla1[[#This Row],[MONTO]],Tabla1[[#This Row],[MONTO]]*3.56)</f>
        <v>334.87</v>
      </c>
      <c r="X1704" t="s">
        <v>139</v>
      </c>
      <c r="Y1704" t="s">
        <v>42</v>
      </c>
      <c r="Z1704" t="s">
        <v>511</v>
      </c>
      <c r="AA1704" t="s">
        <v>6479</v>
      </c>
      <c r="AB1704" t="s">
        <v>6480</v>
      </c>
      <c r="AC1704" t="s">
        <v>6481</v>
      </c>
      <c r="AE1704">
        <v>334.87</v>
      </c>
      <c r="AF1704" t="s">
        <v>87</v>
      </c>
      <c r="AG1704" t="s">
        <v>169</v>
      </c>
    </row>
    <row r="1705" spans="1:33" x14ac:dyDescent="0.25">
      <c r="A1705">
        <v>29933</v>
      </c>
      <c r="B1705" t="s">
        <v>32</v>
      </c>
      <c r="C1705">
        <v>1</v>
      </c>
      <c r="D1705" t="s">
        <v>6521</v>
      </c>
      <c r="E1705" t="s">
        <v>70</v>
      </c>
      <c r="F1705" t="s">
        <v>3256</v>
      </c>
      <c r="G1705" t="s">
        <v>3257</v>
      </c>
      <c r="H1705" t="s">
        <v>159</v>
      </c>
      <c r="I1705" t="s">
        <v>6522</v>
      </c>
      <c r="J1705" t="s">
        <v>6523</v>
      </c>
      <c r="K1705" t="s">
        <v>36</v>
      </c>
      <c r="L1705" t="s">
        <v>33</v>
      </c>
      <c r="M1705">
        <v>20533151435</v>
      </c>
      <c r="P1705" t="s">
        <v>38</v>
      </c>
      <c r="Q1705" t="s">
        <v>163</v>
      </c>
      <c r="R1705" t="s">
        <v>6524</v>
      </c>
      <c r="S1705">
        <v>407.1</v>
      </c>
      <c r="T1705" t="s">
        <v>40</v>
      </c>
      <c r="U1705">
        <f>+IF(Tabla1[[#This Row],[MONEDA]]="PEN",Tabla1[[#This Row],[MONTO]],Tabla1[[#This Row],[MONTO]]*3.56)</f>
        <v>407.1</v>
      </c>
      <c r="X1705" t="s">
        <v>41</v>
      </c>
      <c r="Y1705" t="s">
        <v>42</v>
      </c>
      <c r="Z1705" t="s">
        <v>82</v>
      </c>
      <c r="AA1705" t="s">
        <v>6525</v>
      </c>
      <c r="AB1705" t="s">
        <v>6526</v>
      </c>
      <c r="AC1705" t="s">
        <v>6527</v>
      </c>
      <c r="AD1705" t="s">
        <v>6528</v>
      </c>
      <c r="AE1705">
        <v>407.1</v>
      </c>
      <c r="AF1705" t="s">
        <v>87</v>
      </c>
      <c r="AG1705" t="s">
        <v>169</v>
      </c>
    </row>
    <row r="1706" spans="1:33" hidden="1" x14ac:dyDescent="0.25">
      <c r="A1706">
        <v>29840</v>
      </c>
      <c r="B1706" t="s">
        <v>32</v>
      </c>
      <c r="C1706">
        <v>1</v>
      </c>
      <c r="D1706" t="s">
        <v>6616</v>
      </c>
      <c r="E1706" t="s">
        <v>70</v>
      </c>
      <c r="F1706" t="s">
        <v>33</v>
      </c>
      <c r="G1706" t="s">
        <v>71</v>
      </c>
      <c r="H1706" t="s">
        <v>72</v>
      </c>
      <c r="I1706" t="s">
        <v>6617</v>
      </c>
      <c r="J1706" t="s">
        <v>6618</v>
      </c>
      <c r="K1706" t="s">
        <v>36</v>
      </c>
      <c r="L1706" t="s">
        <v>33</v>
      </c>
      <c r="O1706" t="s">
        <v>76</v>
      </c>
      <c r="R1706" t="s">
        <v>6619</v>
      </c>
      <c r="S1706">
        <v>20</v>
      </c>
      <c r="T1706" t="s">
        <v>40</v>
      </c>
      <c r="U1706">
        <f>+IF(Tabla1[[#This Row],[MONEDA]]="PEN",Tabla1[[#This Row],[MONTO]],Tabla1[[#This Row],[MONTO]]*3.56)</f>
        <v>20</v>
      </c>
      <c r="V1706" t="s">
        <v>190</v>
      </c>
      <c r="W1706">
        <v>28316</v>
      </c>
      <c r="X1706" t="s">
        <v>81</v>
      </c>
      <c r="Y1706" t="s">
        <v>42</v>
      </c>
      <c r="Z1706" t="s">
        <v>43</v>
      </c>
      <c r="AA1706" t="s">
        <v>6607</v>
      </c>
      <c r="AC1706" t="s">
        <v>6620</v>
      </c>
      <c r="AD1706" t="s">
        <v>6621</v>
      </c>
    </row>
    <row r="1707" spans="1:33" hidden="1" x14ac:dyDescent="0.25">
      <c r="A1707">
        <v>29830</v>
      </c>
      <c r="B1707" t="s">
        <v>32</v>
      </c>
      <c r="C1707">
        <v>1</v>
      </c>
      <c r="D1707" t="s">
        <v>6677</v>
      </c>
      <c r="E1707" t="s">
        <v>70</v>
      </c>
      <c r="F1707" t="s">
        <v>33</v>
      </c>
      <c r="G1707" t="s">
        <v>71</v>
      </c>
      <c r="H1707" t="s">
        <v>72</v>
      </c>
      <c r="I1707" t="s">
        <v>6678</v>
      </c>
      <c r="J1707" t="s">
        <v>6679</v>
      </c>
      <c r="K1707" t="s">
        <v>36</v>
      </c>
      <c r="L1707" t="s">
        <v>33</v>
      </c>
      <c r="O1707" t="s">
        <v>76</v>
      </c>
      <c r="R1707" t="s">
        <v>6680</v>
      </c>
      <c r="S1707">
        <v>45</v>
      </c>
      <c r="T1707" t="s">
        <v>40</v>
      </c>
      <c r="U1707">
        <f>+IF(Tabla1[[#This Row],[MONEDA]]="PEN",Tabla1[[#This Row],[MONTO]],Tabla1[[#This Row],[MONTO]]*3.56)</f>
        <v>45</v>
      </c>
      <c r="V1707" t="s">
        <v>190</v>
      </c>
      <c r="W1707">
        <v>28316</v>
      </c>
      <c r="X1707" t="s">
        <v>81</v>
      </c>
      <c r="Y1707" t="s">
        <v>42</v>
      </c>
      <c r="Z1707" t="s">
        <v>43</v>
      </c>
      <c r="AA1707" t="s">
        <v>6670</v>
      </c>
      <c r="AC1707" t="s">
        <v>6681</v>
      </c>
      <c r="AD1707" t="s">
        <v>6682</v>
      </c>
    </row>
    <row r="1708" spans="1:33" x14ac:dyDescent="0.25">
      <c r="A1708">
        <v>29489</v>
      </c>
      <c r="B1708" t="s">
        <v>32</v>
      </c>
      <c r="C1708">
        <v>1</v>
      </c>
      <c r="D1708" t="s">
        <v>6910</v>
      </c>
      <c r="E1708" t="s">
        <v>70</v>
      </c>
      <c r="F1708" t="s">
        <v>3256</v>
      </c>
      <c r="G1708" t="s">
        <v>3257</v>
      </c>
      <c r="H1708" t="s">
        <v>159</v>
      </c>
      <c r="I1708" t="s">
        <v>6911</v>
      </c>
      <c r="J1708" t="s">
        <v>6912</v>
      </c>
      <c r="K1708" t="s">
        <v>36</v>
      </c>
      <c r="L1708" t="s">
        <v>33</v>
      </c>
      <c r="M1708">
        <v>20533151435</v>
      </c>
      <c r="P1708" t="s">
        <v>38</v>
      </c>
      <c r="Q1708" t="s">
        <v>163</v>
      </c>
      <c r="R1708" t="s">
        <v>6913</v>
      </c>
      <c r="S1708">
        <v>194.7</v>
      </c>
      <c r="T1708" t="s">
        <v>40</v>
      </c>
      <c r="U1708">
        <f>+IF(Tabla1[[#This Row],[MONEDA]]="PEN",Tabla1[[#This Row],[MONTO]],Tabla1[[#This Row],[MONTO]]*3.56)</f>
        <v>194.7</v>
      </c>
      <c r="X1708" t="s">
        <v>41</v>
      </c>
      <c r="Y1708" t="s">
        <v>42</v>
      </c>
      <c r="Z1708" t="s">
        <v>82</v>
      </c>
      <c r="AA1708" t="s">
        <v>6914</v>
      </c>
      <c r="AB1708" t="s">
        <v>6915</v>
      </c>
      <c r="AC1708" t="s">
        <v>6916</v>
      </c>
      <c r="AD1708" t="s">
        <v>6917</v>
      </c>
      <c r="AE1708">
        <v>194.7</v>
      </c>
      <c r="AF1708" t="s">
        <v>87</v>
      </c>
      <c r="AG1708" t="s">
        <v>169</v>
      </c>
    </row>
    <row r="1709" spans="1:33" x14ac:dyDescent="0.25">
      <c r="A1709">
        <v>29424</v>
      </c>
      <c r="B1709" t="s">
        <v>32</v>
      </c>
      <c r="C1709">
        <v>1</v>
      </c>
      <c r="D1709" t="s">
        <v>6918</v>
      </c>
      <c r="E1709" t="s">
        <v>70</v>
      </c>
      <c r="F1709" t="s">
        <v>3256</v>
      </c>
      <c r="G1709" t="s">
        <v>3257</v>
      </c>
      <c r="H1709" t="s">
        <v>159</v>
      </c>
      <c r="I1709" t="s">
        <v>6919</v>
      </c>
      <c r="J1709" t="s">
        <v>6920</v>
      </c>
      <c r="K1709" t="s">
        <v>36</v>
      </c>
      <c r="L1709" t="s">
        <v>33</v>
      </c>
      <c r="M1709">
        <v>20533151435</v>
      </c>
      <c r="P1709" t="s">
        <v>38</v>
      </c>
      <c r="Q1709" t="s">
        <v>163</v>
      </c>
      <c r="R1709" t="s">
        <v>6921</v>
      </c>
      <c r="S1709">
        <v>194.7</v>
      </c>
      <c r="T1709" t="s">
        <v>40</v>
      </c>
      <c r="U1709">
        <f>+IF(Tabla1[[#This Row],[MONEDA]]="PEN",Tabla1[[#This Row],[MONTO]],Tabla1[[#This Row],[MONTO]]*3.56)</f>
        <v>194.7</v>
      </c>
      <c r="X1709" t="s">
        <v>41</v>
      </c>
      <c r="Y1709" t="s">
        <v>42</v>
      </c>
      <c r="Z1709" t="s">
        <v>82</v>
      </c>
      <c r="AA1709" t="s">
        <v>6922</v>
      </c>
      <c r="AB1709" t="s">
        <v>6923</v>
      </c>
      <c r="AC1709" t="s">
        <v>6924</v>
      </c>
      <c r="AD1709" t="s">
        <v>6925</v>
      </c>
      <c r="AE1709">
        <v>194.7</v>
      </c>
      <c r="AF1709" t="s">
        <v>87</v>
      </c>
      <c r="AG1709" t="s">
        <v>169</v>
      </c>
    </row>
    <row r="1710" spans="1:33" hidden="1" x14ac:dyDescent="0.25">
      <c r="A1710">
        <v>29429</v>
      </c>
      <c r="B1710" t="s">
        <v>32</v>
      </c>
      <c r="C1710">
        <v>2</v>
      </c>
      <c r="D1710" t="s">
        <v>6949</v>
      </c>
      <c r="E1710" t="s">
        <v>70</v>
      </c>
      <c r="F1710" t="s">
        <v>33</v>
      </c>
      <c r="G1710" t="s">
        <v>71</v>
      </c>
      <c r="H1710" t="s">
        <v>72</v>
      </c>
      <c r="I1710" t="s">
        <v>6950</v>
      </c>
      <c r="J1710" t="s">
        <v>6950</v>
      </c>
      <c r="K1710" t="s">
        <v>36</v>
      </c>
      <c r="L1710" t="s">
        <v>33</v>
      </c>
      <c r="R1710" t="s">
        <v>6951</v>
      </c>
      <c r="S1710">
        <v>18.88</v>
      </c>
      <c r="T1710" t="s">
        <v>40</v>
      </c>
      <c r="U1710">
        <f>+IF(Tabla1[[#This Row],[MONEDA]]="PEN",Tabla1[[#This Row],[MONTO]],Tabla1[[#This Row],[MONTO]]*3.56)</f>
        <v>18.88</v>
      </c>
      <c r="V1710" t="s">
        <v>190</v>
      </c>
      <c r="W1710">
        <v>27036</v>
      </c>
      <c r="X1710" t="s">
        <v>41</v>
      </c>
      <c r="Y1710" t="s">
        <v>42</v>
      </c>
      <c r="Z1710" t="s">
        <v>43</v>
      </c>
      <c r="AA1710" t="s">
        <v>6952</v>
      </c>
      <c r="AC1710" t="s">
        <v>6953</v>
      </c>
      <c r="AD1710" t="s">
        <v>6954</v>
      </c>
    </row>
    <row r="1711" spans="1:33" x14ac:dyDescent="0.25">
      <c r="A1711">
        <v>29344</v>
      </c>
      <c r="B1711" t="s">
        <v>32</v>
      </c>
      <c r="C1711">
        <v>3</v>
      </c>
      <c r="D1711" t="s">
        <v>6955</v>
      </c>
      <c r="E1711" t="s">
        <v>70</v>
      </c>
      <c r="F1711" t="s">
        <v>130</v>
      </c>
      <c r="G1711" t="s">
        <v>132</v>
      </c>
      <c r="H1711" t="s">
        <v>132</v>
      </c>
      <c r="I1711" t="s">
        <v>6956</v>
      </c>
      <c r="J1711" t="s">
        <v>6956</v>
      </c>
      <c r="K1711" t="s">
        <v>36</v>
      </c>
      <c r="L1711" t="s">
        <v>33</v>
      </c>
      <c r="O1711" t="s">
        <v>6957</v>
      </c>
      <c r="P1711" t="s">
        <v>38</v>
      </c>
      <c r="Q1711" t="s">
        <v>6958</v>
      </c>
      <c r="R1711" t="s">
        <v>510</v>
      </c>
      <c r="S1711">
        <v>677.73</v>
      </c>
      <c r="T1711" t="s">
        <v>40</v>
      </c>
      <c r="U1711">
        <f>+IF(Tabla1[[#This Row],[MONEDA]]="PEN",Tabla1[[#This Row],[MONTO]],Tabla1[[#This Row],[MONTO]]*3.56)</f>
        <v>677.73</v>
      </c>
      <c r="X1711" t="s">
        <v>139</v>
      </c>
      <c r="Y1711" t="s">
        <v>42</v>
      </c>
      <c r="Z1711" t="s">
        <v>511</v>
      </c>
      <c r="AA1711" t="s">
        <v>6959</v>
      </c>
      <c r="AB1711" t="s">
        <v>6960</v>
      </c>
      <c r="AC1711" t="s">
        <v>6961</v>
      </c>
      <c r="AE1711">
        <v>677.73</v>
      </c>
      <c r="AF1711" t="s">
        <v>87</v>
      </c>
      <c r="AG1711" t="s">
        <v>169</v>
      </c>
    </row>
    <row r="1712" spans="1:33" x14ac:dyDescent="0.25">
      <c r="A1712">
        <v>29229</v>
      </c>
      <c r="B1712" t="s">
        <v>32</v>
      </c>
      <c r="C1712">
        <v>3</v>
      </c>
      <c r="D1712" t="s">
        <v>7069</v>
      </c>
      <c r="E1712" t="s">
        <v>70</v>
      </c>
      <c r="F1712" t="s">
        <v>130</v>
      </c>
      <c r="G1712" t="s">
        <v>132</v>
      </c>
      <c r="H1712" t="s">
        <v>132</v>
      </c>
      <c r="I1712" t="s">
        <v>7070</v>
      </c>
      <c r="J1712" t="s">
        <v>7070</v>
      </c>
      <c r="K1712" t="s">
        <v>36</v>
      </c>
      <c r="L1712" t="s">
        <v>33</v>
      </c>
      <c r="O1712" t="s">
        <v>7071</v>
      </c>
      <c r="P1712" t="s">
        <v>62</v>
      </c>
      <c r="Q1712" t="s">
        <v>7072</v>
      </c>
      <c r="R1712" t="s">
        <v>510</v>
      </c>
      <c r="S1712">
        <v>1586.33</v>
      </c>
      <c r="T1712" t="s">
        <v>40</v>
      </c>
      <c r="U1712">
        <f>+IF(Tabla1[[#This Row],[MONEDA]]="PEN",Tabla1[[#This Row],[MONTO]],Tabla1[[#This Row],[MONTO]]*3.56)</f>
        <v>1586.33</v>
      </c>
      <c r="X1712" t="s">
        <v>139</v>
      </c>
      <c r="Y1712" t="s">
        <v>42</v>
      </c>
      <c r="Z1712" t="s">
        <v>511</v>
      </c>
      <c r="AA1712" t="s">
        <v>7073</v>
      </c>
      <c r="AB1712" t="s">
        <v>7074</v>
      </c>
      <c r="AC1712" t="s">
        <v>7075</v>
      </c>
      <c r="AE1712">
        <v>1586.33</v>
      </c>
      <c r="AF1712" t="s">
        <v>87</v>
      </c>
      <c r="AG1712" t="s">
        <v>515</v>
      </c>
    </row>
    <row r="1713" spans="1:33" hidden="1" x14ac:dyDescent="0.25">
      <c r="A1713">
        <v>29212</v>
      </c>
      <c r="B1713" t="s">
        <v>32</v>
      </c>
      <c r="C1713">
        <v>1</v>
      </c>
      <c r="D1713" t="s">
        <v>7084</v>
      </c>
      <c r="E1713" t="s">
        <v>70</v>
      </c>
      <c r="F1713" t="s">
        <v>33</v>
      </c>
      <c r="G1713" t="s">
        <v>71</v>
      </c>
      <c r="H1713" t="s">
        <v>72</v>
      </c>
      <c r="I1713" t="s">
        <v>7085</v>
      </c>
      <c r="J1713" t="s">
        <v>7086</v>
      </c>
      <c r="K1713" t="s">
        <v>36</v>
      </c>
      <c r="L1713" t="s">
        <v>33</v>
      </c>
      <c r="O1713" t="s">
        <v>76</v>
      </c>
      <c r="R1713" t="s">
        <v>7087</v>
      </c>
      <c r="S1713">
        <v>50</v>
      </c>
      <c r="T1713" t="s">
        <v>40</v>
      </c>
      <c r="U1713">
        <f>+IF(Tabla1[[#This Row],[MONEDA]]="PEN",Tabla1[[#This Row],[MONTO]],Tabla1[[#This Row],[MONTO]]*3.56)</f>
        <v>50</v>
      </c>
      <c r="V1713" t="s">
        <v>190</v>
      </c>
      <c r="W1713">
        <v>29024</v>
      </c>
      <c r="X1713" t="s">
        <v>81</v>
      </c>
      <c r="Y1713" t="s">
        <v>42</v>
      </c>
      <c r="Z1713" t="s">
        <v>43</v>
      </c>
      <c r="AA1713" t="s">
        <v>7088</v>
      </c>
      <c r="AC1713" t="s">
        <v>7089</v>
      </c>
      <c r="AD1713" t="s">
        <v>7090</v>
      </c>
    </row>
    <row r="1714" spans="1:33" x14ac:dyDescent="0.25">
      <c r="A1714">
        <v>29193</v>
      </c>
      <c r="B1714" t="s">
        <v>32</v>
      </c>
      <c r="C1714">
        <v>3</v>
      </c>
      <c r="D1714" t="s">
        <v>7091</v>
      </c>
      <c r="E1714" t="s">
        <v>70</v>
      </c>
      <c r="F1714" t="s">
        <v>130</v>
      </c>
      <c r="G1714" t="s">
        <v>132</v>
      </c>
      <c r="H1714" t="s">
        <v>132</v>
      </c>
      <c r="I1714" t="s">
        <v>7092</v>
      </c>
      <c r="J1714" t="s">
        <v>7092</v>
      </c>
      <c r="K1714" t="s">
        <v>36</v>
      </c>
      <c r="L1714" t="s">
        <v>33</v>
      </c>
      <c r="O1714" t="s">
        <v>7093</v>
      </c>
      <c r="P1714" t="s">
        <v>38</v>
      </c>
      <c r="Q1714" t="s">
        <v>7094</v>
      </c>
      <c r="R1714" t="s">
        <v>510</v>
      </c>
      <c r="S1714">
        <v>2931.44</v>
      </c>
      <c r="T1714" t="s">
        <v>40</v>
      </c>
      <c r="U1714">
        <f>+IF(Tabla1[[#This Row],[MONEDA]]="PEN",Tabla1[[#This Row],[MONTO]],Tabla1[[#This Row],[MONTO]]*3.56)</f>
        <v>2931.44</v>
      </c>
      <c r="X1714" t="s">
        <v>139</v>
      </c>
      <c r="Y1714" t="s">
        <v>42</v>
      </c>
      <c r="Z1714" t="s">
        <v>511</v>
      </c>
      <c r="AA1714" t="s">
        <v>7095</v>
      </c>
      <c r="AB1714" t="s">
        <v>7096</v>
      </c>
      <c r="AC1714" t="s">
        <v>7097</v>
      </c>
      <c r="AE1714">
        <v>2931.44</v>
      </c>
      <c r="AF1714" t="s">
        <v>87</v>
      </c>
      <c r="AG1714" t="s">
        <v>169</v>
      </c>
    </row>
    <row r="1715" spans="1:33" x14ac:dyDescent="0.25">
      <c r="A1715">
        <v>29132</v>
      </c>
      <c r="B1715" t="s">
        <v>32</v>
      </c>
      <c r="C1715">
        <v>3</v>
      </c>
      <c r="D1715" t="s">
        <v>7098</v>
      </c>
      <c r="E1715" t="s">
        <v>70</v>
      </c>
      <c r="F1715" t="s">
        <v>130</v>
      </c>
      <c r="G1715" t="s">
        <v>132</v>
      </c>
      <c r="H1715" t="s">
        <v>132</v>
      </c>
      <c r="I1715" t="s">
        <v>7099</v>
      </c>
      <c r="J1715" t="s">
        <v>7099</v>
      </c>
      <c r="K1715" t="s">
        <v>36</v>
      </c>
      <c r="L1715" t="s">
        <v>33</v>
      </c>
      <c r="O1715" t="s">
        <v>7100</v>
      </c>
      <c r="P1715" t="s">
        <v>38</v>
      </c>
      <c r="Q1715" t="s">
        <v>7101</v>
      </c>
      <c r="R1715" t="s">
        <v>510</v>
      </c>
      <c r="S1715">
        <v>2477.75</v>
      </c>
      <c r="T1715" t="s">
        <v>40</v>
      </c>
      <c r="U1715">
        <f>+IF(Tabla1[[#This Row],[MONEDA]]="PEN",Tabla1[[#This Row],[MONTO]],Tabla1[[#This Row],[MONTO]]*3.56)</f>
        <v>2477.75</v>
      </c>
      <c r="X1715" t="s">
        <v>139</v>
      </c>
      <c r="Y1715" t="s">
        <v>42</v>
      </c>
      <c r="Z1715" t="s">
        <v>511</v>
      </c>
      <c r="AA1715" t="s">
        <v>7095</v>
      </c>
      <c r="AB1715" t="s">
        <v>7102</v>
      </c>
      <c r="AC1715" t="s">
        <v>7103</v>
      </c>
      <c r="AE1715">
        <v>2477.75</v>
      </c>
      <c r="AF1715" t="s">
        <v>87</v>
      </c>
      <c r="AG1715" t="s">
        <v>169</v>
      </c>
    </row>
    <row r="1716" spans="1:33" x14ac:dyDescent="0.25">
      <c r="A1716">
        <v>29131</v>
      </c>
      <c r="B1716" t="s">
        <v>32</v>
      </c>
      <c r="C1716">
        <v>3</v>
      </c>
      <c r="D1716" t="s">
        <v>7104</v>
      </c>
      <c r="E1716" t="s">
        <v>70</v>
      </c>
      <c r="F1716" t="s">
        <v>130</v>
      </c>
      <c r="G1716" t="s">
        <v>132</v>
      </c>
      <c r="H1716" t="s">
        <v>132</v>
      </c>
      <c r="I1716" t="s">
        <v>7105</v>
      </c>
      <c r="J1716" t="s">
        <v>7105</v>
      </c>
      <c r="K1716" t="s">
        <v>36</v>
      </c>
      <c r="L1716" t="s">
        <v>33</v>
      </c>
      <c r="O1716" t="s">
        <v>7106</v>
      </c>
      <c r="P1716" t="s">
        <v>38</v>
      </c>
      <c r="Q1716" t="s">
        <v>7107</v>
      </c>
      <c r="R1716" t="s">
        <v>510</v>
      </c>
      <c r="S1716">
        <v>5259.88</v>
      </c>
      <c r="T1716" t="s">
        <v>40</v>
      </c>
      <c r="U1716">
        <f>+IF(Tabla1[[#This Row],[MONEDA]]="PEN",Tabla1[[#This Row],[MONTO]],Tabla1[[#This Row],[MONTO]]*3.56)</f>
        <v>5259.88</v>
      </c>
      <c r="X1716" t="s">
        <v>139</v>
      </c>
      <c r="Y1716" t="s">
        <v>42</v>
      </c>
      <c r="Z1716" t="s">
        <v>511</v>
      </c>
      <c r="AA1716" t="s">
        <v>7095</v>
      </c>
      <c r="AB1716" t="s">
        <v>7108</v>
      </c>
      <c r="AC1716" t="s">
        <v>7109</v>
      </c>
      <c r="AE1716">
        <v>5259.88</v>
      </c>
      <c r="AF1716" t="s">
        <v>87</v>
      </c>
      <c r="AG1716" t="s">
        <v>169</v>
      </c>
    </row>
    <row r="1717" spans="1:33" x14ac:dyDescent="0.25">
      <c r="A1717">
        <v>29130</v>
      </c>
      <c r="B1717" t="s">
        <v>32</v>
      </c>
      <c r="C1717">
        <v>3</v>
      </c>
      <c r="D1717" t="s">
        <v>7110</v>
      </c>
      <c r="E1717" t="s">
        <v>70</v>
      </c>
      <c r="F1717" t="s">
        <v>130</v>
      </c>
      <c r="G1717" t="s">
        <v>132</v>
      </c>
      <c r="H1717" t="s">
        <v>132</v>
      </c>
      <c r="I1717" t="s">
        <v>7111</v>
      </c>
      <c r="J1717" t="s">
        <v>7111</v>
      </c>
      <c r="K1717" t="s">
        <v>36</v>
      </c>
      <c r="L1717" t="s">
        <v>33</v>
      </c>
      <c r="O1717" t="s">
        <v>7112</v>
      </c>
      <c r="P1717" t="s">
        <v>38</v>
      </c>
      <c r="Q1717" t="s">
        <v>7113</v>
      </c>
      <c r="R1717" t="s">
        <v>510</v>
      </c>
      <c r="S1717">
        <v>8428.36</v>
      </c>
      <c r="T1717" t="s">
        <v>40</v>
      </c>
      <c r="U1717">
        <f>+IF(Tabla1[[#This Row],[MONEDA]]="PEN",Tabla1[[#This Row],[MONTO]],Tabla1[[#This Row],[MONTO]]*3.56)</f>
        <v>8428.36</v>
      </c>
      <c r="X1717" t="s">
        <v>139</v>
      </c>
      <c r="Y1717" t="s">
        <v>42</v>
      </c>
      <c r="Z1717" t="s">
        <v>511</v>
      </c>
      <c r="AA1717" t="s">
        <v>7095</v>
      </c>
      <c r="AB1717" t="s">
        <v>7114</v>
      </c>
      <c r="AC1717" t="s">
        <v>7115</v>
      </c>
      <c r="AE1717">
        <v>8428.36</v>
      </c>
      <c r="AF1717" t="s">
        <v>87</v>
      </c>
      <c r="AG1717" t="s">
        <v>169</v>
      </c>
    </row>
    <row r="1718" spans="1:33" x14ac:dyDescent="0.25">
      <c r="A1718">
        <v>29129</v>
      </c>
      <c r="B1718" t="s">
        <v>32</v>
      </c>
      <c r="C1718">
        <v>3</v>
      </c>
      <c r="D1718" t="s">
        <v>7116</v>
      </c>
      <c r="E1718" t="s">
        <v>70</v>
      </c>
      <c r="F1718" t="s">
        <v>130</v>
      </c>
      <c r="G1718" t="s">
        <v>132</v>
      </c>
      <c r="H1718" t="s">
        <v>132</v>
      </c>
      <c r="I1718" t="s">
        <v>7117</v>
      </c>
      <c r="J1718" t="s">
        <v>7117</v>
      </c>
      <c r="K1718" t="s">
        <v>36</v>
      </c>
      <c r="L1718" t="s">
        <v>33</v>
      </c>
      <c r="O1718" t="s">
        <v>7118</v>
      </c>
      <c r="P1718" t="s">
        <v>38</v>
      </c>
      <c r="Q1718" t="s">
        <v>7119</v>
      </c>
      <c r="R1718" t="s">
        <v>510</v>
      </c>
      <c r="S1718">
        <v>1494.88</v>
      </c>
      <c r="T1718" t="s">
        <v>40</v>
      </c>
      <c r="U1718">
        <f>+IF(Tabla1[[#This Row],[MONEDA]]="PEN",Tabla1[[#This Row],[MONTO]],Tabla1[[#This Row],[MONTO]]*3.56)</f>
        <v>1494.88</v>
      </c>
      <c r="X1718" t="s">
        <v>139</v>
      </c>
      <c r="Y1718" t="s">
        <v>42</v>
      </c>
      <c r="Z1718" t="s">
        <v>511</v>
      </c>
      <c r="AA1718" t="s">
        <v>7095</v>
      </c>
      <c r="AB1718" t="s">
        <v>7120</v>
      </c>
      <c r="AC1718" t="s">
        <v>7121</v>
      </c>
      <c r="AE1718">
        <v>1494.88</v>
      </c>
      <c r="AF1718" t="s">
        <v>87</v>
      </c>
      <c r="AG1718" t="s">
        <v>169</v>
      </c>
    </row>
    <row r="1719" spans="1:33" hidden="1" x14ac:dyDescent="0.25">
      <c r="A1719">
        <v>29123</v>
      </c>
      <c r="B1719" t="s">
        <v>32</v>
      </c>
      <c r="C1719">
        <v>2</v>
      </c>
      <c r="D1719" t="s">
        <v>7122</v>
      </c>
      <c r="E1719" t="s">
        <v>70</v>
      </c>
      <c r="F1719" t="s">
        <v>33</v>
      </c>
      <c r="G1719" t="s">
        <v>71</v>
      </c>
      <c r="H1719" t="s">
        <v>72</v>
      </c>
      <c r="I1719" t="s">
        <v>7123</v>
      </c>
      <c r="J1719" t="s">
        <v>7124</v>
      </c>
      <c r="K1719" t="s">
        <v>36</v>
      </c>
      <c r="L1719" t="s">
        <v>33</v>
      </c>
      <c r="O1719" t="s">
        <v>76</v>
      </c>
      <c r="R1719" t="s">
        <v>7125</v>
      </c>
      <c r="S1719">
        <v>35</v>
      </c>
      <c r="T1719" t="s">
        <v>40</v>
      </c>
      <c r="U1719">
        <f>+IF(Tabla1[[#This Row],[MONEDA]]="PEN",Tabla1[[#This Row],[MONTO]],Tabla1[[#This Row],[MONTO]]*3.56)</f>
        <v>35</v>
      </c>
      <c r="V1719" t="s">
        <v>190</v>
      </c>
      <c r="W1719">
        <v>27036</v>
      </c>
      <c r="X1719" t="s">
        <v>81</v>
      </c>
      <c r="Y1719" t="s">
        <v>42</v>
      </c>
      <c r="Z1719" t="s">
        <v>43</v>
      </c>
      <c r="AA1719" t="s">
        <v>7126</v>
      </c>
      <c r="AC1719" t="s">
        <v>7127</v>
      </c>
      <c r="AD1719" t="s">
        <v>7128</v>
      </c>
    </row>
    <row r="1720" spans="1:33" hidden="1" x14ac:dyDescent="0.25">
      <c r="A1720">
        <v>29118</v>
      </c>
      <c r="B1720" t="s">
        <v>32</v>
      </c>
      <c r="C1720">
        <v>2</v>
      </c>
      <c r="D1720" t="s">
        <v>7148</v>
      </c>
      <c r="E1720" t="s">
        <v>70</v>
      </c>
      <c r="F1720" t="s">
        <v>33</v>
      </c>
      <c r="G1720" t="s">
        <v>71</v>
      </c>
      <c r="H1720" t="s">
        <v>72</v>
      </c>
      <c r="I1720" t="s">
        <v>7149</v>
      </c>
      <c r="J1720" t="s">
        <v>7150</v>
      </c>
      <c r="K1720" t="s">
        <v>36</v>
      </c>
      <c r="L1720" t="s">
        <v>33</v>
      </c>
      <c r="O1720" t="s">
        <v>76</v>
      </c>
      <c r="R1720" t="s">
        <v>7151</v>
      </c>
      <c r="S1720">
        <v>25</v>
      </c>
      <c r="T1720" t="s">
        <v>40</v>
      </c>
      <c r="U1720">
        <f>+IF(Tabla1[[#This Row],[MONEDA]]="PEN",Tabla1[[#This Row],[MONTO]],Tabla1[[#This Row],[MONTO]]*3.56)</f>
        <v>25</v>
      </c>
      <c r="V1720" t="s">
        <v>190</v>
      </c>
      <c r="W1720">
        <v>27036</v>
      </c>
      <c r="X1720" t="s">
        <v>81</v>
      </c>
      <c r="Y1720" t="s">
        <v>42</v>
      </c>
      <c r="Z1720" t="s">
        <v>43</v>
      </c>
      <c r="AA1720" t="s">
        <v>7133</v>
      </c>
      <c r="AC1720" t="s">
        <v>7152</v>
      </c>
      <c r="AD1720" t="s">
        <v>7153</v>
      </c>
    </row>
    <row r="1721" spans="1:33" hidden="1" x14ac:dyDescent="0.25">
      <c r="A1721">
        <v>29119</v>
      </c>
      <c r="B1721" t="s">
        <v>32</v>
      </c>
      <c r="C1721">
        <v>2</v>
      </c>
      <c r="D1721" t="s">
        <v>7148</v>
      </c>
      <c r="E1721" t="s">
        <v>70</v>
      </c>
      <c r="F1721" t="s">
        <v>33</v>
      </c>
      <c r="G1721" t="s">
        <v>71</v>
      </c>
      <c r="H1721" t="s">
        <v>72</v>
      </c>
      <c r="I1721" t="s">
        <v>7149</v>
      </c>
      <c r="J1721" t="s">
        <v>7154</v>
      </c>
      <c r="K1721" t="s">
        <v>36</v>
      </c>
      <c r="L1721" t="s">
        <v>33</v>
      </c>
      <c r="O1721" t="s">
        <v>76</v>
      </c>
      <c r="R1721" t="s">
        <v>7155</v>
      </c>
      <c r="S1721">
        <v>50</v>
      </c>
      <c r="T1721" t="s">
        <v>40</v>
      </c>
      <c r="U1721">
        <f>+IF(Tabla1[[#This Row],[MONEDA]]="PEN",Tabla1[[#This Row],[MONTO]],Tabla1[[#This Row],[MONTO]]*3.56)</f>
        <v>50</v>
      </c>
      <c r="V1721" t="s">
        <v>190</v>
      </c>
      <c r="W1721">
        <v>27036</v>
      </c>
      <c r="X1721" t="s">
        <v>81</v>
      </c>
      <c r="Y1721" t="s">
        <v>42</v>
      </c>
      <c r="Z1721" t="s">
        <v>43</v>
      </c>
      <c r="AA1721" t="s">
        <v>7156</v>
      </c>
      <c r="AC1721" t="s">
        <v>7157</v>
      </c>
      <c r="AD1721" t="s">
        <v>7158</v>
      </c>
    </row>
    <row r="1722" spans="1:33" hidden="1" x14ac:dyDescent="0.25">
      <c r="A1722">
        <v>29117</v>
      </c>
      <c r="B1722" t="s">
        <v>32</v>
      </c>
      <c r="C1722">
        <v>2</v>
      </c>
      <c r="D1722" t="s">
        <v>7159</v>
      </c>
      <c r="E1722" t="s">
        <v>70</v>
      </c>
      <c r="F1722" t="s">
        <v>33</v>
      </c>
      <c r="G1722" t="s">
        <v>71</v>
      </c>
      <c r="H1722" t="s">
        <v>72</v>
      </c>
      <c r="I1722" t="s">
        <v>7160</v>
      </c>
      <c r="J1722" t="s">
        <v>7161</v>
      </c>
      <c r="K1722" t="s">
        <v>36</v>
      </c>
      <c r="L1722" t="s">
        <v>33</v>
      </c>
      <c r="O1722" t="s">
        <v>76</v>
      </c>
      <c r="R1722" t="s">
        <v>7162</v>
      </c>
      <c r="S1722">
        <v>30</v>
      </c>
      <c r="T1722" t="s">
        <v>40</v>
      </c>
      <c r="U1722">
        <f>+IF(Tabla1[[#This Row],[MONEDA]]="PEN",Tabla1[[#This Row],[MONTO]],Tabla1[[#This Row],[MONTO]]*3.56)</f>
        <v>30</v>
      </c>
      <c r="V1722" t="s">
        <v>190</v>
      </c>
      <c r="W1722">
        <v>27036</v>
      </c>
      <c r="X1722" t="s">
        <v>81</v>
      </c>
      <c r="Y1722" t="s">
        <v>42</v>
      </c>
      <c r="Z1722" t="s">
        <v>43</v>
      </c>
      <c r="AA1722" t="s">
        <v>7163</v>
      </c>
      <c r="AC1722" t="s">
        <v>7164</v>
      </c>
      <c r="AD1722" t="s">
        <v>7165</v>
      </c>
    </row>
    <row r="1723" spans="1:33" hidden="1" x14ac:dyDescent="0.25">
      <c r="A1723">
        <v>29110</v>
      </c>
      <c r="B1723" t="s">
        <v>32</v>
      </c>
      <c r="C1723">
        <v>2</v>
      </c>
      <c r="D1723" t="s">
        <v>7173</v>
      </c>
      <c r="E1723" t="s">
        <v>70</v>
      </c>
      <c r="F1723" t="s">
        <v>33</v>
      </c>
      <c r="G1723" t="s">
        <v>71</v>
      </c>
      <c r="H1723" t="s">
        <v>72</v>
      </c>
      <c r="I1723" t="s">
        <v>7174</v>
      </c>
      <c r="J1723" t="s">
        <v>7175</v>
      </c>
      <c r="K1723" t="s">
        <v>36</v>
      </c>
      <c r="L1723" t="s">
        <v>33</v>
      </c>
      <c r="O1723" t="s">
        <v>76</v>
      </c>
      <c r="R1723" t="s">
        <v>7176</v>
      </c>
      <c r="S1723">
        <v>50</v>
      </c>
      <c r="T1723" t="s">
        <v>40</v>
      </c>
      <c r="U1723">
        <f>+IF(Tabla1[[#This Row],[MONEDA]]="PEN",Tabla1[[#This Row],[MONTO]],Tabla1[[#This Row],[MONTO]]*3.56)</f>
        <v>50</v>
      </c>
      <c r="V1723" t="s">
        <v>190</v>
      </c>
      <c r="W1723">
        <v>27036</v>
      </c>
      <c r="X1723" t="s">
        <v>81</v>
      </c>
      <c r="Y1723" t="s">
        <v>42</v>
      </c>
      <c r="Z1723" t="s">
        <v>43</v>
      </c>
      <c r="AA1723" t="s">
        <v>7177</v>
      </c>
      <c r="AC1723" t="s">
        <v>7178</v>
      </c>
      <c r="AD1723" t="s">
        <v>7179</v>
      </c>
    </row>
    <row r="1724" spans="1:33" hidden="1" x14ac:dyDescent="0.25">
      <c r="A1724">
        <v>29107</v>
      </c>
      <c r="B1724" t="s">
        <v>32</v>
      </c>
      <c r="C1724">
        <v>2</v>
      </c>
      <c r="D1724" t="s">
        <v>7192</v>
      </c>
      <c r="E1724" t="s">
        <v>70</v>
      </c>
      <c r="F1724" t="s">
        <v>33</v>
      </c>
      <c r="G1724" t="s">
        <v>71</v>
      </c>
      <c r="H1724" t="s">
        <v>72</v>
      </c>
      <c r="I1724" t="s">
        <v>7193</v>
      </c>
      <c r="J1724" t="s">
        <v>7194</v>
      </c>
      <c r="K1724" t="s">
        <v>36</v>
      </c>
      <c r="L1724" t="s">
        <v>33</v>
      </c>
      <c r="O1724" t="s">
        <v>76</v>
      </c>
      <c r="R1724" t="s">
        <v>7195</v>
      </c>
      <c r="S1724">
        <v>18</v>
      </c>
      <c r="T1724" t="s">
        <v>40</v>
      </c>
      <c r="U1724">
        <f>+IF(Tabla1[[#This Row],[MONEDA]]="PEN",Tabla1[[#This Row],[MONTO]],Tabla1[[#This Row],[MONTO]]*3.56)</f>
        <v>18</v>
      </c>
      <c r="V1724" t="s">
        <v>190</v>
      </c>
      <c r="W1724">
        <v>27036</v>
      </c>
      <c r="X1724" t="s">
        <v>81</v>
      </c>
      <c r="Y1724" t="s">
        <v>42</v>
      </c>
      <c r="Z1724" t="s">
        <v>43</v>
      </c>
      <c r="AA1724" t="s">
        <v>7196</v>
      </c>
      <c r="AC1724" t="s">
        <v>7197</v>
      </c>
      <c r="AD1724" t="s">
        <v>7198</v>
      </c>
    </row>
    <row r="1725" spans="1:33" hidden="1" x14ac:dyDescent="0.25">
      <c r="A1725">
        <v>29051</v>
      </c>
      <c r="B1725" t="s">
        <v>32</v>
      </c>
      <c r="C1725">
        <v>2</v>
      </c>
      <c r="D1725" t="s">
        <v>7236</v>
      </c>
      <c r="E1725" t="s">
        <v>70</v>
      </c>
      <c r="F1725" t="s">
        <v>33</v>
      </c>
      <c r="G1725" t="s">
        <v>71</v>
      </c>
      <c r="H1725" t="s">
        <v>72</v>
      </c>
      <c r="I1725" t="s">
        <v>7237</v>
      </c>
      <c r="J1725" t="s">
        <v>7238</v>
      </c>
      <c r="K1725" t="s">
        <v>36</v>
      </c>
      <c r="L1725" t="s">
        <v>33</v>
      </c>
      <c r="O1725" t="s">
        <v>76</v>
      </c>
      <c r="R1725" t="s">
        <v>7239</v>
      </c>
      <c r="S1725">
        <v>44</v>
      </c>
      <c r="T1725" t="s">
        <v>40</v>
      </c>
      <c r="U1725">
        <f>+IF(Tabla1[[#This Row],[MONEDA]]="PEN",Tabla1[[#This Row],[MONTO]],Tabla1[[#This Row],[MONTO]]*3.56)</f>
        <v>44</v>
      </c>
      <c r="V1725" t="s">
        <v>190</v>
      </c>
      <c r="W1725">
        <v>27036</v>
      </c>
      <c r="X1725" t="s">
        <v>81</v>
      </c>
      <c r="Y1725" t="s">
        <v>42</v>
      </c>
      <c r="Z1725" t="s">
        <v>43</v>
      </c>
      <c r="AA1725" t="s">
        <v>7240</v>
      </c>
      <c r="AC1725" t="s">
        <v>7241</v>
      </c>
      <c r="AD1725" t="s">
        <v>7242</v>
      </c>
    </row>
    <row r="1726" spans="1:33" hidden="1" x14ac:dyDescent="0.25">
      <c r="A1726">
        <v>29045</v>
      </c>
      <c r="B1726" t="s">
        <v>32</v>
      </c>
      <c r="C1726">
        <v>2</v>
      </c>
      <c r="D1726" t="s">
        <v>7243</v>
      </c>
      <c r="E1726" t="s">
        <v>70</v>
      </c>
      <c r="F1726" t="s">
        <v>33</v>
      </c>
      <c r="G1726" t="s">
        <v>71</v>
      </c>
      <c r="H1726" t="s">
        <v>72</v>
      </c>
      <c r="I1726" t="s">
        <v>7244</v>
      </c>
      <c r="J1726" t="s">
        <v>7245</v>
      </c>
      <c r="K1726" t="s">
        <v>36</v>
      </c>
      <c r="L1726" t="s">
        <v>33</v>
      </c>
      <c r="O1726" t="s">
        <v>76</v>
      </c>
      <c r="R1726" t="s">
        <v>7246</v>
      </c>
      <c r="S1726">
        <v>60</v>
      </c>
      <c r="T1726" t="s">
        <v>40</v>
      </c>
      <c r="U1726">
        <f>+IF(Tabla1[[#This Row],[MONEDA]]="PEN",Tabla1[[#This Row],[MONTO]],Tabla1[[#This Row],[MONTO]]*3.56)</f>
        <v>60</v>
      </c>
      <c r="V1726" t="s">
        <v>190</v>
      </c>
      <c r="W1726">
        <v>27036</v>
      </c>
      <c r="X1726" t="s">
        <v>81</v>
      </c>
      <c r="Y1726" t="s">
        <v>42</v>
      </c>
      <c r="Z1726" t="s">
        <v>43</v>
      </c>
      <c r="AA1726" t="s">
        <v>7247</v>
      </c>
      <c r="AC1726" t="s">
        <v>7248</v>
      </c>
      <c r="AD1726" t="s">
        <v>7249</v>
      </c>
    </row>
    <row r="1727" spans="1:33" hidden="1" x14ac:dyDescent="0.25">
      <c r="A1727">
        <v>29047</v>
      </c>
      <c r="B1727" t="s">
        <v>32</v>
      </c>
      <c r="C1727">
        <v>2</v>
      </c>
      <c r="D1727" t="s">
        <v>7243</v>
      </c>
      <c r="E1727" t="s">
        <v>70</v>
      </c>
      <c r="F1727" t="s">
        <v>33</v>
      </c>
      <c r="G1727" t="s">
        <v>71</v>
      </c>
      <c r="H1727" t="s">
        <v>72</v>
      </c>
      <c r="I1727" t="s">
        <v>7244</v>
      </c>
      <c r="J1727" t="s">
        <v>7255</v>
      </c>
      <c r="K1727" t="s">
        <v>36</v>
      </c>
      <c r="L1727" t="s">
        <v>33</v>
      </c>
      <c r="O1727" t="s">
        <v>76</v>
      </c>
      <c r="R1727" t="s">
        <v>7256</v>
      </c>
      <c r="S1727">
        <v>20</v>
      </c>
      <c r="T1727" t="s">
        <v>40</v>
      </c>
      <c r="U1727">
        <f>+IF(Tabla1[[#This Row],[MONEDA]]="PEN",Tabla1[[#This Row],[MONTO]],Tabla1[[#This Row],[MONTO]]*3.56)</f>
        <v>20</v>
      </c>
      <c r="V1727" t="s">
        <v>190</v>
      </c>
      <c r="W1727">
        <v>27036</v>
      </c>
      <c r="X1727" t="s">
        <v>81</v>
      </c>
      <c r="Y1727" t="s">
        <v>42</v>
      </c>
      <c r="Z1727" t="s">
        <v>43</v>
      </c>
      <c r="AA1727" t="s">
        <v>7247</v>
      </c>
      <c r="AC1727" t="s">
        <v>7257</v>
      </c>
      <c r="AD1727" t="s">
        <v>7258</v>
      </c>
    </row>
    <row r="1728" spans="1:33" hidden="1" x14ac:dyDescent="0.25">
      <c r="A1728">
        <v>29048</v>
      </c>
      <c r="B1728" t="s">
        <v>32</v>
      </c>
      <c r="C1728">
        <v>2</v>
      </c>
      <c r="D1728" t="s">
        <v>7243</v>
      </c>
      <c r="E1728" t="s">
        <v>70</v>
      </c>
      <c r="F1728" t="s">
        <v>33</v>
      </c>
      <c r="G1728" t="s">
        <v>71</v>
      </c>
      <c r="H1728" t="s">
        <v>72</v>
      </c>
      <c r="I1728" t="s">
        <v>7244</v>
      </c>
      <c r="J1728" t="s">
        <v>7259</v>
      </c>
      <c r="K1728" t="s">
        <v>36</v>
      </c>
      <c r="L1728" t="s">
        <v>33</v>
      </c>
      <c r="O1728" t="s">
        <v>76</v>
      </c>
      <c r="R1728" t="s">
        <v>7260</v>
      </c>
      <c r="S1728">
        <v>30</v>
      </c>
      <c r="T1728" t="s">
        <v>40</v>
      </c>
      <c r="U1728">
        <f>+IF(Tabla1[[#This Row],[MONEDA]]="PEN",Tabla1[[#This Row],[MONTO]],Tabla1[[#This Row],[MONTO]]*3.56)</f>
        <v>30</v>
      </c>
      <c r="V1728" t="s">
        <v>190</v>
      </c>
      <c r="W1728">
        <v>27036</v>
      </c>
      <c r="X1728" t="s">
        <v>81</v>
      </c>
      <c r="Y1728" t="s">
        <v>42</v>
      </c>
      <c r="Z1728" t="s">
        <v>43</v>
      </c>
      <c r="AA1728" t="s">
        <v>7261</v>
      </c>
      <c r="AC1728" t="s">
        <v>7262</v>
      </c>
      <c r="AD1728" t="s">
        <v>7263</v>
      </c>
    </row>
    <row r="1729" spans="1:33" hidden="1" x14ac:dyDescent="0.25">
      <c r="A1729">
        <v>29040</v>
      </c>
      <c r="B1729" t="s">
        <v>32</v>
      </c>
      <c r="C1729">
        <v>2</v>
      </c>
      <c r="D1729" t="s">
        <v>7273</v>
      </c>
      <c r="E1729" t="s">
        <v>70</v>
      </c>
      <c r="F1729" t="s">
        <v>33</v>
      </c>
      <c r="G1729" t="s">
        <v>71</v>
      </c>
      <c r="H1729" t="s">
        <v>72</v>
      </c>
      <c r="I1729" t="s">
        <v>7274</v>
      </c>
      <c r="J1729" t="s">
        <v>7275</v>
      </c>
      <c r="K1729" t="s">
        <v>36</v>
      </c>
      <c r="L1729" t="s">
        <v>33</v>
      </c>
      <c r="O1729" t="s">
        <v>76</v>
      </c>
      <c r="R1729" t="s">
        <v>7276</v>
      </c>
      <c r="S1729">
        <v>38</v>
      </c>
      <c r="T1729" t="s">
        <v>40</v>
      </c>
      <c r="U1729">
        <f>+IF(Tabla1[[#This Row],[MONEDA]]="PEN",Tabla1[[#This Row],[MONTO]],Tabla1[[#This Row],[MONTO]]*3.56)</f>
        <v>38</v>
      </c>
      <c r="V1729" t="s">
        <v>190</v>
      </c>
      <c r="W1729">
        <v>27036</v>
      </c>
      <c r="X1729" t="s">
        <v>81</v>
      </c>
      <c r="Y1729" t="s">
        <v>42</v>
      </c>
      <c r="Z1729" t="s">
        <v>43</v>
      </c>
      <c r="AA1729" t="s">
        <v>7277</v>
      </c>
      <c r="AC1729" t="s">
        <v>7278</v>
      </c>
      <c r="AD1729" t="s">
        <v>7279</v>
      </c>
    </row>
    <row r="1730" spans="1:33" hidden="1" x14ac:dyDescent="0.25">
      <c r="A1730">
        <v>29041</v>
      </c>
      <c r="B1730" t="s">
        <v>32</v>
      </c>
      <c r="C1730">
        <v>2</v>
      </c>
      <c r="D1730" t="s">
        <v>7273</v>
      </c>
      <c r="E1730" t="s">
        <v>70</v>
      </c>
      <c r="F1730" t="s">
        <v>33</v>
      </c>
      <c r="G1730" t="s">
        <v>71</v>
      </c>
      <c r="H1730" t="s">
        <v>72</v>
      </c>
      <c r="I1730" t="s">
        <v>7274</v>
      </c>
      <c r="J1730" t="s">
        <v>7280</v>
      </c>
      <c r="K1730" t="s">
        <v>36</v>
      </c>
      <c r="L1730" t="s">
        <v>33</v>
      </c>
      <c r="O1730" t="s">
        <v>76</v>
      </c>
      <c r="R1730" t="s">
        <v>7281</v>
      </c>
      <c r="S1730">
        <v>18</v>
      </c>
      <c r="T1730" t="s">
        <v>40</v>
      </c>
      <c r="U1730">
        <f>+IF(Tabla1[[#This Row],[MONEDA]]="PEN",Tabla1[[#This Row],[MONTO]],Tabla1[[#This Row],[MONTO]]*3.56)</f>
        <v>18</v>
      </c>
      <c r="V1730" t="s">
        <v>190</v>
      </c>
      <c r="W1730">
        <v>27036</v>
      </c>
      <c r="X1730" t="s">
        <v>81</v>
      </c>
      <c r="Y1730" t="s">
        <v>42</v>
      </c>
      <c r="Z1730" t="s">
        <v>43</v>
      </c>
      <c r="AA1730" t="s">
        <v>7282</v>
      </c>
      <c r="AC1730" t="s">
        <v>7283</v>
      </c>
      <c r="AD1730" t="s">
        <v>7284</v>
      </c>
    </row>
    <row r="1731" spans="1:33" hidden="1" x14ac:dyDescent="0.25">
      <c r="A1731">
        <v>29043</v>
      </c>
      <c r="B1731" t="s">
        <v>32</v>
      </c>
      <c r="C1731">
        <v>2</v>
      </c>
      <c r="D1731" t="s">
        <v>7273</v>
      </c>
      <c r="E1731" t="s">
        <v>70</v>
      </c>
      <c r="F1731" t="s">
        <v>33</v>
      </c>
      <c r="G1731" t="s">
        <v>71</v>
      </c>
      <c r="H1731" t="s">
        <v>72</v>
      </c>
      <c r="I1731" t="s">
        <v>7274</v>
      </c>
      <c r="J1731" t="s">
        <v>7290</v>
      </c>
      <c r="K1731" t="s">
        <v>36</v>
      </c>
      <c r="L1731" t="s">
        <v>33</v>
      </c>
      <c r="O1731" t="s">
        <v>76</v>
      </c>
      <c r="R1731" t="s">
        <v>7291</v>
      </c>
      <c r="S1731">
        <v>73</v>
      </c>
      <c r="T1731" t="s">
        <v>40</v>
      </c>
      <c r="U1731">
        <f>+IF(Tabla1[[#This Row],[MONEDA]]="PEN",Tabla1[[#This Row],[MONTO]],Tabla1[[#This Row],[MONTO]]*3.56)</f>
        <v>73</v>
      </c>
      <c r="V1731" t="s">
        <v>190</v>
      </c>
      <c r="W1731">
        <v>27036</v>
      </c>
      <c r="X1731" t="s">
        <v>81</v>
      </c>
      <c r="Y1731" t="s">
        <v>42</v>
      </c>
      <c r="Z1731" t="s">
        <v>43</v>
      </c>
      <c r="AA1731" t="s">
        <v>7292</v>
      </c>
      <c r="AC1731" t="s">
        <v>7293</v>
      </c>
      <c r="AD1731" t="s">
        <v>7294</v>
      </c>
    </row>
    <row r="1732" spans="1:33" hidden="1" x14ac:dyDescent="0.25">
      <c r="A1732">
        <v>28922</v>
      </c>
      <c r="B1732" t="s">
        <v>32</v>
      </c>
      <c r="C1732">
        <v>6</v>
      </c>
      <c r="D1732" t="s">
        <v>7433</v>
      </c>
      <c r="E1732" t="s">
        <v>70</v>
      </c>
      <c r="F1732" t="s">
        <v>130</v>
      </c>
      <c r="G1732" t="s">
        <v>131</v>
      </c>
      <c r="H1732" t="s">
        <v>132</v>
      </c>
      <c r="I1732" t="s">
        <v>7434</v>
      </c>
      <c r="J1732" t="s">
        <v>7435</v>
      </c>
      <c r="K1732" t="s">
        <v>36</v>
      </c>
      <c r="L1732" t="s">
        <v>33</v>
      </c>
      <c r="R1732" t="s">
        <v>7436</v>
      </c>
      <c r="S1732">
        <v>12803.5</v>
      </c>
      <c r="T1732" t="s">
        <v>40</v>
      </c>
      <c r="U1732">
        <f>+IF(Tabla1[[#This Row],[MONEDA]]="PEN",Tabla1[[#This Row],[MONTO]],Tabla1[[#This Row],[MONTO]]*3.56)</f>
        <v>12803.5</v>
      </c>
      <c r="V1732" t="s">
        <v>190</v>
      </c>
      <c r="W1732">
        <v>28792</v>
      </c>
      <c r="X1732" t="s">
        <v>139</v>
      </c>
      <c r="Y1732" t="s">
        <v>51</v>
      </c>
      <c r="Z1732" t="s">
        <v>43</v>
      </c>
      <c r="AA1732" t="s">
        <v>7437</v>
      </c>
    </row>
    <row r="1733" spans="1:33" hidden="1" x14ac:dyDescent="0.25">
      <c r="A1733">
        <v>28896</v>
      </c>
      <c r="B1733" t="s">
        <v>32</v>
      </c>
      <c r="C1733">
        <v>6</v>
      </c>
      <c r="D1733" t="s">
        <v>7438</v>
      </c>
      <c r="E1733" t="s">
        <v>70</v>
      </c>
      <c r="F1733" t="s">
        <v>130</v>
      </c>
      <c r="G1733" t="s">
        <v>131</v>
      </c>
      <c r="H1733" t="s">
        <v>132</v>
      </c>
      <c r="I1733" t="s">
        <v>7439</v>
      </c>
      <c r="J1733" t="s">
        <v>7440</v>
      </c>
      <c r="K1733" t="s">
        <v>36</v>
      </c>
      <c r="L1733" t="s">
        <v>33</v>
      </c>
      <c r="R1733" t="s">
        <v>7441</v>
      </c>
      <c r="S1733">
        <v>10739.39</v>
      </c>
      <c r="T1733" t="s">
        <v>40</v>
      </c>
      <c r="U1733">
        <f>+IF(Tabla1[[#This Row],[MONEDA]]="PEN",Tabla1[[#This Row],[MONTO]],Tabla1[[#This Row],[MONTO]]*3.56)</f>
        <v>10739.39</v>
      </c>
      <c r="V1733" t="s">
        <v>190</v>
      </c>
      <c r="W1733">
        <v>28791</v>
      </c>
      <c r="X1733" t="s">
        <v>139</v>
      </c>
      <c r="Y1733" t="s">
        <v>51</v>
      </c>
      <c r="Z1733" t="s">
        <v>43</v>
      </c>
      <c r="AA1733" t="s">
        <v>7442</v>
      </c>
    </row>
    <row r="1734" spans="1:33" hidden="1" x14ac:dyDescent="0.25">
      <c r="A1734">
        <v>28863</v>
      </c>
      <c r="B1734" t="s">
        <v>32</v>
      </c>
      <c r="C1734">
        <v>6</v>
      </c>
      <c r="D1734" t="s">
        <v>7443</v>
      </c>
      <c r="E1734" t="s">
        <v>70</v>
      </c>
      <c r="F1734" t="s">
        <v>130</v>
      </c>
      <c r="G1734" t="s">
        <v>131</v>
      </c>
      <c r="H1734" t="s">
        <v>132</v>
      </c>
      <c r="I1734" t="s">
        <v>7444</v>
      </c>
      <c r="J1734" t="s">
        <v>7445</v>
      </c>
      <c r="K1734" t="s">
        <v>36</v>
      </c>
      <c r="L1734" t="s">
        <v>33</v>
      </c>
      <c r="R1734" t="s">
        <v>7446</v>
      </c>
      <c r="S1734">
        <v>3275.64</v>
      </c>
      <c r="T1734" t="s">
        <v>40</v>
      </c>
      <c r="U1734">
        <f>+IF(Tabla1[[#This Row],[MONEDA]]="PEN",Tabla1[[#This Row],[MONTO]],Tabla1[[#This Row],[MONTO]]*3.56)</f>
        <v>3275.64</v>
      </c>
      <c r="V1734" t="s">
        <v>190</v>
      </c>
      <c r="W1734">
        <v>28790</v>
      </c>
      <c r="X1734" t="s">
        <v>139</v>
      </c>
      <c r="Y1734" t="s">
        <v>51</v>
      </c>
      <c r="Z1734" t="s">
        <v>43</v>
      </c>
      <c r="AA1734" t="s">
        <v>7447</v>
      </c>
    </row>
    <row r="1735" spans="1:33" hidden="1" x14ac:dyDescent="0.25">
      <c r="A1735">
        <v>28835</v>
      </c>
      <c r="B1735" t="s">
        <v>32</v>
      </c>
      <c r="C1735">
        <v>6</v>
      </c>
      <c r="D1735" t="s">
        <v>7448</v>
      </c>
      <c r="E1735" t="s">
        <v>70</v>
      </c>
      <c r="F1735" t="s">
        <v>130</v>
      </c>
      <c r="G1735" t="s">
        <v>131</v>
      </c>
      <c r="H1735" t="s">
        <v>132</v>
      </c>
      <c r="I1735" t="s">
        <v>7449</v>
      </c>
      <c r="J1735" t="s">
        <v>7450</v>
      </c>
      <c r="K1735" t="s">
        <v>36</v>
      </c>
      <c r="L1735" t="s">
        <v>33</v>
      </c>
      <c r="R1735" t="s">
        <v>7451</v>
      </c>
      <c r="S1735">
        <v>1578.885</v>
      </c>
      <c r="T1735" t="s">
        <v>40</v>
      </c>
      <c r="U1735">
        <f>+IF(Tabla1[[#This Row],[MONEDA]]="PEN",Tabla1[[#This Row],[MONTO]],Tabla1[[#This Row],[MONTO]]*3.56)</f>
        <v>1578.885</v>
      </c>
      <c r="V1735" t="s">
        <v>190</v>
      </c>
      <c r="W1735">
        <v>28789</v>
      </c>
      <c r="X1735" t="s">
        <v>139</v>
      </c>
      <c r="Y1735" t="s">
        <v>51</v>
      </c>
      <c r="Z1735" t="s">
        <v>43</v>
      </c>
      <c r="AA1735" t="s">
        <v>7452</v>
      </c>
    </row>
    <row r="1736" spans="1:33" hidden="1" x14ac:dyDescent="0.25">
      <c r="A1736">
        <v>28818</v>
      </c>
      <c r="B1736" t="s">
        <v>32</v>
      </c>
      <c r="C1736">
        <v>6</v>
      </c>
      <c r="D1736" t="s">
        <v>7453</v>
      </c>
      <c r="E1736" t="s">
        <v>70</v>
      </c>
      <c r="F1736" t="s">
        <v>130</v>
      </c>
      <c r="G1736" t="s">
        <v>131</v>
      </c>
      <c r="H1736" t="s">
        <v>132</v>
      </c>
      <c r="I1736" t="s">
        <v>7454</v>
      </c>
      <c r="J1736" t="s">
        <v>7455</v>
      </c>
      <c r="K1736" t="s">
        <v>36</v>
      </c>
      <c r="L1736" t="s">
        <v>33</v>
      </c>
      <c r="R1736" t="s">
        <v>7456</v>
      </c>
      <c r="S1736">
        <v>100143.88</v>
      </c>
      <c r="T1736" t="s">
        <v>40</v>
      </c>
      <c r="U1736">
        <f>+IF(Tabla1[[#This Row],[MONEDA]]="PEN",Tabla1[[#This Row],[MONTO]],Tabla1[[#This Row],[MONTO]]*3.56)</f>
        <v>100143.88</v>
      </c>
      <c r="V1736" t="s">
        <v>190</v>
      </c>
      <c r="W1736">
        <v>28788</v>
      </c>
      <c r="X1736" t="s">
        <v>139</v>
      </c>
      <c r="Y1736" t="s">
        <v>51</v>
      </c>
      <c r="Z1736" t="s">
        <v>43</v>
      </c>
      <c r="AA1736" t="s">
        <v>7457</v>
      </c>
    </row>
    <row r="1737" spans="1:33" hidden="1" x14ac:dyDescent="0.25">
      <c r="A1737">
        <v>28607</v>
      </c>
      <c r="B1737" t="s">
        <v>32</v>
      </c>
      <c r="C1737">
        <v>2</v>
      </c>
      <c r="D1737" t="s">
        <v>7506</v>
      </c>
      <c r="E1737" t="s">
        <v>70</v>
      </c>
      <c r="F1737" t="s">
        <v>33</v>
      </c>
      <c r="G1737" t="s">
        <v>71</v>
      </c>
      <c r="H1737" t="s">
        <v>72</v>
      </c>
      <c r="I1737" t="s">
        <v>7507</v>
      </c>
      <c r="J1737" t="s">
        <v>7507</v>
      </c>
      <c r="K1737" t="s">
        <v>36</v>
      </c>
      <c r="L1737" t="s">
        <v>33</v>
      </c>
      <c r="R1737" t="s">
        <v>7508</v>
      </c>
      <c r="S1737">
        <v>7.55</v>
      </c>
      <c r="T1737" t="s">
        <v>40</v>
      </c>
      <c r="U1737">
        <f>+IF(Tabla1[[#This Row],[MONEDA]]="PEN",Tabla1[[#This Row],[MONTO]],Tabla1[[#This Row],[MONTO]]*3.56)</f>
        <v>7.55</v>
      </c>
      <c r="V1737" t="s">
        <v>190</v>
      </c>
      <c r="W1737">
        <v>26301</v>
      </c>
      <c r="X1737" t="s">
        <v>41</v>
      </c>
      <c r="Y1737" t="s">
        <v>42</v>
      </c>
      <c r="Z1737" t="s">
        <v>43</v>
      </c>
      <c r="AA1737" t="s">
        <v>7509</v>
      </c>
      <c r="AC1737" t="s">
        <v>7510</v>
      </c>
      <c r="AD1737" t="s">
        <v>7511</v>
      </c>
    </row>
    <row r="1738" spans="1:33" hidden="1" x14ac:dyDescent="0.25">
      <c r="A1738">
        <v>28330</v>
      </c>
      <c r="B1738" t="s">
        <v>32</v>
      </c>
      <c r="C1738">
        <v>2</v>
      </c>
      <c r="D1738" t="s">
        <v>7783</v>
      </c>
      <c r="E1738" t="s">
        <v>70</v>
      </c>
      <c r="F1738" t="s">
        <v>33</v>
      </c>
      <c r="G1738" t="s">
        <v>71</v>
      </c>
      <c r="H1738" t="s">
        <v>72</v>
      </c>
      <c r="I1738" t="s">
        <v>7784</v>
      </c>
      <c r="J1738" t="s">
        <v>7784</v>
      </c>
      <c r="K1738" t="s">
        <v>36</v>
      </c>
      <c r="L1738" t="s">
        <v>33</v>
      </c>
      <c r="O1738" t="s">
        <v>76</v>
      </c>
      <c r="R1738" t="s">
        <v>7785</v>
      </c>
      <c r="S1738">
        <v>30</v>
      </c>
      <c r="T1738" t="s">
        <v>40</v>
      </c>
      <c r="U1738">
        <f>+IF(Tabla1[[#This Row],[MONEDA]]="PEN",Tabla1[[#This Row],[MONTO]],Tabla1[[#This Row],[MONTO]]*3.56)</f>
        <v>30</v>
      </c>
      <c r="V1738" t="s">
        <v>190</v>
      </c>
      <c r="W1738">
        <v>26301</v>
      </c>
      <c r="X1738" t="s">
        <v>81</v>
      </c>
      <c r="Y1738" t="s">
        <v>42</v>
      </c>
      <c r="Z1738" t="s">
        <v>43</v>
      </c>
      <c r="AA1738" t="s">
        <v>7786</v>
      </c>
      <c r="AC1738" t="s">
        <v>7787</v>
      </c>
      <c r="AD1738" t="s">
        <v>7788</v>
      </c>
    </row>
    <row r="1739" spans="1:33" hidden="1" x14ac:dyDescent="0.25">
      <c r="A1739">
        <v>28329</v>
      </c>
      <c r="B1739" t="s">
        <v>32</v>
      </c>
      <c r="C1739">
        <v>2</v>
      </c>
      <c r="D1739" t="s">
        <v>7789</v>
      </c>
      <c r="E1739" t="s">
        <v>70</v>
      </c>
      <c r="F1739" t="s">
        <v>33</v>
      </c>
      <c r="G1739" t="s">
        <v>71</v>
      </c>
      <c r="H1739" t="s">
        <v>72</v>
      </c>
      <c r="I1739" t="s">
        <v>7790</v>
      </c>
      <c r="J1739" t="s">
        <v>7790</v>
      </c>
      <c r="K1739" t="s">
        <v>36</v>
      </c>
      <c r="L1739" t="s">
        <v>33</v>
      </c>
      <c r="O1739" t="s">
        <v>76</v>
      </c>
      <c r="R1739" t="s">
        <v>7791</v>
      </c>
      <c r="S1739">
        <v>20</v>
      </c>
      <c r="T1739" t="s">
        <v>40</v>
      </c>
      <c r="U1739">
        <f>+IF(Tabla1[[#This Row],[MONEDA]]="PEN",Tabla1[[#This Row],[MONTO]],Tabla1[[#This Row],[MONTO]]*3.56)</f>
        <v>20</v>
      </c>
      <c r="V1739" t="s">
        <v>190</v>
      </c>
      <c r="W1739">
        <v>26301</v>
      </c>
      <c r="X1739" t="s">
        <v>81</v>
      </c>
      <c r="Y1739" t="s">
        <v>42</v>
      </c>
      <c r="Z1739" t="s">
        <v>43</v>
      </c>
      <c r="AA1739" t="s">
        <v>7792</v>
      </c>
      <c r="AC1739" t="s">
        <v>7793</v>
      </c>
      <c r="AD1739" t="s">
        <v>7794</v>
      </c>
    </row>
    <row r="1740" spans="1:33" hidden="1" x14ac:dyDescent="0.25">
      <c r="A1740">
        <v>28324</v>
      </c>
      <c r="B1740" t="s">
        <v>32</v>
      </c>
      <c r="C1740">
        <v>2</v>
      </c>
      <c r="D1740" t="s">
        <v>7795</v>
      </c>
      <c r="E1740" t="s">
        <v>70</v>
      </c>
      <c r="F1740" t="s">
        <v>33</v>
      </c>
      <c r="G1740" t="s">
        <v>71</v>
      </c>
      <c r="H1740" t="s">
        <v>72</v>
      </c>
      <c r="I1740" t="s">
        <v>7796</v>
      </c>
      <c r="J1740" t="s">
        <v>7796</v>
      </c>
      <c r="K1740" t="s">
        <v>36</v>
      </c>
      <c r="L1740" t="s">
        <v>33</v>
      </c>
      <c r="O1740" t="s">
        <v>76</v>
      </c>
      <c r="R1740" t="s">
        <v>7797</v>
      </c>
      <c r="S1740">
        <v>18</v>
      </c>
      <c r="T1740" t="s">
        <v>40</v>
      </c>
      <c r="U1740">
        <f>+IF(Tabla1[[#This Row],[MONEDA]]="PEN",Tabla1[[#This Row],[MONTO]],Tabla1[[#This Row],[MONTO]]*3.56)</f>
        <v>18</v>
      </c>
      <c r="V1740" t="s">
        <v>190</v>
      </c>
      <c r="W1740">
        <v>26301</v>
      </c>
      <c r="X1740" t="s">
        <v>81</v>
      </c>
      <c r="Y1740" t="s">
        <v>42</v>
      </c>
      <c r="Z1740" t="s">
        <v>43</v>
      </c>
      <c r="AA1740" t="s">
        <v>7798</v>
      </c>
      <c r="AC1740" t="s">
        <v>7799</v>
      </c>
      <c r="AD1740" t="s">
        <v>7800</v>
      </c>
    </row>
    <row r="1741" spans="1:33" x14ac:dyDescent="0.25">
      <c r="A1741">
        <v>27916</v>
      </c>
      <c r="B1741" t="s">
        <v>32</v>
      </c>
      <c r="C1741">
        <v>3</v>
      </c>
      <c r="D1741" t="s">
        <v>8027</v>
      </c>
      <c r="E1741" t="s">
        <v>70</v>
      </c>
      <c r="F1741" t="s">
        <v>130</v>
      </c>
      <c r="G1741" t="s">
        <v>132</v>
      </c>
      <c r="H1741" t="s">
        <v>132</v>
      </c>
      <c r="I1741" t="s">
        <v>8028</v>
      </c>
      <c r="J1741" t="s">
        <v>8028</v>
      </c>
      <c r="K1741" t="s">
        <v>36</v>
      </c>
      <c r="L1741" t="s">
        <v>33</v>
      </c>
      <c r="O1741" t="s">
        <v>8029</v>
      </c>
      <c r="P1741" t="s">
        <v>38</v>
      </c>
      <c r="Q1741" t="s">
        <v>8030</v>
      </c>
      <c r="R1741" t="s">
        <v>510</v>
      </c>
      <c r="S1741">
        <v>7586.01</v>
      </c>
      <c r="T1741" t="s">
        <v>40</v>
      </c>
      <c r="U1741">
        <f>+IF(Tabla1[[#This Row],[MONEDA]]="PEN",Tabla1[[#This Row],[MONTO]],Tabla1[[#This Row],[MONTO]]*3.56)</f>
        <v>7586.01</v>
      </c>
      <c r="X1741" t="s">
        <v>139</v>
      </c>
      <c r="Y1741" t="s">
        <v>42</v>
      </c>
      <c r="Z1741" t="s">
        <v>511</v>
      </c>
      <c r="AA1741" t="s">
        <v>8031</v>
      </c>
      <c r="AB1741" t="s">
        <v>8032</v>
      </c>
      <c r="AC1741" t="s">
        <v>8033</v>
      </c>
      <c r="AE1741">
        <v>7586.01</v>
      </c>
      <c r="AF1741" t="s">
        <v>87</v>
      </c>
      <c r="AG1741" t="s">
        <v>169</v>
      </c>
    </row>
    <row r="1742" spans="1:33" x14ac:dyDescent="0.25">
      <c r="A1742">
        <v>27639</v>
      </c>
      <c r="B1742" t="s">
        <v>32</v>
      </c>
      <c r="C1742">
        <v>1</v>
      </c>
      <c r="D1742" t="s">
        <v>8219</v>
      </c>
      <c r="E1742" t="s">
        <v>70</v>
      </c>
      <c r="F1742" t="s">
        <v>3256</v>
      </c>
      <c r="G1742" t="s">
        <v>3257</v>
      </c>
      <c r="H1742" t="s">
        <v>159</v>
      </c>
      <c r="I1742" t="s">
        <v>8220</v>
      </c>
      <c r="J1742" t="s">
        <v>8221</v>
      </c>
      <c r="K1742" t="s">
        <v>36</v>
      </c>
      <c r="L1742" t="s">
        <v>33</v>
      </c>
      <c r="M1742">
        <v>20533151435</v>
      </c>
      <c r="P1742" t="s">
        <v>38</v>
      </c>
      <c r="Q1742" t="s">
        <v>163</v>
      </c>
      <c r="R1742" t="s">
        <v>8222</v>
      </c>
      <c r="S1742">
        <v>194.7</v>
      </c>
      <c r="T1742" t="s">
        <v>40</v>
      </c>
      <c r="U1742">
        <f>+IF(Tabla1[[#This Row],[MONEDA]]="PEN",Tabla1[[#This Row],[MONTO]],Tabla1[[#This Row],[MONTO]]*3.56)</f>
        <v>194.7</v>
      </c>
      <c r="X1742" t="s">
        <v>41</v>
      </c>
      <c r="Y1742" t="s">
        <v>42</v>
      </c>
      <c r="Z1742" t="s">
        <v>82</v>
      </c>
      <c r="AA1742" t="s">
        <v>8223</v>
      </c>
      <c r="AB1742" t="s">
        <v>8224</v>
      </c>
      <c r="AC1742" t="s">
        <v>8225</v>
      </c>
      <c r="AD1742" t="s">
        <v>8226</v>
      </c>
      <c r="AE1742">
        <v>194.7</v>
      </c>
      <c r="AF1742" t="s">
        <v>87</v>
      </c>
      <c r="AG1742" t="s">
        <v>169</v>
      </c>
    </row>
    <row r="1743" spans="1:33" hidden="1" x14ac:dyDescent="0.25">
      <c r="A1743">
        <v>27644</v>
      </c>
      <c r="B1743" t="s">
        <v>32</v>
      </c>
      <c r="C1743">
        <v>1</v>
      </c>
      <c r="D1743" t="s">
        <v>8227</v>
      </c>
      <c r="E1743" t="s">
        <v>70</v>
      </c>
      <c r="F1743" t="s">
        <v>33</v>
      </c>
      <c r="G1743" t="s">
        <v>71</v>
      </c>
      <c r="H1743" t="s">
        <v>72</v>
      </c>
      <c r="I1743" t="s">
        <v>8228</v>
      </c>
      <c r="J1743" t="s">
        <v>8228</v>
      </c>
      <c r="K1743" t="s">
        <v>36</v>
      </c>
      <c r="L1743" t="s">
        <v>33</v>
      </c>
      <c r="R1743" t="s">
        <v>8229</v>
      </c>
      <c r="S1743">
        <v>43.36</v>
      </c>
      <c r="T1743" t="s">
        <v>40</v>
      </c>
      <c r="U1743">
        <f>+IF(Tabla1[[#This Row],[MONEDA]]="PEN",Tabla1[[#This Row],[MONTO]],Tabla1[[#This Row],[MONTO]]*3.56)</f>
        <v>43.36</v>
      </c>
      <c r="V1743" t="s">
        <v>190</v>
      </c>
      <c r="W1743">
        <v>23138</v>
      </c>
      <c r="X1743" t="s">
        <v>41</v>
      </c>
      <c r="Y1743" t="s">
        <v>42</v>
      </c>
      <c r="Z1743" t="s">
        <v>43</v>
      </c>
      <c r="AA1743" t="s">
        <v>8230</v>
      </c>
      <c r="AC1743" t="s">
        <v>8231</v>
      </c>
    </row>
    <row r="1744" spans="1:33" x14ac:dyDescent="0.25">
      <c r="A1744">
        <v>27605</v>
      </c>
      <c r="B1744" t="s">
        <v>32</v>
      </c>
      <c r="C1744">
        <v>1</v>
      </c>
      <c r="D1744" t="s">
        <v>8232</v>
      </c>
      <c r="E1744" t="s">
        <v>70</v>
      </c>
      <c r="F1744" t="s">
        <v>3256</v>
      </c>
      <c r="G1744" t="s">
        <v>3257</v>
      </c>
      <c r="H1744" t="s">
        <v>8233</v>
      </c>
      <c r="I1744" t="s">
        <v>8234</v>
      </c>
      <c r="J1744" t="s">
        <v>8235</v>
      </c>
      <c r="K1744" t="s">
        <v>36</v>
      </c>
      <c r="L1744" t="s">
        <v>33</v>
      </c>
      <c r="M1744">
        <v>20533151435</v>
      </c>
      <c r="P1744" t="s">
        <v>38</v>
      </c>
      <c r="Q1744" t="s">
        <v>163</v>
      </c>
      <c r="R1744" t="s">
        <v>8236</v>
      </c>
      <c r="S1744">
        <v>194.7</v>
      </c>
      <c r="T1744" t="s">
        <v>40</v>
      </c>
      <c r="U1744">
        <f>+IF(Tabla1[[#This Row],[MONEDA]]="PEN",Tabla1[[#This Row],[MONTO]],Tabla1[[#This Row],[MONTO]]*3.56)</f>
        <v>194.7</v>
      </c>
      <c r="X1744" t="s">
        <v>41</v>
      </c>
      <c r="Y1744" t="s">
        <v>42</v>
      </c>
      <c r="Z1744" t="s">
        <v>82</v>
      </c>
      <c r="AA1744" t="s">
        <v>8237</v>
      </c>
      <c r="AB1744" t="s">
        <v>8238</v>
      </c>
      <c r="AC1744" t="s">
        <v>8239</v>
      </c>
      <c r="AD1744" t="s">
        <v>8240</v>
      </c>
      <c r="AE1744">
        <v>194.7</v>
      </c>
      <c r="AF1744" t="s">
        <v>87</v>
      </c>
      <c r="AG1744" t="s">
        <v>169</v>
      </c>
    </row>
    <row r="1745" spans="1:33" x14ac:dyDescent="0.25">
      <c r="A1745">
        <v>27434</v>
      </c>
      <c r="B1745" t="s">
        <v>32</v>
      </c>
      <c r="C1745">
        <v>3</v>
      </c>
      <c r="D1745" t="s">
        <v>8356</v>
      </c>
      <c r="E1745" t="s">
        <v>70</v>
      </c>
      <c r="F1745" t="s">
        <v>130</v>
      </c>
      <c r="G1745" t="s">
        <v>132</v>
      </c>
      <c r="H1745" t="s">
        <v>132</v>
      </c>
      <c r="I1745" t="s">
        <v>8357</v>
      </c>
      <c r="J1745" t="s">
        <v>8357</v>
      </c>
      <c r="K1745" t="s">
        <v>36</v>
      </c>
      <c r="L1745" t="s">
        <v>33</v>
      </c>
      <c r="O1745" t="s">
        <v>7071</v>
      </c>
      <c r="P1745" t="s">
        <v>62</v>
      </c>
      <c r="Q1745" t="s">
        <v>7072</v>
      </c>
      <c r="R1745" t="s">
        <v>510</v>
      </c>
      <c r="S1745">
        <v>3609.32</v>
      </c>
      <c r="T1745" t="s">
        <v>40</v>
      </c>
      <c r="U1745">
        <f>+IF(Tabla1[[#This Row],[MONEDA]]="PEN",Tabla1[[#This Row],[MONTO]],Tabla1[[#This Row],[MONTO]]*3.56)</f>
        <v>3609.32</v>
      </c>
      <c r="X1745" t="s">
        <v>139</v>
      </c>
      <c r="Y1745" t="s">
        <v>42</v>
      </c>
      <c r="Z1745" t="s">
        <v>511</v>
      </c>
      <c r="AA1745" t="s">
        <v>8358</v>
      </c>
      <c r="AB1745" t="s">
        <v>8359</v>
      </c>
      <c r="AC1745" t="s">
        <v>8360</v>
      </c>
      <c r="AE1745">
        <v>3609.32</v>
      </c>
      <c r="AF1745" t="s">
        <v>87</v>
      </c>
      <c r="AG1745" t="s">
        <v>515</v>
      </c>
    </row>
    <row r="1746" spans="1:33" x14ac:dyDescent="0.25">
      <c r="A1746">
        <v>27403</v>
      </c>
      <c r="B1746" t="s">
        <v>32</v>
      </c>
      <c r="C1746">
        <v>3</v>
      </c>
      <c r="D1746" t="s">
        <v>8492</v>
      </c>
      <c r="E1746" t="s">
        <v>70</v>
      </c>
      <c r="F1746" t="s">
        <v>130</v>
      </c>
      <c r="G1746" t="s">
        <v>132</v>
      </c>
      <c r="H1746" t="s">
        <v>132</v>
      </c>
      <c r="I1746" t="s">
        <v>8493</v>
      </c>
      <c r="J1746" t="s">
        <v>8493</v>
      </c>
      <c r="K1746" t="s">
        <v>36</v>
      </c>
      <c r="L1746" t="s">
        <v>33</v>
      </c>
      <c r="O1746" t="s">
        <v>8494</v>
      </c>
      <c r="P1746" t="s">
        <v>38</v>
      </c>
      <c r="Q1746" t="s">
        <v>8495</v>
      </c>
      <c r="R1746" t="s">
        <v>510</v>
      </c>
      <c r="S1746">
        <v>1156.8699999999999</v>
      </c>
      <c r="T1746" t="s">
        <v>40</v>
      </c>
      <c r="U1746">
        <f>+IF(Tabla1[[#This Row],[MONEDA]]="PEN",Tabla1[[#This Row],[MONTO]],Tabla1[[#This Row],[MONTO]]*3.56)</f>
        <v>1156.8699999999999</v>
      </c>
      <c r="X1746" t="s">
        <v>139</v>
      </c>
      <c r="Y1746" t="s">
        <v>42</v>
      </c>
      <c r="Z1746" t="s">
        <v>511</v>
      </c>
      <c r="AA1746" t="s">
        <v>8031</v>
      </c>
      <c r="AB1746" t="s">
        <v>8496</v>
      </c>
      <c r="AC1746" t="s">
        <v>8497</v>
      </c>
      <c r="AE1746">
        <v>1156.8699999999999</v>
      </c>
      <c r="AF1746" t="s">
        <v>87</v>
      </c>
      <c r="AG1746" t="s">
        <v>169</v>
      </c>
    </row>
    <row r="1747" spans="1:33" x14ac:dyDescent="0.25">
      <c r="A1747">
        <v>27380</v>
      </c>
      <c r="B1747" t="s">
        <v>32</v>
      </c>
      <c r="C1747">
        <v>1</v>
      </c>
      <c r="D1747" t="s">
        <v>8507</v>
      </c>
      <c r="E1747" t="s">
        <v>70</v>
      </c>
      <c r="F1747" t="s">
        <v>3256</v>
      </c>
      <c r="G1747" t="s">
        <v>3257</v>
      </c>
      <c r="H1747" t="s">
        <v>8233</v>
      </c>
      <c r="I1747" t="s">
        <v>8499</v>
      </c>
      <c r="J1747" t="s">
        <v>8508</v>
      </c>
      <c r="K1747" t="s">
        <v>36</v>
      </c>
      <c r="L1747" t="s">
        <v>33</v>
      </c>
      <c r="M1747">
        <v>20533151435</v>
      </c>
      <c r="P1747" t="s">
        <v>38</v>
      </c>
      <c r="Q1747" t="s">
        <v>163</v>
      </c>
      <c r="R1747" t="s">
        <v>8509</v>
      </c>
      <c r="S1747">
        <v>228.92</v>
      </c>
      <c r="T1747" t="s">
        <v>40</v>
      </c>
      <c r="U1747">
        <f>+IF(Tabla1[[#This Row],[MONEDA]]="PEN",Tabla1[[#This Row],[MONTO]],Tabla1[[#This Row],[MONTO]]*3.56)</f>
        <v>228.92</v>
      </c>
      <c r="X1747" t="s">
        <v>41</v>
      </c>
      <c r="Y1747" t="s">
        <v>42</v>
      </c>
      <c r="Z1747" t="s">
        <v>82</v>
      </c>
      <c r="AA1747" t="s">
        <v>8510</v>
      </c>
      <c r="AB1747" t="s">
        <v>8511</v>
      </c>
      <c r="AC1747" t="s">
        <v>8512</v>
      </c>
      <c r="AD1747" t="s">
        <v>8513</v>
      </c>
      <c r="AE1747">
        <v>228.92</v>
      </c>
      <c r="AF1747" t="s">
        <v>87</v>
      </c>
      <c r="AG1747" t="s">
        <v>169</v>
      </c>
    </row>
    <row r="1748" spans="1:33" x14ac:dyDescent="0.25">
      <c r="A1748">
        <v>27326</v>
      </c>
      <c r="B1748" t="s">
        <v>32</v>
      </c>
      <c r="C1748">
        <v>3</v>
      </c>
      <c r="D1748" t="s">
        <v>8528</v>
      </c>
      <c r="E1748" t="s">
        <v>70</v>
      </c>
      <c r="F1748" t="s">
        <v>130</v>
      </c>
      <c r="G1748" t="s">
        <v>132</v>
      </c>
      <c r="H1748" t="s">
        <v>132</v>
      </c>
      <c r="I1748" t="s">
        <v>8529</v>
      </c>
      <c r="J1748" t="s">
        <v>8529</v>
      </c>
      <c r="K1748" t="s">
        <v>36</v>
      </c>
      <c r="L1748" t="s">
        <v>33</v>
      </c>
      <c r="O1748" t="s">
        <v>8530</v>
      </c>
      <c r="P1748" t="s">
        <v>38</v>
      </c>
      <c r="Q1748" t="s">
        <v>8531</v>
      </c>
      <c r="R1748" t="s">
        <v>510</v>
      </c>
      <c r="S1748">
        <v>2702.47</v>
      </c>
      <c r="T1748" t="s">
        <v>40</v>
      </c>
      <c r="U1748">
        <f>+IF(Tabla1[[#This Row],[MONEDA]]="PEN",Tabla1[[#This Row],[MONTO]],Tabla1[[#This Row],[MONTO]]*3.56)</f>
        <v>2702.47</v>
      </c>
      <c r="X1748" t="s">
        <v>139</v>
      </c>
      <c r="Y1748" t="s">
        <v>42</v>
      </c>
      <c r="Z1748" t="s">
        <v>511</v>
      </c>
      <c r="AA1748" t="s">
        <v>8532</v>
      </c>
      <c r="AB1748" t="s">
        <v>8533</v>
      </c>
      <c r="AC1748" t="s">
        <v>8534</v>
      </c>
      <c r="AE1748">
        <v>2702.47</v>
      </c>
      <c r="AF1748" t="s">
        <v>87</v>
      </c>
      <c r="AG1748" t="s">
        <v>169</v>
      </c>
    </row>
    <row r="1749" spans="1:33" x14ac:dyDescent="0.25">
      <c r="A1749">
        <v>27140</v>
      </c>
      <c r="B1749" t="s">
        <v>32</v>
      </c>
      <c r="C1749">
        <v>1</v>
      </c>
      <c r="D1749" t="s">
        <v>8702</v>
      </c>
      <c r="E1749" t="s">
        <v>70</v>
      </c>
      <c r="F1749" t="s">
        <v>3256</v>
      </c>
      <c r="G1749" t="s">
        <v>3257</v>
      </c>
      <c r="H1749" t="s">
        <v>8233</v>
      </c>
      <c r="I1749" t="s">
        <v>8703</v>
      </c>
      <c r="J1749" t="s">
        <v>8704</v>
      </c>
      <c r="K1749" t="s">
        <v>36</v>
      </c>
      <c r="L1749" t="s">
        <v>33</v>
      </c>
      <c r="M1749">
        <v>20533151435</v>
      </c>
      <c r="P1749" t="s">
        <v>38</v>
      </c>
      <c r="Q1749" t="s">
        <v>163</v>
      </c>
      <c r="R1749" t="s">
        <v>8705</v>
      </c>
      <c r="S1749">
        <v>194.7</v>
      </c>
      <c r="T1749" t="s">
        <v>40</v>
      </c>
      <c r="U1749">
        <f>+IF(Tabla1[[#This Row],[MONEDA]]="PEN",Tabla1[[#This Row],[MONTO]],Tabla1[[#This Row],[MONTO]]*3.56)</f>
        <v>194.7</v>
      </c>
      <c r="X1749" t="s">
        <v>41</v>
      </c>
      <c r="Y1749" t="s">
        <v>42</v>
      </c>
      <c r="Z1749" t="s">
        <v>82</v>
      </c>
      <c r="AA1749" t="s">
        <v>8706</v>
      </c>
      <c r="AB1749" t="s">
        <v>8707</v>
      </c>
      <c r="AC1749" t="s">
        <v>8708</v>
      </c>
      <c r="AD1749" t="s">
        <v>8709</v>
      </c>
      <c r="AE1749">
        <v>194.7</v>
      </c>
      <c r="AF1749" t="s">
        <v>87</v>
      </c>
      <c r="AG1749" t="s">
        <v>169</v>
      </c>
    </row>
    <row r="1750" spans="1:33" x14ac:dyDescent="0.25">
      <c r="A1750">
        <v>26932</v>
      </c>
      <c r="B1750" t="s">
        <v>32</v>
      </c>
      <c r="C1750">
        <v>1</v>
      </c>
      <c r="D1750" t="s">
        <v>8802</v>
      </c>
      <c r="E1750" t="s">
        <v>70</v>
      </c>
      <c r="F1750" t="s">
        <v>3256</v>
      </c>
      <c r="G1750" t="s">
        <v>3257</v>
      </c>
      <c r="H1750" t="s">
        <v>8233</v>
      </c>
      <c r="I1750" t="s">
        <v>8803</v>
      </c>
      <c r="J1750" t="s">
        <v>8804</v>
      </c>
      <c r="K1750" t="s">
        <v>36</v>
      </c>
      <c r="L1750" t="s">
        <v>33</v>
      </c>
      <c r="M1750">
        <v>20533151435</v>
      </c>
      <c r="P1750" t="s">
        <v>38</v>
      </c>
      <c r="Q1750" t="s">
        <v>163</v>
      </c>
      <c r="R1750" t="s">
        <v>8805</v>
      </c>
      <c r="S1750">
        <v>423.62</v>
      </c>
      <c r="T1750" t="s">
        <v>40</v>
      </c>
      <c r="U1750">
        <f>+IF(Tabla1[[#This Row],[MONEDA]]="PEN",Tabla1[[#This Row],[MONTO]],Tabla1[[#This Row],[MONTO]]*3.56)</f>
        <v>423.62</v>
      </c>
      <c r="X1750" t="s">
        <v>41</v>
      </c>
      <c r="Y1750" t="s">
        <v>42</v>
      </c>
      <c r="Z1750" t="s">
        <v>82</v>
      </c>
      <c r="AA1750" t="s">
        <v>8806</v>
      </c>
      <c r="AB1750" t="s">
        <v>8807</v>
      </c>
      <c r="AC1750" t="s">
        <v>8808</v>
      </c>
      <c r="AD1750" t="s">
        <v>8809</v>
      </c>
      <c r="AE1750">
        <v>423.62</v>
      </c>
      <c r="AF1750" t="s">
        <v>87</v>
      </c>
      <c r="AG1750" t="s">
        <v>169</v>
      </c>
    </row>
    <row r="1751" spans="1:33" hidden="1" x14ac:dyDescent="0.25">
      <c r="A1751">
        <v>26860</v>
      </c>
      <c r="B1751" t="s">
        <v>32</v>
      </c>
      <c r="C1751">
        <v>2</v>
      </c>
      <c r="D1751" t="s">
        <v>8825</v>
      </c>
      <c r="E1751" t="s">
        <v>70</v>
      </c>
      <c r="F1751" t="s">
        <v>33</v>
      </c>
      <c r="G1751" t="s">
        <v>71</v>
      </c>
      <c r="H1751" t="s">
        <v>72</v>
      </c>
      <c r="I1751" t="s">
        <v>8826</v>
      </c>
      <c r="J1751" t="s">
        <v>8827</v>
      </c>
      <c r="K1751" t="s">
        <v>36</v>
      </c>
      <c r="L1751" t="s">
        <v>33</v>
      </c>
      <c r="O1751" t="s">
        <v>76</v>
      </c>
      <c r="R1751" t="s">
        <v>8828</v>
      </c>
      <c r="S1751">
        <v>15</v>
      </c>
      <c r="T1751" t="s">
        <v>40</v>
      </c>
      <c r="U1751">
        <f>+IF(Tabla1[[#This Row],[MONEDA]]="PEN",Tabla1[[#This Row],[MONTO]],Tabla1[[#This Row],[MONTO]]*3.56)</f>
        <v>15</v>
      </c>
      <c r="V1751" t="s">
        <v>190</v>
      </c>
      <c r="W1751">
        <v>26301</v>
      </c>
      <c r="X1751" t="s">
        <v>41</v>
      </c>
      <c r="Y1751" t="s">
        <v>42</v>
      </c>
      <c r="Z1751" t="s">
        <v>43</v>
      </c>
      <c r="AA1751" t="s">
        <v>8829</v>
      </c>
      <c r="AC1751" t="s">
        <v>8830</v>
      </c>
      <c r="AD1751" t="s">
        <v>8831</v>
      </c>
    </row>
    <row r="1752" spans="1:33" hidden="1" x14ac:dyDescent="0.25">
      <c r="A1752">
        <v>26858</v>
      </c>
      <c r="B1752" t="s">
        <v>32</v>
      </c>
      <c r="C1752">
        <v>2</v>
      </c>
      <c r="D1752" t="s">
        <v>8839</v>
      </c>
      <c r="E1752" t="s">
        <v>70</v>
      </c>
      <c r="F1752" t="s">
        <v>33</v>
      </c>
      <c r="G1752" t="s">
        <v>71</v>
      </c>
      <c r="H1752" t="s">
        <v>72</v>
      </c>
      <c r="I1752" t="s">
        <v>8840</v>
      </c>
      <c r="J1752" t="s">
        <v>8841</v>
      </c>
      <c r="K1752" t="s">
        <v>36</v>
      </c>
      <c r="L1752" t="s">
        <v>33</v>
      </c>
      <c r="O1752" t="s">
        <v>76</v>
      </c>
      <c r="R1752" t="s">
        <v>8842</v>
      </c>
      <c r="S1752">
        <v>90</v>
      </c>
      <c r="T1752" t="s">
        <v>40</v>
      </c>
      <c r="U1752">
        <f>+IF(Tabla1[[#This Row],[MONEDA]]="PEN",Tabla1[[#This Row],[MONTO]],Tabla1[[#This Row],[MONTO]]*3.56)</f>
        <v>90</v>
      </c>
      <c r="V1752" t="s">
        <v>190</v>
      </c>
      <c r="W1752">
        <v>26301</v>
      </c>
      <c r="X1752" t="s">
        <v>81</v>
      </c>
      <c r="Y1752" t="s">
        <v>42</v>
      </c>
      <c r="Z1752" t="s">
        <v>43</v>
      </c>
      <c r="AA1752" t="s">
        <v>8843</v>
      </c>
      <c r="AC1752" t="s">
        <v>8844</v>
      </c>
      <c r="AD1752" t="s">
        <v>8845</v>
      </c>
    </row>
    <row r="1753" spans="1:33" hidden="1" x14ac:dyDescent="0.25">
      <c r="A1753">
        <v>26855</v>
      </c>
      <c r="B1753" t="s">
        <v>32</v>
      </c>
      <c r="C1753">
        <v>2</v>
      </c>
      <c r="D1753" t="s">
        <v>8860</v>
      </c>
      <c r="E1753" t="s">
        <v>70</v>
      </c>
      <c r="F1753" t="s">
        <v>33</v>
      </c>
      <c r="G1753" t="s">
        <v>71</v>
      </c>
      <c r="H1753" t="s">
        <v>72</v>
      </c>
      <c r="I1753" t="s">
        <v>8861</v>
      </c>
      <c r="J1753" t="s">
        <v>8862</v>
      </c>
      <c r="K1753" t="s">
        <v>36</v>
      </c>
      <c r="L1753" t="s">
        <v>33</v>
      </c>
      <c r="O1753" t="s">
        <v>76</v>
      </c>
      <c r="R1753" t="s">
        <v>8828</v>
      </c>
      <c r="S1753">
        <v>25</v>
      </c>
      <c r="T1753" t="s">
        <v>40</v>
      </c>
      <c r="U1753">
        <f>+IF(Tabla1[[#This Row],[MONEDA]]="PEN",Tabla1[[#This Row],[MONTO]],Tabla1[[#This Row],[MONTO]]*3.56)</f>
        <v>25</v>
      </c>
      <c r="V1753" t="s">
        <v>190</v>
      </c>
      <c r="W1753">
        <v>26301</v>
      </c>
      <c r="X1753" t="s">
        <v>81</v>
      </c>
      <c r="Y1753" t="s">
        <v>42</v>
      </c>
      <c r="Z1753" t="s">
        <v>43</v>
      </c>
      <c r="AA1753" t="s">
        <v>8863</v>
      </c>
      <c r="AC1753" t="s">
        <v>8864</v>
      </c>
      <c r="AD1753" t="s">
        <v>8865</v>
      </c>
    </row>
    <row r="1754" spans="1:33" hidden="1" x14ac:dyDescent="0.25">
      <c r="A1754">
        <v>26847</v>
      </c>
      <c r="B1754" t="s">
        <v>32</v>
      </c>
      <c r="C1754">
        <v>2</v>
      </c>
      <c r="D1754" t="s">
        <v>8872</v>
      </c>
      <c r="E1754" t="s">
        <v>70</v>
      </c>
      <c r="F1754" t="s">
        <v>33</v>
      </c>
      <c r="G1754" t="s">
        <v>71</v>
      </c>
      <c r="H1754" t="s">
        <v>72</v>
      </c>
      <c r="I1754" t="s">
        <v>8873</v>
      </c>
      <c r="J1754" t="s">
        <v>8874</v>
      </c>
      <c r="K1754" t="s">
        <v>36</v>
      </c>
      <c r="L1754" t="s">
        <v>33</v>
      </c>
      <c r="O1754" t="s">
        <v>76</v>
      </c>
      <c r="R1754" t="s">
        <v>8875</v>
      </c>
      <c r="S1754">
        <v>40</v>
      </c>
      <c r="T1754" t="s">
        <v>40</v>
      </c>
      <c r="U1754">
        <f>+IF(Tabla1[[#This Row],[MONEDA]]="PEN",Tabla1[[#This Row],[MONTO]],Tabla1[[#This Row],[MONTO]]*3.56)</f>
        <v>40</v>
      </c>
      <c r="V1754" t="s">
        <v>190</v>
      </c>
      <c r="W1754">
        <v>26301</v>
      </c>
      <c r="X1754" t="s">
        <v>81</v>
      </c>
      <c r="Y1754" t="s">
        <v>42</v>
      </c>
      <c r="Z1754" t="s">
        <v>43</v>
      </c>
      <c r="AA1754" t="s">
        <v>8876</v>
      </c>
      <c r="AC1754" t="s">
        <v>8877</v>
      </c>
      <c r="AD1754" t="s">
        <v>8878</v>
      </c>
    </row>
    <row r="1755" spans="1:33" hidden="1" x14ac:dyDescent="0.25">
      <c r="A1755">
        <v>26846</v>
      </c>
      <c r="B1755" t="s">
        <v>32</v>
      </c>
      <c r="C1755">
        <v>2</v>
      </c>
      <c r="D1755" t="s">
        <v>8879</v>
      </c>
      <c r="E1755" t="s">
        <v>70</v>
      </c>
      <c r="F1755" t="s">
        <v>33</v>
      </c>
      <c r="G1755" t="s">
        <v>71</v>
      </c>
      <c r="H1755" t="s">
        <v>72</v>
      </c>
      <c r="I1755" t="s">
        <v>8880</v>
      </c>
      <c r="J1755" t="s">
        <v>8881</v>
      </c>
      <c r="K1755" t="s">
        <v>36</v>
      </c>
      <c r="L1755" t="s">
        <v>33</v>
      </c>
      <c r="O1755" t="s">
        <v>76</v>
      </c>
      <c r="R1755" t="s">
        <v>8875</v>
      </c>
      <c r="S1755">
        <v>50</v>
      </c>
      <c r="T1755" t="s">
        <v>40</v>
      </c>
      <c r="U1755">
        <f>+IF(Tabla1[[#This Row],[MONEDA]]="PEN",Tabla1[[#This Row],[MONTO]],Tabla1[[#This Row],[MONTO]]*3.56)</f>
        <v>50</v>
      </c>
      <c r="V1755" t="s">
        <v>190</v>
      </c>
      <c r="W1755">
        <v>26301</v>
      </c>
      <c r="X1755" t="s">
        <v>81</v>
      </c>
      <c r="Y1755" t="s">
        <v>42</v>
      </c>
      <c r="Z1755" t="s">
        <v>43</v>
      </c>
      <c r="AA1755" t="s">
        <v>8882</v>
      </c>
      <c r="AC1755" t="s">
        <v>8883</v>
      </c>
      <c r="AD1755" t="s">
        <v>8884</v>
      </c>
    </row>
    <row r="1756" spans="1:33" hidden="1" x14ac:dyDescent="0.25">
      <c r="A1756">
        <v>26812</v>
      </c>
      <c r="B1756" t="s">
        <v>32</v>
      </c>
      <c r="C1756">
        <v>2</v>
      </c>
      <c r="D1756" t="s">
        <v>9010</v>
      </c>
      <c r="E1756" t="s">
        <v>70</v>
      </c>
      <c r="F1756" t="s">
        <v>33</v>
      </c>
      <c r="G1756" t="s">
        <v>71</v>
      </c>
      <c r="H1756" t="s">
        <v>72</v>
      </c>
      <c r="I1756" t="s">
        <v>9011</v>
      </c>
      <c r="J1756" t="s">
        <v>9017</v>
      </c>
      <c r="K1756" t="s">
        <v>36</v>
      </c>
      <c r="L1756" t="s">
        <v>33</v>
      </c>
      <c r="O1756" t="s">
        <v>76</v>
      </c>
      <c r="R1756" t="s">
        <v>9018</v>
      </c>
      <c r="S1756">
        <v>33</v>
      </c>
      <c r="T1756" t="s">
        <v>40</v>
      </c>
      <c r="U1756">
        <f>+IF(Tabla1[[#This Row],[MONEDA]]="PEN",Tabla1[[#This Row],[MONTO]],Tabla1[[#This Row],[MONTO]]*3.56)</f>
        <v>33</v>
      </c>
      <c r="V1756" t="s">
        <v>190</v>
      </c>
      <c r="W1756">
        <v>26301</v>
      </c>
      <c r="X1756" t="s">
        <v>81</v>
      </c>
      <c r="Y1756" t="s">
        <v>42</v>
      </c>
      <c r="Z1756" t="s">
        <v>43</v>
      </c>
      <c r="AA1756" t="s">
        <v>9019</v>
      </c>
      <c r="AC1756" t="s">
        <v>9020</v>
      </c>
      <c r="AD1756" t="s">
        <v>9021</v>
      </c>
    </row>
    <row r="1757" spans="1:33" hidden="1" x14ac:dyDescent="0.25">
      <c r="A1757">
        <v>26813</v>
      </c>
      <c r="B1757" t="s">
        <v>32</v>
      </c>
      <c r="C1757">
        <v>2</v>
      </c>
      <c r="D1757" t="s">
        <v>9010</v>
      </c>
      <c r="E1757" t="s">
        <v>70</v>
      </c>
      <c r="F1757" t="s">
        <v>33</v>
      </c>
      <c r="G1757" t="s">
        <v>71</v>
      </c>
      <c r="H1757" t="s">
        <v>72</v>
      </c>
      <c r="I1757" t="s">
        <v>9011</v>
      </c>
      <c r="J1757" t="s">
        <v>9022</v>
      </c>
      <c r="K1757" t="s">
        <v>36</v>
      </c>
      <c r="L1757" t="s">
        <v>33</v>
      </c>
      <c r="O1757" t="s">
        <v>76</v>
      </c>
      <c r="R1757" t="s">
        <v>9023</v>
      </c>
      <c r="S1757">
        <v>50</v>
      </c>
      <c r="T1757" t="s">
        <v>40</v>
      </c>
      <c r="U1757">
        <f>+IF(Tabla1[[#This Row],[MONEDA]]="PEN",Tabla1[[#This Row],[MONTO]],Tabla1[[#This Row],[MONTO]]*3.56)</f>
        <v>50</v>
      </c>
      <c r="V1757" t="s">
        <v>190</v>
      </c>
      <c r="W1757">
        <v>26301</v>
      </c>
      <c r="X1757" t="s">
        <v>81</v>
      </c>
      <c r="Y1757" t="s">
        <v>42</v>
      </c>
      <c r="Z1757" t="s">
        <v>43</v>
      </c>
      <c r="AA1757" t="s">
        <v>9024</v>
      </c>
      <c r="AC1757" t="s">
        <v>9025</v>
      </c>
      <c r="AD1757" t="s">
        <v>9026</v>
      </c>
    </row>
    <row r="1758" spans="1:33" hidden="1" x14ac:dyDescent="0.25">
      <c r="A1758">
        <v>26814</v>
      </c>
      <c r="B1758" t="s">
        <v>32</v>
      </c>
      <c r="C1758">
        <v>2</v>
      </c>
      <c r="D1758" t="s">
        <v>9010</v>
      </c>
      <c r="E1758" t="s">
        <v>70</v>
      </c>
      <c r="F1758" t="s">
        <v>33</v>
      </c>
      <c r="G1758" t="s">
        <v>71</v>
      </c>
      <c r="H1758" t="s">
        <v>72</v>
      </c>
      <c r="I1758" t="s">
        <v>9011</v>
      </c>
      <c r="J1758" t="s">
        <v>9027</v>
      </c>
      <c r="K1758" t="s">
        <v>36</v>
      </c>
      <c r="L1758" t="s">
        <v>33</v>
      </c>
      <c r="O1758" t="s">
        <v>76</v>
      </c>
      <c r="R1758" t="s">
        <v>9028</v>
      </c>
      <c r="S1758">
        <v>40</v>
      </c>
      <c r="T1758" t="s">
        <v>40</v>
      </c>
      <c r="U1758">
        <f>+IF(Tabla1[[#This Row],[MONEDA]]="PEN",Tabla1[[#This Row],[MONTO]],Tabla1[[#This Row],[MONTO]]*3.56)</f>
        <v>40</v>
      </c>
      <c r="V1758" t="s">
        <v>190</v>
      </c>
      <c r="W1758">
        <v>26301</v>
      </c>
      <c r="X1758" t="s">
        <v>81</v>
      </c>
      <c r="Y1758" t="s">
        <v>42</v>
      </c>
      <c r="Z1758" t="s">
        <v>43</v>
      </c>
      <c r="AA1758" t="s">
        <v>9029</v>
      </c>
      <c r="AC1758" t="s">
        <v>9030</v>
      </c>
      <c r="AD1758" t="s">
        <v>9031</v>
      </c>
    </row>
    <row r="1759" spans="1:33" hidden="1" x14ac:dyDescent="0.25">
      <c r="A1759">
        <v>26815</v>
      </c>
      <c r="B1759" t="s">
        <v>32</v>
      </c>
      <c r="C1759">
        <v>2</v>
      </c>
      <c r="D1759" t="s">
        <v>9010</v>
      </c>
      <c r="E1759" t="s">
        <v>70</v>
      </c>
      <c r="F1759" t="s">
        <v>33</v>
      </c>
      <c r="G1759" t="s">
        <v>71</v>
      </c>
      <c r="H1759" t="s">
        <v>72</v>
      </c>
      <c r="I1759" t="s">
        <v>9011</v>
      </c>
      <c r="J1759" t="s">
        <v>9032</v>
      </c>
      <c r="K1759" t="s">
        <v>36</v>
      </c>
      <c r="L1759" t="s">
        <v>33</v>
      </c>
      <c r="O1759" t="s">
        <v>76</v>
      </c>
      <c r="R1759" t="s">
        <v>9033</v>
      </c>
      <c r="S1759">
        <v>25</v>
      </c>
      <c r="T1759" t="s">
        <v>40</v>
      </c>
      <c r="U1759">
        <f>+IF(Tabla1[[#This Row],[MONEDA]]="PEN",Tabla1[[#This Row],[MONTO]],Tabla1[[#This Row],[MONTO]]*3.56)</f>
        <v>25</v>
      </c>
      <c r="V1759" t="s">
        <v>190</v>
      </c>
      <c r="W1759">
        <v>26301</v>
      </c>
      <c r="X1759" t="s">
        <v>81</v>
      </c>
      <c r="Y1759" t="s">
        <v>42</v>
      </c>
      <c r="Z1759" t="s">
        <v>43</v>
      </c>
      <c r="AA1759" t="s">
        <v>8940</v>
      </c>
      <c r="AC1759" t="s">
        <v>9034</v>
      </c>
      <c r="AD1759" t="s">
        <v>9035</v>
      </c>
    </row>
    <row r="1760" spans="1:33" hidden="1" x14ac:dyDescent="0.25">
      <c r="A1760">
        <v>26810</v>
      </c>
      <c r="B1760" t="s">
        <v>32</v>
      </c>
      <c r="C1760">
        <v>2</v>
      </c>
      <c r="D1760" t="s">
        <v>9036</v>
      </c>
      <c r="E1760" t="s">
        <v>70</v>
      </c>
      <c r="F1760" t="s">
        <v>33</v>
      </c>
      <c r="G1760" t="s">
        <v>71</v>
      </c>
      <c r="H1760" t="s">
        <v>72</v>
      </c>
      <c r="I1760" t="s">
        <v>9037</v>
      </c>
      <c r="J1760" t="s">
        <v>9037</v>
      </c>
      <c r="K1760" t="s">
        <v>36</v>
      </c>
      <c r="L1760" t="s">
        <v>33</v>
      </c>
      <c r="O1760" t="s">
        <v>76</v>
      </c>
      <c r="R1760" t="s">
        <v>9038</v>
      </c>
      <c r="S1760">
        <v>65</v>
      </c>
      <c r="T1760" t="s">
        <v>40</v>
      </c>
      <c r="U1760">
        <f>+IF(Tabla1[[#This Row],[MONEDA]]="PEN",Tabla1[[#This Row],[MONTO]],Tabla1[[#This Row],[MONTO]]*3.56)</f>
        <v>65</v>
      </c>
      <c r="V1760" t="s">
        <v>190</v>
      </c>
      <c r="W1760">
        <v>26301</v>
      </c>
      <c r="X1760" t="s">
        <v>81</v>
      </c>
      <c r="Y1760" t="s">
        <v>42</v>
      </c>
      <c r="Z1760" t="s">
        <v>43</v>
      </c>
      <c r="AA1760" t="s">
        <v>9039</v>
      </c>
      <c r="AC1760" t="s">
        <v>9040</v>
      </c>
      <c r="AD1760" t="s">
        <v>9041</v>
      </c>
    </row>
    <row r="1761" spans="1:30" hidden="1" x14ac:dyDescent="0.25">
      <c r="A1761">
        <v>26781</v>
      </c>
      <c r="B1761" t="s">
        <v>32</v>
      </c>
      <c r="C1761">
        <v>1</v>
      </c>
      <c r="D1761" t="s">
        <v>9049</v>
      </c>
      <c r="E1761" t="s">
        <v>70</v>
      </c>
      <c r="F1761" t="s">
        <v>130</v>
      </c>
      <c r="G1761" t="s">
        <v>131</v>
      </c>
      <c r="H1761" t="s">
        <v>132</v>
      </c>
      <c r="I1761" t="s">
        <v>9050</v>
      </c>
      <c r="J1761" t="s">
        <v>9051</v>
      </c>
      <c r="K1761" t="s">
        <v>36</v>
      </c>
      <c r="L1761" t="s">
        <v>33</v>
      </c>
      <c r="R1761" t="s">
        <v>9052</v>
      </c>
      <c r="S1761">
        <v>29158.287</v>
      </c>
      <c r="T1761" t="s">
        <v>40</v>
      </c>
      <c r="U1761">
        <f>+IF(Tabla1[[#This Row],[MONEDA]]="PEN",Tabla1[[#This Row],[MONTO]],Tabla1[[#This Row],[MONTO]]*3.56)</f>
        <v>29158.287</v>
      </c>
      <c r="V1761" t="s">
        <v>190</v>
      </c>
      <c r="W1761">
        <v>26767</v>
      </c>
      <c r="X1761" t="s">
        <v>139</v>
      </c>
      <c r="Y1761" t="s">
        <v>51</v>
      </c>
      <c r="Z1761" t="s">
        <v>43</v>
      </c>
      <c r="AA1761" t="s">
        <v>9053</v>
      </c>
    </row>
    <row r="1762" spans="1:30" hidden="1" x14ac:dyDescent="0.25">
      <c r="A1762">
        <v>26740</v>
      </c>
      <c r="B1762" t="s">
        <v>32</v>
      </c>
      <c r="C1762">
        <v>1</v>
      </c>
      <c r="D1762" t="s">
        <v>9061</v>
      </c>
      <c r="E1762" t="s">
        <v>70</v>
      </c>
      <c r="F1762" t="s">
        <v>33</v>
      </c>
      <c r="G1762" t="s">
        <v>71</v>
      </c>
      <c r="H1762" t="s">
        <v>72</v>
      </c>
      <c r="I1762" t="s">
        <v>9062</v>
      </c>
      <c r="J1762" t="s">
        <v>9063</v>
      </c>
      <c r="K1762" t="s">
        <v>36</v>
      </c>
      <c r="L1762" t="s">
        <v>33</v>
      </c>
      <c r="O1762" t="s">
        <v>76</v>
      </c>
      <c r="R1762" t="s">
        <v>9064</v>
      </c>
      <c r="S1762">
        <v>18</v>
      </c>
      <c r="T1762" t="s">
        <v>40</v>
      </c>
      <c r="U1762">
        <f>+IF(Tabla1[[#This Row],[MONEDA]]="PEN",Tabla1[[#This Row],[MONTO]],Tabla1[[#This Row],[MONTO]]*3.56)</f>
        <v>18</v>
      </c>
      <c r="V1762" t="s">
        <v>190</v>
      </c>
      <c r="W1762">
        <v>25908</v>
      </c>
      <c r="X1762" t="s">
        <v>81</v>
      </c>
      <c r="Y1762" t="s">
        <v>42</v>
      </c>
      <c r="Z1762" t="s">
        <v>82</v>
      </c>
      <c r="AA1762" t="s">
        <v>9065</v>
      </c>
      <c r="AC1762" t="s">
        <v>9066</v>
      </c>
      <c r="AD1762" t="s">
        <v>9067</v>
      </c>
    </row>
    <row r="1763" spans="1:30" hidden="1" x14ac:dyDescent="0.25">
      <c r="A1763">
        <v>26739</v>
      </c>
      <c r="B1763" t="s">
        <v>32</v>
      </c>
      <c r="C1763">
        <v>1</v>
      </c>
      <c r="D1763" t="s">
        <v>9068</v>
      </c>
      <c r="E1763" t="s">
        <v>70</v>
      </c>
      <c r="F1763" t="s">
        <v>33</v>
      </c>
      <c r="G1763" t="s">
        <v>71</v>
      </c>
      <c r="H1763" t="s">
        <v>72</v>
      </c>
      <c r="I1763" t="s">
        <v>9069</v>
      </c>
      <c r="J1763" t="s">
        <v>9070</v>
      </c>
      <c r="K1763" t="s">
        <v>36</v>
      </c>
      <c r="L1763" t="s">
        <v>33</v>
      </c>
      <c r="O1763" t="s">
        <v>76</v>
      </c>
      <c r="R1763" t="s">
        <v>9071</v>
      </c>
      <c r="S1763">
        <v>19.899999999999999</v>
      </c>
      <c r="T1763" t="s">
        <v>40</v>
      </c>
      <c r="U1763">
        <f>+IF(Tabla1[[#This Row],[MONEDA]]="PEN",Tabla1[[#This Row],[MONTO]],Tabla1[[#This Row],[MONTO]]*3.56)</f>
        <v>19.899999999999999</v>
      </c>
      <c r="V1763" t="s">
        <v>190</v>
      </c>
      <c r="W1763">
        <v>25908</v>
      </c>
      <c r="X1763" t="s">
        <v>81</v>
      </c>
      <c r="Y1763" t="s">
        <v>42</v>
      </c>
      <c r="Z1763" t="s">
        <v>82</v>
      </c>
      <c r="AA1763" t="s">
        <v>9065</v>
      </c>
      <c r="AC1763" t="s">
        <v>9072</v>
      </c>
      <c r="AD1763" t="s">
        <v>9073</v>
      </c>
    </row>
    <row r="1764" spans="1:30" hidden="1" x14ac:dyDescent="0.25">
      <c r="A1764">
        <v>26737</v>
      </c>
      <c r="B1764" t="s">
        <v>32</v>
      </c>
      <c r="C1764">
        <v>1</v>
      </c>
      <c r="D1764" t="s">
        <v>9080</v>
      </c>
      <c r="E1764" t="s">
        <v>70</v>
      </c>
      <c r="F1764" t="s">
        <v>33</v>
      </c>
      <c r="G1764" t="s">
        <v>71</v>
      </c>
      <c r="H1764" t="s">
        <v>72</v>
      </c>
      <c r="I1764" t="s">
        <v>9081</v>
      </c>
      <c r="J1764" t="s">
        <v>9082</v>
      </c>
      <c r="K1764" t="s">
        <v>36</v>
      </c>
      <c r="L1764" t="s">
        <v>33</v>
      </c>
      <c r="O1764" t="s">
        <v>76</v>
      </c>
      <c r="R1764" t="s">
        <v>9083</v>
      </c>
      <c r="S1764">
        <v>26</v>
      </c>
      <c r="T1764" t="s">
        <v>40</v>
      </c>
      <c r="U1764">
        <f>+IF(Tabla1[[#This Row],[MONEDA]]="PEN",Tabla1[[#This Row],[MONTO]],Tabla1[[#This Row],[MONTO]]*3.56)</f>
        <v>26</v>
      </c>
      <c r="V1764" t="s">
        <v>190</v>
      </c>
      <c r="W1764">
        <v>25908</v>
      </c>
      <c r="X1764" t="s">
        <v>81</v>
      </c>
      <c r="Y1764" t="s">
        <v>42</v>
      </c>
      <c r="Z1764" t="s">
        <v>82</v>
      </c>
      <c r="AA1764" t="s">
        <v>9084</v>
      </c>
      <c r="AC1764" t="s">
        <v>9085</v>
      </c>
      <c r="AD1764" t="s">
        <v>9086</v>
      </c>
    </row>
    <row r="1765" spans="1:30" hidden="1" x14ac:dyDescent="0.25">
      <c r="A1765">
        <v>26736</v>
      </c>
      <c r="B1765" t="s">
        <v>32</v>
      </c>
      <c r="C1765">
        <v>1</v>
      </c>
      <c r="D1765" t="s">
        <v>9087</v>
      </c>
      <c r="E1765" t="s">
        <v>70</v>
      </c>
      <c r="F1765" t="s">
        <v>33</v>
      </c>
      <c r="G1765" t="s">
        <v>71</v>
      </c>
      <c r="H1765" t="s">
        <v>72</v>
      </c>
      <c r="I1765" t="s">
        <v>9088</v>
      </c>
      <c r="J1765" t="s">
        <v>9089</v>
      </c>
      <c r="K1765" t="s">
        <v>36</v>
      </c>
      <c r="L1765" t="s">
        <v>33</v>
      </c>
      <c r="O1765" t="s">
        <v>76</v>
      </c>
      <c r="R1765" t="s">
        <v>9090</v>
      </c>
      <c r="S1765">
        <v>50</v>
      </c>
      <c r="T1765" t="s">
        <v>40</v>
      </c>
      <c r="U1765">
        <f>+IF(Tabla1[[#This Row],[MONEDA]]="PEN",Tabla1[[#This Row],[MONTO]],Tabla1[[#This Row],[MONTO]]*3.56)</f>
        <v>50</v>
      </c>
      <c r="V1765" t="s">
        <v>190</v>
      </c>
      <c r="W1765">
        <v>25908</v>
      </c>
      <c r="X1765" t="s">
        <v>81</v>
      </c>
      <c r="Y1765" t="s">
        <v>42</v>
      </c>
      <c r="Z1765" t="s">
        <v>82</v>
      </c>
      <c r="AA1765" t="s">
        <v>9091</v>
      </c>
      <c r="AC1765" t="s">
        <v>9092</v>
      </c>
      <c r="AD1765" t="s">
        <v>9093</v>
      </c>
    </row>
    <row r="1766" spans="1:30" hidden="1" x14ac:dyDescent="0.25">
      <c r="A1766">
        <v>26734</v>
      </c>
      <c r="B1766" t="s">
        <v>32</v>
      </c>
      <c r="C1766">
        <v>1</v>
      </c>
      <c r="D1766" t="s">
        <v>9100</v>
      </c>
      <c r="E1766" t="s">
        <v>70</v>
      </c>
      <c r="F1766" t="s">
        <v>33</v>
      </c>
      <c r="G1766" t="s">
        <v>71</v>
      </c>
      <c r="H1766" t="s">
        <v>72</v>
      </c>
      <c r="I1766" t="s">
        <v>9101</v>
      </c>
      <c r="J1766" t="s">
        <v>9102</v>
      </c>
      <c r="K1766" t="s">
        <v>36</v>
      </c>
      <c r="L1766" t="s">
        <v>33</v>
      </c>
      <c r="O1766" t="s">
        <v>76</v>
      </c>
      <c r="R1766" t="s">
        <v>9103</v>
      </c>
      <c r="S1766">
        <v>67</v>
      </c>
      <c r="T1766" t="s">
        <v>40</v>
      </c>
      <c r="U1766">
        <f>+IF(Tabla1[[#This Row],[MONEDA]]="PEN",Tabla1[[#This Row],[MONTO]],Tabla1[[#This Row],[MONTO]]*3.56)</f>
        <v>67</v>
      </c>
      <c r="V1766" t="s">
        <v>190</v>
      </c>
      <c r="W1766">
        <v>25908</v>
      </c>
      <c r="X1766" t="s">
        <v>81</v>
      </c>
      <c r="Y1766" t="s">
        <v>42</v>
      </c>
      <c r="Z1766" t="s">
        <v>82</v>
      </c>
      <c r="AA1766" t="s">
        <v>9104</v>
      </c>
      <c r="AC1766" t="s">
        <v>9105</v>
      </c>
      <c r="AD1766" t="s">
        <v>9106</v>
      </c>
    </row>
    <row r="1767" spans="1:30" hidden="1" x14ac:dyDescent="0.25">
      <c r="A1767">
        <v>26733</v>
      </c>
      <c r="B1767" t="s">
        <v>32</v>
      </c>
      <c r="C1767">
        <v>1</v>
      </c>
      <c r="D1767" t="s">
        <v>9107</v>
      </c>
      <c r="E1767" t="s">
        <v>70</v>
      </c>
      <c r="F1767" t="s">
        <v>33</v>
      </c>
      <c r="G1767" t="s">
        <v>71</v>
      </c>
      <c r="H1767" t="s">
        <v>72</v>
      </c>
      <c r="I1767" t="s">
        <v>9108</v>
      </c>
      <c r="J1767" t="s">
        <v>9109</v>
      </c>
      <c r="K1767" t="s">
        <v>36</v>
      </c>
      <c r="L1767" t="s">
        <v>33</v>
      </c>
      <c r="O1767" t="s">
        <v>76</v>
      </c>
      <c r="R1767" t="s">
        <v>9103</v>
      </c>
      <c r="S1767">
        <v>40</v>
      </c>
      <c r="T1767" t="s">
        <v>40</v>
      </c>
      <c r="U1767">
        <f>+IF(Tabla1[[#This Row],[MONEDA]]="PEN",Tabla1[[#This Row],[MONTO]],Tabla1[[#This Row],[MONTO]]*3.56)</f>
        <v>40</v>
      </c>
      <c r="V1767" t="s">
        <v>190</v>
      </c>
      <c r="W1767">
        <v>25908</v>
      </c>
      <c r="X1767" t="s">
        <v>81</v>
      </c>
      <c r="Y1767" t="s">
        <v>42</v>
      </c>
      <c r="Z1767" t="s">
        <v>82</v>
      </c>
      <c r="AA1767" t="s">
        <v>9077</v>
      </c>
      <c r="AC1767" t="s">
        <v>9110</v>
      </c>
      <c r="AD1767" t="s">
        <v>9111</v>
      </c>
    </row>
    <row r="1768" spans="1:30" hidden="1" x14ac:dyDescent="0.25">
      <c r="A1768">
        <v>26732</v>
      </c>
      <c r="B1768" t="s">
        <v>32</v>
      </c>
      <c r="C1768">
        <v>1</v>
      </c>
      <c r="D1768" t="s">
        <v>9112</v>
      </c>
      <c r="E1768" t="s">
        <v>70</v>
      </c>
      <c r="F1768" t="s">
        <v>33</v>
      </c>
      <c r="G1768" t="s">
        <v>71</v>
      </c>
      <c r="H1768" t="s">
        <v>72</v>
      </c>
      <c r="I1768" t="s">
        <v>9113</v>
      </c>
      <c r="J1768" t="s">
        <v>9114</v>
      </c>
      <c r="K1768" t="s">
        <v>36</v>
      </c>
      <c r="L1768" t="s">
        <v>33</v>
      </c>
      <c r="O1768" t="s">
        <v>76</v>
      </c>
      <c r="R1768" t="s">
        <v>8842</v>
      </c>
      <c r="S1768">
        <v>20</v>
      </c>
      <c r="T1768" t="s">
        <v>40</v>
      </c>
      <c r="U1768">
        <f>+IF(Tabla1[[#This Row],[MONEDA]]="PEN",Tabla1[[#This Row],[MONTO]],Tabla1[[#This Row],[MONTO]]*3.56)</f>
        <v>20</v>
      </c>
      <c r="V1768" t="s">
        <v>190</v>
      </c>
      <c r="W1768">
        <v>25908</v>
      </c>
      <c r="X1768" t="s">
        <v>81</v>
      </c>
      <c r="Y1768" t="s">
        <v>42</v>
      </c>
      <c r="Z1768" t="s">
        <v>82</v>
      </c>
      <c r="AA1768" t="s">
        <v>9115</v>
      </c>
      <c r="AC1768" t="s">
        <v>9116</v>
      </c>
      <c r="AD1768" t="s">
        <v>9117</v>
      </c>
    </row>
    <row r="1769" spans="1:30" hidden="1" x14ac:dyDescent="0.25">
      <c r="A1769">
        <v>26731</v>
      </c>
      <c r="B1769" t="s">
        <v>32</v>
      </c>
      <c r="C1769">
        <v>1</v>
      </c>
      <c r="D1769" t="s">
        <v>9118</v>
      </c>
      <c r="E1769" t="s">
        <v>70</v>
      </c>
      <c r="F1769" t="s">
        <v>33</v>
      </c>
      <c r="G1769" t="s">
        <v>71</v>
      </c>
      <c r="H1769" t="s">
        <v>72</v>
      </c>
      <c r="I1769" t="s">
        <v>9119</v>
      </c>
      <c r="J1769" t="s">
        <v>9120</v>
      </c>
      <c r="K1769" t="s">
        <v>36</v>
      </c>
      <c r="L1769" t="s">
        <v>33</v>
      </c>
      <c r="O1769" t="s">
        <v>76</v>
      </c>
      <c r="R1769" t="s">
        <v>9121</v>
      </c>
      <c r="S1769">
        <v>40</v>
      </c>
      <c r="T1769" t="s">
        <v>40</v>
      </c>
      <c r="U1769">
        <f>+IF(Tabla1[[#This Row],[MONEDA]]="PEN",Tabla1[[#This Row],[MONTO]],Tabla1[[#This Row],[MONTO]]*3.56)</f>
        <v>40</v>
      </c>
      <c r="V1769" t="s">
        <v>190</v>
      </c>
      <c r="W1769">
        <v>25908</v>
      </c>
      <c r="X1769" t="s">
        <v>81</v>
      </c>
      <c r="Y1769" t="s">
        <v>42</v>
      </c>
      <c r="Z1769" t="s">
        <v>82</v>
      </c>
      <c r="AA1769" t="s">
        <v>9122</v>
      </c>
      <c r="AC1769" t="s">
        <v>9123</v>
      </c>
      <c r="AD1769" t="s">
        <v>9124</v>
      </c>
    </row>
    <row r="1770" spans="1:30" hidden="1" x14ac:dyDescent="0.25">
      <c r="A1770">
        <v>26724</v>
      </c>
      <c r="B1770" t="s">
        <v>32</v>
      </c>
      <c r="C1770">
        <v>1</v>
      </c>
      <c r="D1770" t="s">
        <v>9165</v>
      </c>
      <c r="E1770" t="s">
        <v>70</v>
      </c>
      <c r="F1770" t="s">
        <v>33</v>
      </c>
      <c r="G1770" t="s">
        <v>71</v>
      </c>
      <c r="H1770" t="s">
        <v>72</v>
      </c>
      <c r="I1770" t="s">
        <v>9166</v>
      </c>
      <c r="J1770" t="s">
        <v>9167</v>
      </c>
      <c r="K1770" t="s">
        <v>36</v>
      </c>
      <c r="L1770" t="s">
        <v>33</v>
      </c>
      <c r="O1770" t="s">
        <v>76</v>
      </c>
      <c r="R1770" t="s">
        <v>9168</v>
      </c>
      <c r="S1770">
        <v>90</v>
      </c>
      <c r="T1770" t="s">
        <v>40</v>
      </c>
      <c r="U1770">
        <f>+IF(Tabla1[[#This Row],[MONEDA]]="PEN",Tabla1[[#This Row],[MONTO]],Tabla1[[#This Row],[MONTO]]*3.56)</f>
        <v>90</v>
      </c>
      <c r="V1770" t="s">
        <v>190</v>
      </c>
      <c r="W1770">
        <v>25908</v>
      </c>
      <c r="X1770" t="s">
        <v>81</v>
      </c>
      <c r="Y1770" t="s">
        <v>42</v>
      </c>
      <c r="Z1770" t="s">
        <v>43</v>
      </c>
      <c r="AA1770" t="s">
        <v>9169</v>
      </c>
      <c r="AC1770" t="s">
        <v>9170</v>
      </c>
      <c r="AD1770" t="s">
        <v>9171</v>
      </c>
    </row>
    <row r="1771" spans="1:30" hidden="1" x14ac:dyDescent="0.25">
      <c r="A1771">
        <v>26717</v>
      </c>
      <c r="B1771" t="s">
        <v>32</v>
      </c>
      <c r="C1771">
        <v>1</v>
      </c>
      <c r="D1771" t="s">
        <v>9172</v>
      </c>
      <c r="E1771" t="s">
        <v>70</v>
      </c>
      <c r="F1771" t="s">
        <v>33</v>
      </c>
      <c r="G1771" t="s">
        <v>71</v>
      </c>
      <c r="H1771" t="s">
        <v>72</v>
      </c>
      <c r="I1771" t="s">
        <v>9173</v>
      </c>
      <c r="J1771" t="s">
        <v>9174</v>
      </c>
      <c r="K1771" t="s">
        <v>36</v>
      </c>
      <c r="L1771" t="s">
        <v>33</v>
      </c>
      <c r="O1771" t="s">
        <v>76</v>
      </c>
      <c r="R1771" t="s">
        <v>9175</v>
      </c>
      <c r="S1771">
        <v>125</v>
      </c>
      <c r="T1771" t="s">
        <v>40</v>
      </c>
      <c r="U1771">
        <f>+IF(Tabla1[[#This Row],[MONEDA]]="PEN",Tabla1[[#This Row],[MONTO]],Tabla1[[#This Row],[MONTO]]*3.56)</f>
        <v>125</v>
      </c>
      <c r="V1771" t="s">
        <v>190</v>
      </c>
      <c r="W1771">
        <v>25908</v>
      </c>
      <c r="X1771" t="s">
        <v>81</v>
      </c>
      <c r="Y1771" t="s">
        <v>42</v>
      </c>
      <c r="Z1771" t="s">
        <v>82</v>
      </c>
      <c r="AA1771" t="s">
        <v>9176</v>
      </c>
      <c r="AC1771" t="s">
        <v>9177</v>
      </c>
      <c r="AD1771" t="s">
        <v>9178</v>
      </c>
    </row>
    <row r="1772" spans="1:30" hidden="1" x14ac:dyDescent="0.25">
      <c r="A1772">
        <v>26718</v>
      </c>
      <c r="B1772" t="s">
        <v>32</v>
      </c>
      <c r="C1772">
        <v>1</v>
      </c>
      <c r="D1772" t="s">
        <v>9172</v>
      </c>
      <c r="E1772" t="s">
        <v>70</v>
      </c>
      <c r="F1772" t="s">
        <v>33</v>
      </c>
      <c r="G1772" t="s">
        <v>71</v>
      </c>
      <c r="H1772" t="s">
        <v>72</v>
      </c>
      <c r="I1772" t="s">
        <v>9173</v>
      </c>
      <c r="J1772" t="s">
        <v>9179</v>
      </c>
      <c r="K1772" t="s">
        <v>36</v>
      </c>
      <c r="L1772" t="s">
        <v>33</v>
      </c>
      <c r="O1772" t="s">
        <v>76</v>
      </c>
      <c r="R1772" t="s">
        <v>9180</v>
      </c>
      <c r="S1772">
        <v>200</v>
      </c>
      <c r="T1772" t="s">
        <v>40</v>
      </c>
      <c r="U1772">
        <f>+IF(Tabla1[[#This Row],[MONEDA]]="PEN",Tabla1[[#This Row],[MONTO]],Tabla1[[#This Row],[MONTO]]*3.56)</f>
        <v>200</v>
      </c>
      <c r="V1772" t="s">
        <v>190</v>
      </c>
      <c r="W1772">
        <v>25908</v>
      </c>
      <c r="X1772" t="s">
        <v>81</v>
      </c>
      <c r="Y1772" t="s">
        <v>42</v>
      </c>
      <c r="Z1772" t="s">
        <v>82</v>
      </c>
      <c r="AA1772" t="s">
        <v>9181</v>
      </c>
      <c r="AC1772" t="s">
        <v>9182</v>
      </c>
      <c r="AD1772" t="s">
        <v>9183</v>
      </c>
    </row>
    <row r="1773" spans="1:30" hidden="1" x14ac:dyDescent="0.25">
      <c r="A1773">
        <v>26720</v>
      </c>
      <c r="B1773" t="s">
        <v>32</v>
      </c>
      <c r="C1773">
        <v>1</v>
      </c>
      <c r="D1773" t="s">
        <v>9172</v>
      </c>
      <c r="E1773" t="s">
        <v>70</v>
      </c>
      <c r="F1773" t="s">
        <v>33</v>
      </c>
      <c r="G1773" t="s">
        <v>71</v>
      </c>
      <c r="H1773" t="s">
        <v>72</v>
      </c>
      <c r="I1773" t="s">
        <v>9173</v>
      </c>
      <c r="J1773" t="s">
        <v>9189</v>
      </c>
      <c r="K1773" t="s">
        <v>36</v>
      </c>
      <c r="L1773" t="s">
        <v>33</v>
      </c>
      <c r="O1773" t="s">
        <v>76</v>
      </c>
      <c r="R1773" t="s">
        <v>9175</v>
      </c>
      <c r="S1773">
        <v>100</v>
      </c>
      <c r="T1773" t="s">
        <v>40</v>
      </c>
      <c r="U1773">
        <f>+IF(Tabla1[[#This Row],[MONEDA]]="PEN",Tabla1[[#This Row],[MONTO]],Tabla1[[#This Row],[MONTO]]*3.56)</f>
        <v>100</v>
      </c>
      <c r="V1773" t="s">
        <v>190</v>
      </c>
      <c r="W1773">
        <v>25908</v>
      </c>
      <c r="X1773" t="s">
        <v>81</v>
      </c>
      <c r="Y1773" t="s">
        <v>42</v>
      </c>
      <c r="Z1773" t="s">
        <v>82</v>
      </c>
      <c r="AA1773" t="s">
        <v>9122</v>
      </c>
      <c r="AC1773" t="s">
        <v>9190</v>
      </c>
      <c r="AD1773" t="s">
        <v>9191</v>
      </c>
    </row>
    <row r="1774" spans="1:30" hidden="1" x14ac:dyDescent="0.25">
      <c r="A1774">
        <v>26721</v>
      </c>
      <c r="B1774" t="s">
        <v>32</v>
      </c>
      <c r="C1774">
        <v>1</v>
      </c>
      <c r="D1774" t="s">
        <v>9172</v>
      </c>
      <c r="E1774" t="s">
        <v>70</v>
      </c>
      <c r="F1774" t="s">
        <v>33</v>
      </c>
      <c r="G1774" t="s">
        <v>71</v>
      </c>
      <c r="H1774" t="s">
        <v>72</v>
      </c>
      <c r="I1774" t="s">
        <v>9173</v>
      </c>
      <c r="J1774" t="s">
        <v>9192</v>
      </c>
      <c r="K1774" t="s">
        <v>36</v>
      </c>
      <c r="L1774" t="s">
        <v>33</v>
      </c>
      <c r="O1774" t="s">
        <v>76</v>
      </c>
      <c r="R1774" t="s">
        <v>9193</v>
      </c>
      <c r="S1774">
        <v>100</v>
      </c>
      <c r="T1774" t="s">
        <v>40</v>
      </c>
      <c r="U1774">
        <f>+IF(Tabla1[[#This Row],[MONEDA]]="PEN",Tabla1[[#This Row],[MONTO]],Tabla1[[#This Row],[MONTO]]*3.56)</f>
        <v>100</v>
      </c>
      <c r="V1774" t="s">
        <v>190</v>
      </c>
      <c r="W1774">
        <v>25908</v>
      </c>
      <c r="X1774" t="s">
        <v>81</v>
      </c>
      <c r="Y1774" t="s">
        <v>42</v>
      </c>
      <c r="Z1774" t="s">
        <v>82</v>
      </c>
      <c r="AA1774" t="s">
        <v>9194</v>
      </c>
      <c r="AC1774" t="s">
        <v>9195</v>
      </c>
      <c r="AD1774" t="s">
        <v>9196</v>
      </c>
    </row>
    <row r="1775" spans="1:30" hidden="1" x14ac:dyDescent="0.25">
      <c r="A1775">
        <v>26722</v>
      </c>
      <c r="B1775" t="s">
        <v>32</v>
      </c>
      <c r="C1775">
        <v>1</v>
      </c>
      <c r="D1775" t="s">
        <v>9172</v>
      </c>
      <c r="E1775" t="s">
        <v>70</v>
      </c>
      <c r="F1775" t="s">
        <v>33</v>
      </c>
      <c r="G1775" t="s">
        <v>71</v>
      </c>
      <c r="H1775" t="s">
        <v>72</v>
      </c>
      <c r="I1775" t="s">
        <v>9173</v>
      </c>
      <c r="J1775" t="s">
        <v>9197</v>
      </c>
      <c r="K1775" t="s">
        <v>36</v>
      </c>
      <c r="L1775" t="s">
        <v>33</v>
      </c>
      <c r="O1775" t="s">
        <v>76</v>
      </c>
      <c r="R1775" t="s">
        <v>9136</v>
      </c>
      <c r="S1775">
        <v>100</v>
      </c>
      <c r="T1775" t="s">
        <v>40</v>
      </c>
      <c r="U1775">
        <f>+IF(Tabla1[[#This Row],[MONEDA]]="PEN",Tabla1[[#This Row],[MONTO]],Tabla1[[#This Row],[MONTO]]*3.56)</f>
        <v>100</v>
      </c>
      <c r="V1775" t="s">
        <v>190</v>
      </c>
      <c r="W1775">
        <v>25908</v>
      </c>
      <c r="X1775" t="s">
        <v>81</v>
      </c>
      <c r="Y1775" t="s">
        <v>42</v>
      </c>
      <c r="Z1775" t="s">
        <v>82</v>
      </c>
      <c r="AA1775" t="s">
        <v>9194</v>
      </c>
      <c r="AC1775" t="s">
        <v>9198</v>
      </c>
      <c r="AD1775" t="s">
        <v>9199</v>
      </c>
    </row>
    <row r="1776" spans="1:30" hidden="1" x14ac:dyDescent="0.25">
      <c r="A1776">
        <v>26723</v>
      </c>
      <c r="B1776" t="s">
        <v>32</v>
      </c>
      <c r="C1776">
        <v>1</v>
      </c>
      <c r="D1776" t="s">
        <v>9172</v>
      </c>
      <c r="E1776" t="s">
        <v>70</v>
      </c>
      <c r="F1776" t="s">
        <v>33</v>
      </c>
      <c r="G1776" t="s">
        <v>71</v>
      </c>
      <c r="H1776" t="s">
        <v>72</v>
      </c>
      <c r="I1776" t="s">
        <v>9173</v>
      </c>
      <c r="J1776" t="s">
        <v>9200</v>
      </c>
      <c r="K1776" t="s">
        <v>36</v>
      </c>
      <c r="L1776" t="s">
        <v>33</v>
      </c>
      <c r="O1776" t="s">
        <v>76</v>
      </c>
      <c r="R1776" t="s">
        <v>9136</v>
      </c>
      <c r="S1776">
        <v>200</v>
      </c>
      <c r="T1776" t="s">
        <v>40</v>
      </c>
      <c r="U1776">
        <f>+IF(Tabla1[[#This Row],[MONEDA]]="PEN",Tabla1[[#This Row],[MONTO]],Tabla1[[#This Row],[MONTO]]*3.56)</f>
        <v>200</v>
      </c>
      <c r="V1776" t="s">
        <v>190</v>
      </c>
      <c r="W1776">
        <v>25908</v>
      </c>
      <c r="X1776" t="s">
        <v>81</v>
      </c>
      <c r="Y1776" t="s">
        <v>42</v>
      </c>
      <c r="Z1776" t="s">
        <v>82</v>
      </c>
      <c r="AA1776" t="s">
        <v>9181</v>
      </c>
      <c r="AC1776" t="s">
        <v>9201</v>
      </c>
      <c r="AD1776" t="s">
        <v>9202</v>
      </c>
    </row>
    <row r="1777" spans="1:33" hidden="1" x14ac:dyDescent="0.25">
      <c r="A1777">
        <v>26715</v>
      </c>
      <c r="B1777" t="s">
        <v>32</v>
      </c>
      <c r="C1777">
        <v>1</v>
      </c>
      <c r="D1777" t="s">
        <v>9210</v>
      </c>
      <c r="E1777" t="s">
        <v>70</v>
      </c>
      <c r="F1777" t="s">
        <v>33</v>
      </c>
      <c r="G1777" t="s">
        <v>71</v>
      </c>
      <c r="H1777" t="s">
        <v>72</v>
      </c>
      <c r="I1777" t="s">
        <v>9211</v>
      </c>
      <c r="J1777" t="s">
        <v>9211</v>
      </c>
      <c r="K1777" t="s">
        <v>36</v>
      </c>
      <c r="L1777" t="s">
        <v>33</v>
      </c>
      <c r="R1777" t="s">
        <v>9212</v>
      </c>
      <c r="S1777">
        <v>2.9</v>
      </c>
      <c r="T1777" t="s">
        <v>40</v>
      </c>
      <c r="U1777">
        <f>+IF(Tabla1[[#This Row],[MONEDA]]="PEN",Tabla1[[#This Row],[MONTO]],Tabla1[[#This Row],[MONTO]]*3.56)</f>
        <v>2.9</v>
      </c>
      <c r="V1777" t="s">
        <v>190</v>
      </c>
      <c r="W1777">
        <v>25256</v>
      </c>
      <c r="X1777" t="s">
        <v>41</v>
      </c>
      <c r="Y1777" t="s">
        <v>42</v>
      </c>
      <c r="Z1777" t="s">
        <v>43</v>
      </c>
      <c r="AA1777" t="s">
        <v>9213</v>
      </c>
      <c r="AC1777" t="s">
        <v>9214</v>
      </c>
    </row>
    <row r="1778" spans="1:33" hidden="1" x14ac:dyDescent="0.25">
      <c r="A1778">
        <v>26711</v>
      </c>
      <c r="B1778" t="s">
        <v>32</v>
      </c>
      <c r="C1778">
        <v>1</v>
      </c>
      <c r="D1778" t="s">
        <v>9221</v>
      </c>
      <c r="E1778" t="s">
        <v>70</v>
      </c>
      <c r="F1778" t="s">
        <v>33</v>
      </c>
      <c r="G1778" t="s">
        <v>71</v>
      </c>
      <c r="H1778" t="s">
        <v>72</v>
      </c>
      <c r="I1778" t="s">
        <v>9222</v>
      </c>
      <c r="J1778" t="s">
        <v>9223</v>
      </c>
      <c r="K1778" t="s">
        <v>36</v>
      </c>
      <c r="L1778" t="s">
        <v>33</v>
      </c>
      <c r="O1778" t="s">
        <v>76</v>
      </c>
      <c r="R1778" t="s">
        <v>9224</v>
      </c>
      <c r="S1778">
        <v>217.5</v>
      </c>
      <c r="T1778" t="s">
        <v>40</v>
      </c>
      <c r="U1778">
        <f>+IF(Tabla1[[#This Row],[MONEDA]]="PEN",Tabla1[[#This Row],[MONTO]],Tabla1[[#This Row],[MONTO]]*3.56)</f>
        <v>217.5</v>
      </c>
      <c r="V1778" t="s">
        <v>190</v>
      </c>
      <c r="W1778">
        <v>25256</v>
      </c>
      <c r="X1778" t="s">
        <v>81</v>
      </c>
      <c r="Y1778" t="s">
        <v>42</v>
      </c>
      <c r="Z1778" t="s">
        <v>82</v>
      </c>
      <c r="AA1778" t="s">
        <v>9225</v>
      </c>
      <c r="AC1778" t="s">
        <v>9226</v>
      </c>
      <c r="AD1778" t="s">
        <v>9227</v>
      </c>
    </row>
    <row r="1779" spans="1:33" hidden="1" x14ac:dyDescent="0.25">
      <c r="A1779">
        <v>26712</v>
      </c>
      <c r="B1779" t="s">
        <v>32</v>
      </c>
      <c r="C1779">
        <v>1</v>
      </c>
      <c r="D1779" t="s">
        <v>9221</v>
      </c>
      <c r="E1779" t="s">
        <v>70</v>
      </c>
      <c r="F1779" t="s">
        <v>33</v>
      </c>
      <c r="G1779" t="s">
        <v>71</v>
      </c>
      <c r="H1779" t="s">
        <v>72</v>
      </c>
      <c r="I1779" t="s">
        <v>9222</v>
      </c>
      <c r="J1779" t="s">
        <v>9228</v>
      </c>
      <c r="K1779" t="s">
        <v>36</v>
      </c>
      <c r="L1779" t="s">
        <v>33</v>
      </c>
      <c r="O1779" t="s">
        <v>76</v>
      </c>
      <c r="R1779" t="s">
        <v>9229</v>
      </c>
      <c r="S1779">
        <v>200</v>
      </c>
      <c r="T1779" t="s">
        <v>40</v>
      </c>
      <c r="U1779">
        <f>+IF(Tabla1[[#This Row],[MONEDA]]="PEN",Tabla1[[#This Row],[MONTO]],Tabla1[[#This Row],[MONTO]]*3.56)</f>
        <v>200</v>
      </c>
      <c r="V1779" t="s">
        <v>190</v>
      </c>
      <c r="W1779">
        <v>25256</v>
      </c>
      <c r="X1779" t="s">
        <v>81</v>
      </c>
      <c r="Y1779" t="s">
        <v>42</v>
      </c>
      <c r="Z1779" t="s">
        <v>43</v>
      </c>
      <c r="AA1779" t="s">
        <v>9225</v>
      </c>
      <c r="AC1779" t="s">
        <v>9230</v>
      </c>
      <c r="AD1779" t="s">
        <v>9231</v>
      </c>
    </row>
    <row r="1780" spans="1:33" hidden="1" x14ac:dyDescent="0.25">
      <c r="A1780">
        <v>26710</v>
      </c>
      <c r="B1780" t="s">
        <v>32</v>
      </c>
      <c r="C1780">
        <v>1</v>
      </c>
      <c r="D1780" t="s">
        <v>9237</v>
      </c>
      <c r="E1780" t="s">
        <v>70</v>
      </c>
      <c r="F1780" t="s">
        <v>33</v>
      </c>
      <c r="G1780" t="s">
        <v>71</v>
      </c>
      <c r="H1780" t="s">
        <v>72</v>
      </c>
      <c r="I1780" t="s">
        <v>9238</v>
      </c>
      <c r="J1780" t="s">
        <v>9239</v>
      </c>
      <c r="K1780" t="s">
        <v>36</v>
      </c>
      <c r="L1780" t="s">
        <v>33</v>
      </c>
      <c r="O1780" t="s">
        <v>76</v>
      </c>
      <c r="R1780" t="s">
        <v>9240</v>
      </c>
      <c r="S1780">
        <v>320</v>
      </c>
      <c r="T1780" t="s">
        <v>40</v>
      </c>
      <c r="U1780">
        <f>+IF(Tabla1[[#This Row],[MONEDA]]="PEN",Tabla1[[#This Row],[MONTO]],Tabla1[[#This Row],[MONTO]]*3.56)</f>
        <v>320</v>
      </c>
      <c r="V1780" t="s">
        <v>190</v>
      </c>
      <c r="W1780">
        <v>25256</v>
      </c>
      <c r="X1780" t="s">
        <v>81</v>
      </c>
      <c r="Y1780" t="s">
        <v>42</v>
      </c>
      <c r="Z1780" t="s">
        <v>82</v>
      </c>
      <c r="AA1780" t="s">
        <v>9241</v>
      </c>
      <c r="AC1780" t="s">
        <v>9242</v>
      </c>
      <c r="AD1780" t="s">
        <v>9243</v>
      </c>
    </row>
    <row r="1781" spans="1:33" hidden="1" x14ac:dyDescent="0.25">
      <c r="A1781">
        <v>26487</v>
      </c>
      <c r="B1781" t="s">
        <v>32</v>
      </c>
      <c r="C1781">
        <v>1</v>
      </c>
      <c r="D1781" t="s">
        <v>9244</v>
      </c>
      <c r="E1781" t="s">
        <v>70</v>
      </c>
      <c r="F1781" t="s">
        <v>33</v>
      </c>
      <c r="G1781" t="s">
        <v>71</v>
      </c>
      <c r="H1781" t="s">
        <v>72</v>
      </c>
      <c r="I1781" t="s">
        <v>9245</v>
      </c>
      <c r="J1781" t="s">
        <v>9245</v>
      </c>
      <c r="K1781" t="s">
        <v>36</v>
      </c>
      <c r="L1781" t="s">
        <v>33</v>
      </c>
      <c r="R1781" t="s">
        <v>9246</v>
      </c>
      <c r="S1781">
        <v>10.9</v>
      </c>
      <c r="T1781" t="s">
        <v>40</v>
      </c>
      <c r="U1781">
        <f>+IF(Tabla1[[#This Row],[MONEDA]]="PEN",Tabla1[[#This Row],[MONTO]],Tabla1[[#This Row],[MONTO]]*3.56)</f>
        <v>10.9</v>
      </c>
      <c r="V1781" t="s">
        <v>190</v>
      </c>
      <c r="W1781">
        <v>21787</v>
      </c>
      <c r="X1781" t="s">
        <v>41</v>
      </c>
      <c r="Y1781" t="s">
        <v>42</v>
      </c>
      <c r="Z1781" t="s">
        <v>43</v>
      </c>
      <c r="AA1781" t="s">
        <v>9247</v>
      </c>
      <c r="AC1781" t="s">
        <v>9248</v>
      </c>
    </row>
    <row r="1782" spans="1:33" hidden="1" x14ac:dyDescent="0.25">
      <c r="A1782">
        <v>26283</v>
      </c>
      <c r="B1782" t="s">
        <v>32</v>
      </c>
      <c r="C1782">
        <v>6</v>
      </c>
      <c r="D1782" t="s">
        <v>9374</v>
      </c>
      <c r="E1782" t="s">
        <v>70</v>
      </c>
      <c r="F1782" t="s">
        <v>130</v>
      </c>
      <c r="G1782" t="s">
        <v>131</v>
      </c>
      <c r="H1782" t="s">
        <v>132</v>
      </c>
      <c r="I1782" t="s">
        <v>9375</v>
      </c>
      <c r="J1782" t="s">
        <v>9376</v>
      </c>
      <c r="K1782" t="s">
        <v>36</v>
      </c>
      <c r="L1782" t="s">
        <v>33</v>
      </c>
      <c r="R1782" t="s">
        <v>9377</v>
      </c>
      <c r="S1782">
        <v>3642.8359999999998</v>
      </c>
      <c r="T1782" t="s">
        <v>40</v>
      </c>
      <c r="U1782">
        <f>+IF(Tabla1[[#This Row],[MONEDA]]="PEN",Tabla1[[#This Row],[MONTO]],Tabla1[[#This Row],[MONTO]]*3.56)</f>
        <v>3642.8359999999998</v>
      </c>
      <c r="V1782" t="s">
        <v>190</v>
      </c>
      <c r="W1782">
        <v>25694</v>
      </c>
      <c r="X1782" t="s">
        <v>139</v>
      </c>
      <c r="Y1782" t="s">
        <v>42</v>
      </c>
      <c r="Z1782" t="s">
        <v>511</v>
      </c>
      <c r="AA1782" t="s">
        <v>9378</v>
      </c>
    </row>
    <row r="1783" spans="1:33" hidden="1" x14ac:dyDescent="0.25">
      <c r="A1783">
        <v>26258</v>
      </c>
      <c r="B1783" t="s">
        <v>32</v>
      </c>
      <c r="C1783">
        <v>1</v>
      </c>
      <c r="D1783" t="s">
        <v>9379</v>
      </c>
      <c r="E1783" t="s">
        <v>70</v>
      </c>
      <c r="F1783" t="s">
        <v>130</v>
      </c>
      <c r="G1783" t="s">
        <v>131</v>
      </c>
      <c r="H1783" t="s">
        <v>132</v>
      </c>
      <c r="I1783" t="s">
        <v>9380</v>
      </c>
      <c r="J1783" t="s">
        <v>9381</v>
      </c>
      <c r="K1783" t="s">
        <v>36</v>
      </c>
      <c r="L1783" t="s">
        <v>33</v>
      </c>
      <c r="R1783" t="s">
        <v>9382</v>
      </c>
      <c r="S1783">
        <v>11012.43</v>
      </c>
      <c r="T1783" t="s">
        <v>40</v>
      </c>
      <c r="U1783">
        <f>+IF(Tabla1[[#This Row],[MONEDA]]="PEN",Tabla1[[#This Row],[MONTO]],Tabla1[[#This Row],[MONTO]]*3.56)</f>
        <v>11012.43</v>
      </c>
      <c r="V1783" t="s">
        <v>190</v>
      </c>
      <c r="W1783">
        <v>25692</v>
      </c>
      <c r="X1783" t="s">
        <v>139</v>
      </c>
      <c r="Y1783" t="s">
        <v>42</v>
      </c>
      <c r="Z1783" t="s">
        <v>511</v>
      </c>
      <c r="AA1783" t="s">
        <v>9383</v>
      </c>
    </row>
    <row r="1784" spans="1:33" hidden="1" x14ac:dyDescent="0.25">
      <c r="A1784">
        <v>26230</v>
      </c>
      <c r="B1784" t="s">
        <v>32</v>
      </c>
      <c r="C1784">
        <v>1</v>
      </c>
      <c r="D1784" t="s">
        <v>9392</v>
      </c>
      <c r="E1784" t="s">
        <v>70</v>
      </c>
      <c r="F1784" t="s">
        <v>130</v>
      </c>
      <c r="G1784" t="s">
        <v>131</v>
      </c>
      <c r="H1784" t="s">
        <v>132</v>
      </c>
      <c r="I1784" t="s">
        <v>9393</v>
      </c>
      <c r="J1784" t="s">
        <v>9394</v>
      </c>
      <c r="K1784" t="s">
        <v>36</v>
      </c>
      <c r="L1784" t="s">
        <v>33</v>
      </c>
      <c r="R1784" t="s">
        <v>9395</v>
      </c>
      <c r="S1784">
        <v>2083.38</v>
      </c>
      <c r="T1784" t="s">
        <v>40</v>
      </c>
      <c r="U1784">
        <f>+IF(Tabla1[[#This Row],[MONEDA]]="PEN",Tabla1[[#This Row],[MONTO]],Tabla1[[#This Row],[MONTO]]*3.56)</f>
        <v>2083.38</v>
      </c>
      <c r="V1784" t="s">
        <v>190</v>
      </c>
      <c r="W1784">
        <v>25691</v>
      </c>
      <c r="X1784" t="s">
        <v>139</v>
      </c>
      <c r="Y1784" t="s">
        <v>42</v>
      </c>
      <c r="Z1784" t="s">
        <v>511</v>
      </c>
      <c r="AA1784" t="s">
        <v>9396</v>
      </c>
    </row>
    <row r="1785" spans="1:33" hidden="1" x14ac:dyDescent="0.25">
      <c r="A1785">
        <v>26209</v>
      </c>
      <c r="B1785" t="s">
        <v>32</v>
      </c>
      <c r="C1785">
        <v>1</v>
      </c>
      <c r="D1785" t="s">
        <v>9397</v>
      </c>
      <c r="E1785" t="s">
        <v>70</v>
      </c>
      <c r="F1785" t="s">
        <v>130</v>
      </c>
      <c r="G1785" t="s">
        <v>131</v>
      </c>
      <c r="H1785" t="s">
        <v>132</v>
      </c>
      <c r="I1785" t="s">
        <v>9398</v>
      </c>
      <c r="J1785" t="s">
        <v>9399</v>
      </c>
      <c r="K1785" t="s">
        <v>36</v>
      </c>
      <c r="L1785" t="s">
        <v>33</v>
      </c>
      <c r="R1785" t="s">
        <v>9400</v>
      </c>
      <c r="S1785">
        <v>12487.03</v>
      </c>
      <c r="T1785" t="s">
        <v>40</v>
      </c>
      <c r="U1785">
        <f>+IF(Tabla1[[#This Row],[MONEDA]]="PEN",Tabla1[[#This Row],[MONTO]],Tabla1[[#This Row],[MONTO]]*3.56)</f>
        <v>12487.03</v>
      </c>
      <c r="V1785" t="s">
        <v>190</v>
      </c>
      <c r="W1785">
        <v>25690</v>
      </c>
      <c r="X1785" t="s">
        <v>139</v>
      </c>
      <c r="Y1785" t="s">
        <v>42</v>
      </c>
      <c r="Z1785" t="s">
        <v>511</v>
      </c>
      <c r="AA1785" t="s">
        <v>9401</v>
      </c>
    </row>
    <row r="1786" spans="1:33" x14ac:dyDescent="0.25">
      <c r="A1786">
        <v>26185</v>
      </c>
      <c r="B1786" t="s">
        <v>32</v>
      </c>
      <c r="C1786">
        <v>3</v>
      </c>
      <c r="D1786" t="s">
        <v>9402</v>
      </c>
      <c r="E1786" t="s">
        <v>70</v>
      </c>
      <c r="F1786" t="s">
        <v>130</v>
      </c>
      <c r="G1786" t="s">
        <v>132</v>
      </c>
      <c r="H1786" t="s">
        <v>132</v>
      </c>
      <c r="I1786" t="s">
        <v>9403</v>
      </c>
      <c r="J1786" t="s">
        <v>9403</v>
      </c>
      <c r="K1786" t="s">
        <v>36</v>
      </c>
      <c r="L1786" t="s">
        <v>33</v>
      </c>
      <c r="O1786" t="s">
        <v>9404</v>
      </c>
      <c r="P1786" t="s">
        <v>38</v>
      </c>
      <c r="Q1786">
        <v>54097945117084</v>
      </c>
      <c r="R1786" t="s">
        <v>9405</v>
      </c>
      <c r="S1786">
        <v>1224.17</v>
      </c>
      <c r="T1786" t="s">
        <v>40</v>
      </c>
      <c r="U1786">
        <f>+IF(Tabla1[[#This Row],[MONEDA]]="PEN",Tabla1[[#This Row],[MONTO]],Tabla1[[#This Row],[MONTO]]*3.56)</f>
        <v>1224.17</v>
      </c>
      <c r="X1786" t="s">
        <v>139</v>
      </c>
      <c r="Y1786" t="s">
        <v>42</v>
      </c>
      <c r="Z1786" t="s">
        <v>511</v>
      </c>
      <c r="AA1786" t="s">
        <v>9406</v>
      </c>
      <c r="AB1786" t="s">
        <v>9407</v>
      </c>
      <c r="AC1786" t="s">
        <v>9408</v>
      </c>
      <c r="AE1786">
        <v>1224.17</v>
      </c>
      <c r="AF1786" t="s">
        <v>87</v>
      </c>
      <c r="AG1786" t="s">
        <v>169</v>
      </c>
    </row>
    <row r="1787" spans="1:33" hidden="1" x14ac:dyDescent="0.25">
      <c r="A1787">
        <v>26183</v>
      </c>
      <c r="B1787" t="s">
        <v>32</v>
      </c>
      <c r="C1787">
        <v>1</v>
      </c>
      <c r="D1787" t="s">
        <v>9409</v>
      </c>
      <c r="E1787" t="s">
        <v>70</v>
      </c>
      <c r="F1787" t="s">
        <v>130</v>
      </c>
      <c r="G1787" t="s">
        <v>131</v>
      </c>
      <c r="H1787" t="s">
        <v>132</v>
      </c>
      <c r="I1787" t="s">
        <v>9410</v>
      </c>
      <c r="J1787" t="s">
        <v>9411</v>
      </c>
      <c r="K1787" t="s">
        <v>36</v>
      </c>
      <c r="L1787" t="s">
        <v>33</v>
      </c>
      <c r="R1787" t="s">
        <v>9412</v>
      </c>
      <c r="S1787">
        <v>103300.43</v>
      </c>
      <c r="T1787" t="s">
        <v>40</v>
      </c>
      <c r="U1787">
        <f>+IF(Tabla1[[#This Row],[MONEDA]]="PEN",Tabla1[[#This Row],[MONTO]],Tabla1[[#This Row],[MONTO]]*3.56)</f>
        <v>103300.43</v>
      </c>
      <c r="V1787" t="s">
        <v>190</v>
      </c>
      <c r="W1787">
        <v>25689</v>
      </c>
      <c r="X1787" t="s">
        <v>81</v>
      </c>
      <c r="Y1787" t="s">
        <v>42</v>
      </c>
      <c r="Z1787" t="s">
        <v>511</v>
      </c>
      <c r="AA1787" t="s">
        <v>9413</v>
      </c>
    </row>
    <row r="1788" spans="1:33" x14ac:dyDescent="0.25">
      <c r="A1788">
        <v>26069</v>
      </c>
      <c r="B1788" t="s">
        <v>32</v>
      </c>
      <c r="C1788">
        <v>3</v>
      </c>
      <c r="D1788" t="s">
        <v>9463</v>
      </c>
      <c r="E1788" t="s">
        <v>70</v>
      </c>
      <c r="F1788" t="s">
        <v>130</v>
      </c>
      <c r="G1788" t="s">
        <v>132</v>
      </c>
      <c r="H1788" t="s">
        <v>132</v>
      </c>
      <c r="I1788" t="s">
        <v>9464</v>
      </c>
      <c r="J1788" t="s">
        <v>9464</v>
      </c>
      <c r="K1788" t="s">
        <v>36</v>
      </c>
      <c r="L1788" t="s">
        <v>33</v>
      </c>
      <c r="O1788" t="s">
        <v>9427</v>
      </c>
      <c r="P1788" t="s">
        <v>38</v>
      </c>
      <c r="Q1788">
        <v>21595685003013</v>
      </c>
      <c r="R1788" t="s">
        <v>510</v>
      </c>
      <c r="S1788">
        <v>2597.98</v>
      </c>
      <c r="T1788" t="s">
        <v>40</v>
      </c>
      <c r="U1788">
        <f>+IF(Tabla1[[#This Row],[MONEDA]]="PEN",Tabla1[[#This Row],[MONTO]],Tabla1[[#This Row],[MONTO]]*3.56)</f>
        <v>2597.98</v>
      </c>
      <c r="X1788" t="s">
        <v>139</v>
      </c>
      <c r="Y1788" t="s">
        <v>42</v>
      </c>
      <c r="Z1788" t="s">
        <v>511</v>
      </c>
      <c r="AA1788" t="s">
        <v>9465</v>
      </c>
      <c r="AB1788" t="s">
        <v>9466</v>
      </c>
      <c r="AC1788" t="s">
        <v>9467</v>
      </c>
      <c r="AE1788">
        <v>2597.98</v>
      </c>
      <c r="AF1788" t="s">
        <v>87</v>
      </c>
      <c r="AG1788" t="s">
        <v>169</v>
      </c>
    </row>
    <row r="1789" spans="1:33" x14ac:dyDescent="0.25">
      <c r="A1789">
        <v>25846</v>
      </c>
      <c r="B1789" t="s">
        <v>32</v>
      </c>
      <c r="C1789">
        <v>1</v>
      </c>
      <c r="D1789" t="s">
        <v>9595</v>
      </c>
      <c r="E1789" t="s">
        <v>70</v>
      </c>
      <c r="F1789" t="s">
        <v>3256</v>
      </c>
      <c r="G1789" t="s">
        <v>3257</v>
      </c>
      <c r="H1789" t="s">
        <v>8233</v>
      </c>
      <c r="I1789" t="s">
        <v>9596</v>
      </c>
      <c r="J1789" t="s">
        <v>9597</v>
      </c>
      <c r="K1789" t="s">
        <v>36</v>
      </c>
      <c r="L1789" t="s">
        <v>33</v>
      </c>
      <c r="M1789">
        <v>20533151435</v>
      </c>
      <c r="P1789" t="s">
        <v>38</v>
      </c>
      <c r="Q1789" t="s">
        <v>163</v>
      </c>
      <c r="R1789" t="s">
        <v>9598</v>
      </c>
      <c r="S1789">
        <v>424.8</v>
      </c>
      <c r="T1789" t="s">
        <v>40</v>
      </c>
      <c r="U1789">
        <f>+IF(Tabla1[[#This Row],[MONEDA]]="PEN",Tabla1[[#This Row],[MONTO]],Tabla1[[#This Row],[MONTO]]*3.56)</f>
        <v>424.8</v>
      </c>
      <c r="X1789" t="s">
        <v>41</v>
      </c>
      <c r="Y1789" t="s">
        <v>42</v>
      </c>
      <c r="Z1789" t="s">
        <v>82</v>
      </c>
      <c r="AA1789" t="s">
        <v>9599</v>
      </c>
      <c r="AB1789" t="s">
        <v>9600</v>
      </c>
      <c r="AC1789" t="s">
        <v>9601</v>
      </c>
      <c r="AD1789" t="s">
        <v>9602</v>
      </c>
      <c r="AE1789">
        <v>424.8</v>
      </c>
      <c r="AF1789" t="s">
        <v>87</v>
      </c>
      <c r="AG1789" t="s">
        <v>169</v>
      </c>
    </row>
    <row r="1790" spans="1:33" x14ac:dyDescent="0.25">
      <c r="A1790">
        <v>25811</v>
      </c>
      <c r="B1790" t="s">
        <v>32</v>
      </c>
      <c r="C1790">
        <v>3</v>
      </c>
      <c r="D1790" t="s">
        <v>9603</v>
      </c>
      <c r="E1790" t="s">
        <v>70</v>
      </c>
      <c r="F1790" t="s">
        <v>130</v>
      </c>
      <c r="G1790" t="s">
        <v>132</v>
      </c>
      <c r="H1790" t="s">
        <v>132</v>
      </c>
      <c r="I1790" t="s">
        <v>9604</v>
      </c>
      <c r="J1790" t="s">
        <v>9604</v>
      </c>
      <c r="K1790" t="s">
        <v>36</v>
      </c>
      <c r="L1790" t="s">
        <v>33</v>
      </c>
      <c r="O1790" t="s">
        <v>6477</v>
      </c>
      <c r="P1790" t="s">
        <v>38</v>
      </c>
      <c r="Q1790" t="s">
        <v>6478</v>
      </c>
      <c r="R1790" t="s">
        <v>510</v>
      </c>
      <c r="S1790">
        <v>1042.42</v>
      </c>
      <c r="T1790" t="s">
        <v>40</v>
      </c>
      <c r="U1790">
        <f>+IF(Tabla1[[#This Row],[MONEDA]]="PEN",Tabla1[[#This Row],[MONTO]],Tabla1[[#This Row],[MONTO]]*3.56)</f>
        <v>1042.42</v>
      </c>
      <c r="X1790" t="s">
        <v>139</v>
      </c>
      <c r="Y1790" t="s">
        <v>42</v>
      </c>
      <c r="Z1790" t="s">
        <v>511</v>
      </c>
      <c r="AA1790" t="s">
        <v>9605</v>
      </c>
      <c r="AB1790" t="s">
        <v>9606</v>
      </c>
      <c r="AC1790" t="s">
        <v>9607</v>
      </c>
      <c r="AE1790">
        <v>1042.42</v>
      </c>
      <c r="AF1790" t="s">
        <v>87</v>
      </c>
      <c r="AG1790" t="s">
        <v>169</v>
      </c>
    </row>
    <row r="1791" spans="1:33" x14ac:dyDescent="0.25">
      <c r="A1791">
        <v>25649</v>
      </c>
      <c r="B1791" t="s">
        <v>32</v>
      </c>
      <c r="C1791">
        <v>1</v>
      </c>
      <c r="D1791" t="s">
        <v>9695</v>
      </c>
      <c r="E1791" t="s">
        <v>70</v>
      </c>
      <c r="F1791" t="s">
        <v>3256</v>
      </c>
      <c r="G1791" t="s">
        <v>3257</v>
      </c>
      <c r="H1791" t="s">
        <v>8233</v>
      </c>
      <c r="I1791" t="s">
        <v>9696</v>
      </c>
      <c r="J1791" t="s">
        <v>9697</v>
      </c>
      <c r="K1791" t="s">
        <v>36</v>
      </c>
      <c r="L1791" t="s">
        <v>33</v>
      </c>
      <c r="M1791">
        <v>20533151435</v>
      </c>
      <c r="P1791" t="s">
        <v>38</v>
      </c>
      <c r="Q1791" t="s">
        <v>163</v>
      </c>
      <c r="R1791" t="s">
        <v>9698</v>
      </c>
      <c r="S1791">
        <v>212.4</v>
      </c>
      <c r="T1791" t="s">
        <v>40</v>
      </c>
      <c r="U1791">
        <f>+IF(Tabla1[[#This Row],[MONEDA]]="PEN",Tabla1[[#This Row],[MONTO]],Tabla1[[#This Row],[MONTO]]*3.56)</f>
        <v>212.4</v>
      </c>
      <c r="X1791" t="s">
        <v>41</v>
      </c>
      <c r="Y1791" t="s">
        <v>42</v>
      </c>
      <c r="Z1791" t="s">
        <v>82</v>
      </c>
      <c r="AA1791" t="s">
        <v>9699</v>
      </c>
      <c r="AB1791" t="s">
        <v>9700</v>
      </c>
      <c r="AC1791" t="s">
        <v>9701</v>
      </c>
      <c r="AD1791" t="s">
        <v>9702</v>
      </c>
      <c r="AE1791">
        <v>212.4</v>
      </c>
      <c r="AF1791" t="s">
        <v>87</v>
      </c>
      <c r="AG1791" t="s">
        <v>169</v>
      </c>
    </row>
    <row r="1792" spans="1:33" x14ac:dyDescent="0.25">
      <c r="A1792">
        <v>25428</v>
      </c>
      <c r="B1792" t="s">
        <v>32</v>
      </c>
      <c r="C1792">
        <v>1</v>
      </c>
      <c r="D1792" t="s">
        <v>9759</v>
      </c>
      <c r="E1792" t="s">
        <v>70</v>
      </c>
      <c r="F1792" t="s">
        <v>3256</v>
      </c>
      <c r="G1792" t="s">
        <v>3257</v>
      </c>
      <c r="H1792" t="s">
        <v>8233</v>
      </c>
      <c r="I1792" t="s">
        <v>9760</v>
      </c>
      <c r="J1792" t="s">
        <v>9761</v>
      </c>
      <c r="K1792" t="s">
        <v>36</v>
      </c>
      <c r="L1792" t="s">
        <v>33</v>
      </c>
      <c r="M1792">
        <v>20533151435</v>
      </c>
      <c r="P1792" t="s">
        <v>38</v>
      </c>
      <c r="Q1792" t="s">
        <v>163</v>
      </c>
      <c r="R1792" t="s">
        <v>9762</v>
      </c>
      <c r="S1792">
        <v>441.32</v>
      </c>
      <c r="T1792" t="s">
        <v>40</v>
      </c>
      <c r="U1792">
        <f>+IF(Tabla1[[#This Row],[MONEDA]]="PEN",Tabla1[[#This Row],[MONTO]],Tabla1[[#This Row],[MONTO]]*3.56)</f>
        <v>441.32</v>
      </c>
      <c r="X1792" t="s">
        <v>41</v>
      </c>
      <c r="Y1792" t="s">
        <v>42</v>
      </c>
      <c r="Z1792" t="s">
        <v>82</v>
      </c>
      <c r="AA1792" t="s">
        <v>9763</v>
      </c>
      <c r="AB1792" t="s">
        <v>9764</v>
      </c>
      <c r="AC1792" t="s">
        <v>9765</v>
      </c>
      <c r="AD1792" t="s">
        <v>9766</v>
      </c>
      <c r="AE1792">
        <v>441.32</v>
      </c>
      <c r="AF1792" t="s">
        <v>87</v>
      </c>
      <c r="AG1792" t="s">
        <v>169</v>
      </c>
    </row>
    <row r="1793" spans="1:33" hidden="1" x14ac:dyDescent="0.25">
      <c r="A1793">
        <v>25418</v>
      </c>
      <c r="B1793" t="s">
        <v>32</v>
      </c>
      <c r="C1793">
        <v>1</v>
      </c>
      <c r="D1793" t="s">
        <v>9767</v>
      </c>
      <c r="E1793" t="s">
        <v>70</v>
      </c>
      <c r="F1793" t="s">
        <v>33</v>
      </c>
      <c r="G1793" t="s">
        <v>71</v>
      </c>
      <c r="H1793" t="s">
        <v>72</v>
      </c>
      <c r="I1793" t="s">
        <v>9768</v>
      </c>
      <c r="J1793" t="s">
        <v>9769</v>
      </c>
      <c r="K1793" t="s">
        <v>36</v>
      </c>
      <c r="L1793" t="s">
        <v>33</v>
      </c>
      <c r="O1793" t="s">
        <v>76</v>
      </c>
      <c r="R1793" t="s">
        <v>9770</v>
      </c>
      <c r="S1793">
        <v>20</v>
      </c>
      <c r="T1793" t="s">
        <v>40</v>
      </c>
      <c r="U1793">
        <f>+IF(Tabla1[[#This Row],[MONEDA]]="PEN",Tabla1[[#This Row],[MONTO]],Tabla1[[#This Row],[MONTO]]*3.56)</f>
        <v>20</v>
      </c>
      <c r="V1793" t="s">
        <v>190</v>
      </c>
      <c r="W1793">
        <v>25256</v>
      </c>
      <c r="X1793" t="s">
        <v>81</v>
      </c>
      <c r="Y1793" t="s">
        <v>42</v>
      </c>
      <c r="Z1793" t="s">
        <v>82</v>
      </c>
      <c r="AA1793" t="s">
        <v>9771</v>
      </c>
      <c r="AD1793" t="s">
        <v>9772</v>
      </c>
    </row>
    <row r="1794" spans="1:33" hidden="1" x14ac:dyDescent="0.25">
      <c r="A1794">
        <v>25415</v>
      </c>
      <c r="B1794" t="s">
        <v>32</v>
      </c>
      <c r="C1794">
        <v>1</v>
      </c>
      <c r="D1794" t="s">
        <v>9786</v>
      </c>
      <c r="E1794" t="s">
        <v>70</v>
      </c>
      <c r="F1794" t="s">
        <v>33</v>
      </c>
      <c r="G1794" t="s">
        <v>71</v>
      </c>
      <c r="H1794" t="s">
        <v>72</v>
      </c>
      <c r="I1794" t="s">
        <v>9787</v>
      </c>
      <c r="J1794" t="s">
        <v>9788</v>
      </c>
      <c r="K1794" t="s">
        <v>36</v>
      </c>
      <c r="L1794" t="s">
        <v>33</v>
      </c>
      <c r="O1794" t="s">
        <v>76</v>
      </c>
      <c r="R1794" t="s">
        <v>9789</v>
      </c>
      <c r="S1794">
        <v>60</v>
      </c>
      <c r="T1794" t="s">
        <v>40</v>
      </c>
      <c r="U1794">
        <f>+IF(Tabla1[[#This Row],[MONEDA]]="PEN",Tabla1[[#This Row],[MONTO]],Tabla1[[#This Row],[MONTO]]*3.56)</f>
        <v>60</v>
      </c>
      <c r="V1794" t="s">
        <v>190</v>
      </c>
      <c r="W1794">
        <v>25256</v>
      </c>
      <c r="X1794" t="s">
        <v>81</v>
      </c>
      <c r="Y1794" t="s">
        <v>42</v>
      </c>
      <c r="Z1794" t="s">
        <v>82</v>
      </c>
      <c r="AA1794" t="s">
        <v>9771</v>
      </c>
      <c r="AC1794" t="s">
        <v>9790</v>
      </c>
      <c r="AD1794" t="s">
        <v>9791</v>
      </c>
    </row>
    <row r="1795" spans="1:33" hidden="1" x14ac:dyDescent="0.25">
      <c r="A1795">
        <v>25396</v>
      </c>
      <c r="B1795" t="s">
        <v>32</v>
      </c>
      <c r="C1795">
        <v>1</v>
      </c>
      <c r="D1795" t="s">
        <v>9799</v>
      </c>
      <c r="E1795" t="s">
        <v>70</v>
      </c>
      <c r="F1795" t="s">
        <v>33</v>
      </c>
      <c r="G1795" t="s">
        <v>71</v>
      </c>
      <c r="H1795" t="s">
        <v>72</v>
      </c>
      <c r="I1795" t="s">
        <v>9800</v>
      </c>
      <c r="J1795" t="s">
        <v>9801</v>
      </c>
      <c r="K1795" t="s">
        <v>36</v>
      </c>
      <c r="L1795" t="s">
        <v>33</v>
      </c>
      <c r="O1795" t="s">
        <v>76</v>
      </c>
      <c r="R1795" t="s">
        <v>9802</v>
      </c>
      <c r="S1795">
        <v>25</v>
      </c>
      <c r="T1795" t="s">
        <v>40</v>
      </c>
      <c r="U1795">
        <f>+IF(Tabla1[[#This Row],[MONEDA]]="PEN",Tabla1[[#This Row],[MONTO]],Tabla1[[#This Row],[MONTO]]*3.56)</f>
        <v>25</v>
      </c>
      <c r="V1795" t="s">
        <v>190</v>
      </c>
      <c r="W1795">
        <v>25256</v>
      </c>
      <c r="X1795" t="s">
        <v>81</v>
      </c>
      <c r="Y1795" t="s">
        <v>42</v>
      </c>
      <c r="Z1795" t="s">
        <v>82</v>
      </c>
      <c r="AA1795" t="s">
        <v>9803</v>
      </c>
      <c r="AC1795" t="s">
        <v>9804</v>
      </c>
      <c r="AD1795" t="s">
        <v>9805</v>
      </c>
    </row>
    <row r="1796" spans="1:33" hidden="1" x14ac:dyDescent="0.25">
      <c r="A1796">
        <v>25388</v>
      </c>
      <c r="B1796" t="s">
        <v>32</v>
      </c>
      <c r="C1796">
        <v>1</v>
      </c>
      <c r="D1796" t="s">
        <v>9814</v>
      </c>
      <c r="E1796" t="s">
        <v>70</v>
      </c>
      <c r="F1796" t="s">
        <v>33</v>
      </c>
      <c r="G1796" t="s">
        <v>71</v>
      </c>
      <c r="H1796" t="s">
        <v>72</v>
      </c>
      <c r="I1796" t="s">
        <v>9815</v>
      </c>
      <c r="J1796" t="s">
        <v>9816</v>
      </c>
      <c r="K1796" t="s">
        <v>36</v>
      </c>
      <c r="L1796" t="s">
        <v>33</v>
      </c>
      <c r="O1796" t="s">
        <v>76</v>
      </c>
      <c r="R1796" t="s">
        <v>9817</v>
      </c>
      <c r="S1796">
        <v>85</v>
      </c>
      <c r="T1796" t="s">
        <v>40</v>
      </c>
      <c r="U1796">
        <f>+IF(Tabla1[[#This Row],[MONEDA]]="PEN",Tabla1[[#This Row],[MONTO]],Tabla1[[#This Row],[MONTO]]*3.56)</f>
        <v>85</v>
      </c>
      <c r="V1796" t="s">
        <v>190</v>
      </c>
      <c r="W1796">
        <v>25256</v>
      </c>
      <c r="X1796" t="s">
        <v>81</v>
      </c>
      <c r="Y1796" t="s">
        <v>42</v>
      </c>
      <c r="Z1796" t="s">
        <v>82</v>
      </c>
      <c r="AA1796" t="s">
        <v>9811</v>
      </c>
      <c r="AC1796" t="s">
        <v>9818</v>
      </c>
      <c r="AD1796" t="s">
        <v>9819</v>
      </c>
    </row>
    <row r="1797" spans="1:33" hidden="1" x14ac:dyDescent="0.25">
      <c r="A1797">
        <v>25385</v>
      </c>
      <c r="B1797" t="s">
        <v>32</v>
      </c>
      <c r="C1797">
        <v>1</v>
      </c>
      <c r="D1797" t="s">
        <v>9833</v>
      </c>
      <c r="E1797" t="s">
        <v>70</v>
      </c>
      <c r="F1797" t="s">
        <v>33</v>
      </c>
      <c r="G1797" t="s">
        <v>71</v>
      </c>
      <c r="H1797" t="s">
        <v>72</v>
      </c>
      <c r="I1797" t="s">
        <v>9834</v>
      </c>
      <c r="J1797" t="s">
        <v>9835</v>
      </c>
      <c r="K1797" t="s">
        <v>36</v>
      </c>
      <c r="L1797" t="s">
        <v>33</v>
      </c>
      <c r="O1797" t="s">
        <v>76</v>
      </c>
      <c r="R1797" t="s">
        <v>9836</v>
      </c>
      <c r="S1797">
        <v>20</v>
      </c>
      <c r="T1797" t="s">
        <v>40</v>
      </c>
      <c r="U1797">
        <f>+IF(Tabla1[[#This Row],[MONEDA]]="PEN",Tabla1[[#This Row],[MONTO]],Tabla1[[#This Row],[MONTO]]*3.56)</f>
        <v>20</v>
      </c>
      <c r="V1797" t="s">
        <v>190</v>
      </c>
      <c r="W1797">
        <v>25256</v>
      </c>
      <c r="X1797" t="s">
        <v>81</v>
      </c>
      <c r="Y1797" t="s">
        <v>42</v>
      </c>
      <c r="Z1797" t="s">
        <v>82</v>
      </c>
      <c r="AA1797" t="s">
        <v>9837</v>
      </c>
      <c r="AC1797" t="s">
        <v>9838</v>
      </c>
      <c r="AD1797" t="s">
        <v>9839</v>
      </c>
    </row>
    <row r="1798" spans="1:33" hidden="1" x14ac:dyDescent="0.25">
      <c r="A1798">
        <v>25380</v>
      </c>
      <c r="B1798" t="s">
        <v>32</v>
      </c>
      <c r="C1798">
        <v>1</v>
      </c>
      <c r="D1798" t="s">
        <v>9855</v>
      </c>
      <c r="E1798" t="s">
        <v>70</v>
      </c>
      <c r="F1798" t="s">
        <v>33</v>
      </c>
      <c r="G1798" t="s">
        <v>71</v>
      </c>
      <c r="H1798" t="s">
        <v>72</v>
      </c>
      <c r="I1798" t="s">
        <v>9856</v>
      </c>
      <c r="J1798" t="s">
        <v>9857</v>
      </c>
      <c r="K1798" t="s">
        <v>36</v>
      </c>
      <c r="L1798" t="s">
        <v>33</v>
      </c>
      <c r="O1798" t="s">
        <v>76</v>
      </c>
      <c r="R1798" t="s">
        <v>9858</v>
      </c>
      <c r="S1798">
        <v>200</v>
      </c>
      <c r="T1798" t="s">
        <v>40</v>
      </c>
      <c r="U1798">
        <f>+IF(Tabla1[[#This Row],[MONEDA]]="PEN",Tabla1[[#This Row],[MONTO]],Tabla1[[#This Row],[MONTO]]*3.56)</f>
        <v>200</v>
      </c>
      <c r="V1798" t="s">
        <v>190</v>
      </c>
      <c r="W1798">
        <v>25256</v>
      </c>
      <c r="X1798" t="s">
        <v>81</v>
      </c>
      <c r="Y1798" t="s">
        <v>42</v>
      </c>
      <c r="Z1798" t="s">
        <v>82</v>
      </c>
      <c r="AA1798" t="s">
        <v>9837</v>
      </c>
      <c r="AC1798" t="s">
        <v>9859</v>
      </c>
      <c r="AD1798" t="s">
        <v>9860</v>
      </c>
    </row>
    <row r="1799" spans="1:33" hidden="1" x14ac:dyDescent="0.25">
      <c r="A1799">
        <v>25371</v>
      </c>
      <c r="B1799" t="s">
        <v>32</v>
      </c>
      <c r="C1799">
        <v>1</v>
      </c>
      <c r="D1799" t="s">
        <v>9880</v>
      </c>
      <c r="E1799" t="s">
        <v>70</v>
      </c>
      <c r="F1799" t="s">
        <v>33</v>
      </c>
      <c r="G1799" t="s">
        <v>71</v>
      </c>
      <c r="H1799" t="s">
        <v>72</v>
      </c>
      <c r="I1799" t="s">
        <v>9881</v>
      </c>
      <c r="J1799" t="s">
        <v>9882</v>
      </c>
      <c r="K1799" t="s">
        <v>36</v>
      </c>
      <c r="L1799" t="s">
        <v>33</v>
      </c>
      <c r="O1799" t="s">
        <v>76</v>
      </c>
      <c r="R1799" t="s">
        <v>9883</v>
      </c>
      <c r="S1799">
        <v>60</v>
      </c>
      <c r="T1799" t="s">
        <v>40</v>
      </c>
      <c r="U1799">
        <f>+IF(Tabla1[[#This Row],[MONEDA]]="PEN",Tabla1[[#This Row],[MONTO]],Tabla1[[#This Row],[MONTO]]*3.56)</f>
        <v>60</v>
      </c>
      <c r="V1799" t="s">
        <v>190</v>
      </c>
      <c r="W1799">
        <v>25256</v>
      </c>
      <c r="X1799" t="s">
        <v>81</v>
      </c>
      <c r="Y1799" t="s">
        <v>42</v>
      </c>
      <c r="Z1799" t="s">
        <v>82</v>
      </c>
      <c r="AA1799" t="s">
        <v>9884</v>
      </c>
      <c r="AC1799" t="s">
        <v>9885</v>
      </c>
      <c r="AD1799" t="s">
        <v>9886</v>
      </c>
    </row>
    <row r="1800" spans="1:33" hidden="1" x14ac:dyDescent="0.25">
      <c r="A1800">
        <v>25372</v>
      </c>
      <c r="B1800" t="s">
        <v>32</v>
      </c>
      <c r="C1800">
        <v>1</v>
      </c>
      <c r="D1800" t="s">
        <v>9880</v>
      </c>
      <c r="E1800" t="s">
        <v>70</v>
      </c>
      <c r="F1800" t="s">
        <v>33</v>
      </c>
      <c r="G1800" t="s">
        <v>71</v>
      </c>
      <c r="H1800" t="s">
        <v>72</v>
      </c>
      <c r="I1800" t="s">
        <v>9881</v>
      </c>
      <c r="J1800" t="s">
        <v>9887</v>
      </c>
      <c r="K1800" t="s">
        <v>36</v>
      </c>
      <c r="L1800" t="s">
        <v>33</v>
      </c>
      <c r="O1800" t="s">
        <v>76</v>
      </c>
      <c r="R1800" t="s">
        <v>9888</v>
      </c>
      <c r="S1800">
        <v>35</v>
      </c>
      <c r="T1800" t="s">
        <v>40</v>
      </c>
      <c r="U1800">
        <f>+IF(Tabla1[[#This Row],[MONEDA]]="PEN",Tabla1[[#This Row],[MONTO]],Tabla1[[#This Row],[MONTO]]*3.56)</f>
        <v>35</v>
      </c>
      <c r="V1800" t="s">
        <v>190</v>
      </c>
      <c r="W1800">
        <v>25256</v>
      </c>
      <c r="X1800" t="s">
        <v>81</v>
      </c>
      <c r="Y1800" t="s">
        <v>42</v>
      </c>
      <c r="Z1800" t="s">
        <v>82</v>
      </c>
      <c r="AA1800" t="s">
        <v>9889</v>
      </c>
      <c r="AC1800" t="s">
        <v>9890</v>
      </c>
      <c r="AD1800" t="s">
        <v>9891</v>
      </c>
    </row>
    <row r="1801" spans="1:33" hidden="1" x14ac:dyDescent="0.25">
      <c r="A1801">
        <v>25373</v>
      </c>
      <c r="B1801" t="s">
        <v>32</v>
      </c>
      <c r="C1801">
        <v>1</v>
      </c>
      <c r="D1801" t="s">
        <v>9880</v>
      </c>
      <c r="E1801" t="s">
        <v>70</v>
      </c>
      <c r="F1801" t="s">
        <v>33</v>
      </c>
      <c r="G1801" t="s">
        <v>71</v>
      </c>
      <c r="H1801" t="s">
        <v>72</v>
      </c>
      <c r="I1801" t="s">
        <v>9881</v>
      </c>
      <c r="J1801" t="s">
        <v>9892</v>
      </c>
      <c r="K1801" t="s">
        <v>36</v>
      </c>
      <c r="L1801" t="s">
        <v>33</v>
      </c>
      <c r="O1801" t="s">
        <v>76</v>
      </c>
      <c r="R1801" t="s">
        <v>9893</v>
      </c>
      <c r="S1801">
        <v>48</v>
      </c>
      <c r="T1801" t="s">
        <v>40</v>
      </c>
      <c r="U1801">
        <f>+IF(Tabla1[[#This Row],[MONEDA]]="PEN",Tabla1[[#This Row],[MONTO]],Tabla1[[#This Row],[MONTO]]*3.56)</f>
        <v>48</v>
      </c>
      <c r="V1801" t="s">
        <v>190</v>
      </c>
      <c r="W1801">
        <v>25256</v>
      </c>
      <c r="X1801" t="s">
        <v>81</v>
      </c>
      <c r="Y1801" t="s">
        <v>42</v>
      </c>
      <c r="Z1801" t="s">
        <v>82</v>
      </c>
      <c r="AA1801" t="s">
        <v>9894</v>
      </c>
      <c r="AC1801" t="s">
        <v>9895</v>
      </c>
      <c r="AD1801" t="s">
        <v>9896</v>
      </c>
    </row>
    <row r="1802" spans="1:33" x14ac:dyDescent="0.25">
      <c r="A1802">
        <v>25103</v>
      </c>
      <c r="B1802" t="s">
        <v>32</v>
      </c>
      <c r="C1802">
        <v>1</v>
      </c>
      <c r="D1802" t="s">
        <v>10067</v>
      </c>
      <c r="E1802" t="s">
        <v>70</v>
      </c>
      <c r="F1802" t="s">
        <v>3256</v>
      </c>
      <c r="G1802" t="s">
        <v>3257</v>
      </c>
      <c r="H1802" t="s">
        <v>8233</v>
      </c>
      <c r="I1802" t="s">
        <v>10068</v>
      </c>
      <c r="J1802" t="s">
        <v>10069</v>
      </c>
      <c r="K1802" t="s">
        <v>36</v>
      </c>
      <c r="L1802" t="s">
        <v>33</v>
      </c>
      <c r="M1802">
        <v>20533151435</v>
      </c>
      <c r="P1802" t="s">
        <v>38</v>
      </c>
      <c r="Q1802" t="s">
        <v>163</v>
      </c>
      <c r="R1802" t="s">
        <v>10070</v>
      </c>
      <c r="S1802">
        <v>212.4</v>
      </c>
      <c r="T1802" t="s">
        <v>40</v>
      </c>
      <c r="U1802">
        <f>+IF(Tabla1[[#This Row],[MONEDA]]="PEN",Tabla1[[#This Row],[MONTO]],Tabla1[[#This Row],[MONTO]]*3.56)</f>
        <v>212.4</v>
      </c>
      <c r="X1802" t="s">
        <v>41</v>
      </c>
      <c r="Y1802" t="s">
        <v>42</v>
      </c>
      <c r="Z1802" t="s">
        <v>82</v>
      </c>
      <c r="AA1802" t="s">
        <v>10071</v>
      </c>
      <c r="AB1802" t="s">
        <v>10072</v>
      </c>
      <c r="AC1802" t="s">
        <v>10073</v>
      </c>
      <c r="AD1802" t="s">
        <v>10074</v>
      </c>
      <c r="AE1802">
        <v>212.4</v>
      </c>
      <c r="AF1802" t="s">
        <v>87</v>
      </c>
      <c r="AG1802" t="s">
        <v>169</v>
      </c>
    </row>
    <row r="1803" spans="1:33" x14ac:dyDescent="0.25">
      <c r="A1803">
        <v>25074</v>
      </c>
      <c r="B1803" t="s">
        <v>32</v>
      </c>
      <c r="C1803">
        <v>1</v>
      </c>
      <c r="D1803" t="s">
        <v>10140</v>
      </c>
      <c r="E1803" t="s">
        <v>70</v>
      </c>
      <c r="F1803" t="s">
        <v>3256</v>
      </c>
      <c r="G1803" t="s">
        <v>3257</v>
      </c>
      <c r="H1803" t="s">
        <v>8233</v>
      </c>
      <c r="I1803" t="s">
        <v>10141</v>
      </c>
      <c r="J1803" t="s">
        <v>10142</v>
      </c>
      <c r="K1803" t="s">
        <v>36</v>
      </c>
      <c r="L1803" t="s">
        <v>33</v>
      </c>
      <c r="M1803">
        <v>20533151435</v>
      </c>
      <c r="P1803" t="s">
        <v>38</v>
      </c>
      <c r="Q1803" t="s">
        <v>163</v>
      </c>
      <c r="R1803" t="s">
        <v>10143</v>
      </c>
      <c r="S1803">
        <v>407.1</v>
      </c>
      <c r="T1803" t="s">
        <v>40</v>
      </c>
      <c r="U1803">
        <f>+IF(Tabla1[[#This Row],[MONEDA]]="PEN",Tabla1[[#This Row],[MONTO]],Tabla1[[#This Row],[MONTO]]*3.56)</f>
        <v>407.1</v>
      </c>
      <c r="X1803" t="s">
        <v>41</v>
      </c>
      <c r="Y1803" t="s">
        <v>42</v>
      </c>
      <c r="Z1803" t="s">
        <v>82</v>
      </c>
      <c r="AA1803" t="s">
        <v>10144</v>
      </c>
      <c r="AB1803" t="s">
        <v>10145</v>
      </c>
      <c r="AC1803" t="s">
        <v>10146</v>
      </c>
      <c r="AD1803" t="s">
        <v>10147</v>
      </c>
      <c r="AE1803">
        <v>407.1</v>
      </c>
      <c r="AF1803" t="s">
        <v>87</v>
      </c>
      <c r="AG1803" t="s">
        <v>169</v>
      </c>
    </row>
    <row r="1804" spans="1:33" x14ac:dyDescent="0.25">
      <c r="A1804">
        <v>24777</v>
      </c>
      <c r="B1804" t="s">
        <v>32</v>
      </c>
      <c r="C1804">
        <v>3</v>
      </c>
      <c r="D1804" t="s">
        <v>10148</v>
      </c>
      <c r="E1804" t="s">
        <v>70</v>
      </c>
      <c r="F1804" t="s">
        <v>130</v>
      </c>
      <c r="G1804" t="s">
        <v>132</v>
      </c>
      <c r="H1804" t="s">
        <v>132</v>
      </c>
      <c r="I1804" t="s">
        <v>10149</v>
      </c>
      <c r="J1804" t="s">
        <v>10149</v>
      </c>
      <c r="K1804" t="s">
        <v>36</v>
      </c>
      <c r="L1804" t="s">
        <v>33</v>
      </c>
      <c r="O1804" t="s">
        <v>10150</v>
      </c>
      <c r="P1804" t="s">
        <v>38</v>
      </c>
      <c r="Q1804" t="s">
        <v>10151</v>
      </c>
      <c r="R1804" t="s">
        <v>510</v>
      </c>
      <c r="S1804">
        <v>685.18</v>
      </c>
      <c r="T1804" t="s">
        <v>40</v>
      </c>
      <c r="U1804">
        <f>+IF(Tabla1[[#This Row],[MONEDA]]="PEN",Tabla1[[#This Row],[MONTO]],Tabla1[[#This Row],[MONTO]]*3.56)</f>
        <v>685.18</v>
      </c>
      <c r="X1804" t="s">
        <v>139</v>
      </c>
      <c r="Y1804" t="s">
        <v>42</v>
      </c>
      <c r="Z1804" t="s">
        <v>511</v>
      </c>
      <c r="AA1804" t="s">
        <v>10152</v>
      </c>
      <c r="AB1804" t="s">
        <v>10153</v>
      </c>
      <c r="AC1804" t="s">
        <v>10154</v>
      </c>
      <c r="AE1804">
        <v>685.18</v>
      </c>
      <c r="AF1804" t="s">
        <v>87</v>
      </c>
      <c r="AG1804" t="s">
        <v>169</v>
      </c>
    </row>
    <row r="1805" spans="1:33" hidden="1" x14ac:dyDescent="0.25">
      <c r="A1805">
        <v>24695</v>
      </c>
      <c r="B1805" t="s">
        <v>32</v>
      </c>
      <c r="C1805">
        <v>1</v>
      </c>
      <c r="D1805" t="s">
        <v>10207</v>
      </c>
      <c r="E1805" t="s">
        <v>70</v>
      </c>
      <c r="F1805" t="s">
        <v>3645</v>
      </c>
      <c r="G1805" t="s">
        <v>3646</v>
      </c>
      <c r="H1805" t="s">
        <v>10208</v>
      </c>
      <c r="I1805" t="s">
        <v>10209</v>
      </c>
      <c r="J1805" t="s">
        <v>10210</v>
      </c>
      <c r="K1805" t="s">
        <v>36</v>
      </c>
      <c r="L1805" t="s">
        <v>33</v>
      </c>
      <c r="R1805" t="s">
        <v>10211</v>
      </c>
      <c r="S1805">
        <v>6924.59</v>
      </c>
      <c r="T1805" t="s">
        <v>40</v>
      </c>
      <c r="U1805">
        <f>+IF(Tabla1[[#This Row],[MONEDA]]="PEN",Tabla1[[#This Row],[MONTO]],Tabla1[[#This Row],[MONTO]]*3.56)</f>
        <v>6924.59</v>
      </c>
      <c r="V1805" t="s">
        <v>190</v>
      </c>
      <c r="W1805">
        <v>24324</v>
      </c>
      <c r="X1805" t="s">
        <v>139</v>
      </c>
      <c r="Y1805" t="s">
        <v>42</v>
      </c>
      <c r="Z1805" t="s">
        <v>43</v>
      </c>
      <c r="AA1805" t="s">
        <v>10210</v>
      </c>
    </row>
    <row r="1806" spans="1:33" hidden="1" x14ac:dyDescent="0.25">
      <c r="A1806">
        <v>24686</v>
      </c>
      <c r="B1806" t="s">
        <v>32</v>
      </c>
      <c r="C1806">
        <v>1</v>
      </c>
      <c r="D1806" t="s">
        <v>10212</v>
      </c>
      <c r="E1806" t="s">
        <v>70</v>
      </c>
      <c r="F1806" t="s">
        <v>3645</v>
      </c>
      <c r="G1806" t="s">
        <v>3646</v>
      </c>
      <c r="H1806" t="s">
        <v>10208</v>
      </c>
      <c r="I1806" t="s">
        <v>10213</v>
      </c>
      <c r="J1806" t="s">
        <v>10214</v>
      </c>
      <c r="K1806" t="s">
        <v>36</v>
      </c>
      <c r="L1806" t="s">
        <v>33</v>
      </c>
      <c r="R1806" t="s">
        <v>10215</v>
      </c>
      <c r="S1806">
        <v>2723.58</v>
      </c>
      <c r="T1806" t="s">
        <v>40</v>
      </c>
      <c r="U1806">
        <f>+IF(Tabla1[[#This Row],[MONEDA]]="PEN",Tabla1[[#This Row],[MONTO]],Tabla1[[#This Row],[MONTO]]*3.56)</f>
        <v>2723.58</v>
      </c>
      <c r="V1806" t="s">
        <v>190</v>
      </c>
      <c r="W1806">
        <v>24323</v>
      </c>
      <c r="X1806" t="s">
        <v>139</v>
      </c>
      <c r="Y1806" t="s">
        <v>42</v>
      </c>
      <c r="Z1806" t="s">
        <v>43</v>
      </c>
      <c r="AA1806" t="s">
        <v>10214</v>
      </c>
    </row>
    <row r="1807" spans="1:33" hidden="1" x14ac:dyDescent="0.25">
      <c r="A1807">
        <v>24677</v>
      </c>
      <c r="B1807" t="s">
        <v>32</v>
      </c>
      <c r="C1807">
        <v>1</v>
      </c>
      <c r="D1807" t="s">
        <v>10216</v>
      </c>
      <c r="E1807" t="s">
        <v>70</v>
      </c>
      <c r="F1807" t="s">
        <v>3645</v>
      </c>
      <c r="G1807" t="s">
        <v>3646</v>
      </c>
      <c r="H1807" t="s">
        <v>10208</v>
      </c>
      <c r="I1807" t="s">
        <v>10217</v>
      </c>
      <c r="J1807" t="s">
        <v>10218</v>
      </c>
      <c r="K1807" t="s">
        <v>36</v>
      </c>
      <c r="L1807" t="s">
        <v>33</v>
      </c>
      <c r="R1807" t="s">
        <v>10219</v>
      </c>
      <c r="S1807">
        <v>1337.98</v>
      </c>
      <c r="T1807" t="s">
        <v>40</v>
      </c>
      <c r="U1807">
        <f>+IF(Tabla1[[#This Row],[MONEDA]]="PEN",Tabla1[[#This Row],[MONTO]],Tabla1[[#This Row],[MONTO]]*3.56)</f>
        <v>1337.98</v>
      </c>
      <c r="V1807" t="s">
        <v>190</v>
      </c>
      <c r="W1807">
        <v>24322</v>
      </c>
      <c r="X1807" t="s">
        <v>139</v>
      </c>
      <c r="Y1807" t="s">
        <v>42</v>
      </c>
      <c r="Z1807" t="s">
        <v>43</v>
      </c>
      <c r="AA1807" t="s">
        <v>10218</v>
      </c>
    </row>
    <row r="1808" spans="1:33" hidden="1" x14ac:dyDescent="0.25">
      <c r="A1808">
        <v>24668</v>
      </c>
      <c r="B1808" t="s">
        <v>32</v>
      </c>
      <c r="C1808">
        <v>1</v>
      </c>
      <c r="D1808" t="s">
        <v>10220</v>
      </c>
      <c r="E1808" t="s">
        <v>70</v>
      </c>
      <c r="F1808" t="s">
        <v>3645</v>
      </c>
      <c r="G1808" t="s">
        <v>3646</v>
      </c>
      <c r="H1808" t="s">
        <v>10208</v>
      </c>
      <c r="I1808" t="s">
        <v>10221</v>
      </c>
      <c r="J1808" t="s">
        <v>10222</v>
      </c>
      <c r="K1808" t="s">
        <v>36</v>
      </c>
      <c r="L1808" t="s">
        <v>33</v>
      </c>
      <c r="R1808" t="s">
        <v>10223</v>
      </c>
      <c r="S1808">
        <v>7627.09</v>
      </c>
      <c r="T1808" t="s">
        <v>40</v>
      </c>
      <c r="U1808">
        <f>+IF(Tabla1[[#This Row],[MONEDA]]="PEN",Tabla1[[#This Row],[MONTO]],Tabla1[[#This Row],[MONTO]]*3.56)</f>
        <v>7627.09</v>
      </c>
      <c r="V1808" t="s">
        <v>190</v>
      </c>
      <c r="W1808">
        <v>24321</v>
      </c>
      <c r="X1808" t="s">
        <v>139</v>
      </c>
      <c r="Y1808" t="s">
        <v>42</v>
      </c>
      <c r="Z1808" t="s">
        <v>43</v>
      </c>
      <c r="AA1808" t="s">
        <v>10222</v>
      </c>
    </row>
    <row r="1809" spans="1:33" hidden="1" x14ac:dyDescent="0.25">
      <c r="A1809">
        <v>24659</v>
      </c>
      <c r="B1809" t="s">
        <v>32</v>
      </c>
      <c r="C1809">
        <v>1</v>
      </c>
      <c r="D1809" t="s">
        <v>10224</v>
      </c>
      <c r="E1809" t="s">
        <v>70</v>
      </c>
      <c r="F1809" t="s">
        <v>3645</v>
      </c>
      <c r="G1809" t="s">
        <v>3646</v>
      </c>
      <c r="H1809" t="s">
        <v>10208</v>
      </c>
      <c r="I1809" t="s">
        <v>10225</v>
      </c>
      <c r="J1809" t="s">
        <v>10226</v>
      </c>
      <c r="K1809" t="s">
        <v>36</v>
      </c>
      <c r="L1809" t="s">
        <v>33</v>
      </c>
      <c r="R1809" t="s">
        <v>10227</v>
      </c>
      <c r="S1809">
        <v>63287.78</v>
      </c>
      <c r="T1809" t="s">
        <v>40</v>
      </c>
      <c r="U1809">
        <f>+IF(Tabla1[[#This Row],[MONEDA]]="PEN",Tabla1[[#This Row],[MONTO]],Tabla1[[#This Row],[MONTO]]*3.56)</f>
        <v>63287.78</v>
      </c>
      <c r="V1809" t="s">
        <v>190</v>
      </c>
      <c r="W1809">
        <v>24320</v>
      </c>
      <c r="X1809" t="s">
        <v>139</v>
      </c>
      <c r="Y1809" t="s">
        <v>42</v>
      </c>
      <c r="Z1809" t="s">
        <v>43</v>
      </c>
      <c r="AA1809" t="s">
        <v>10226</v>
      </c>
    </row>
    <row r="1810" spans="1:33" hidden="1" x14ac:dyDescent="0.25">
      <c r="A1810">
        <v>24335</v>
      </c>
      <c r="B1810" t="s">
        <v>32</v>
      </c>
      <c r="C1810">
        <v>1</v>
      </c>
      <c r="D1810" t="s">
        <v>10526</v>
      </c>
      <c r="E1810" t="s">
        <v>70</v>
      </c>
      <c r="F1810" t="s">
        <v>33</v>
      </c>
      <c r="G1810" t="s">
        <v>71</v>
      </c>
      <c r="H1810" t="s">
        <v>72</v>
      </c>
      <c r="I1810" t="s">
        <v>10527</v>
      </c>
      <c r="J1810" t="s">
        <v>10528</v>
      </c>
      <c r="K1810" t="s">
        <v>36</v>
      </c>
      <c r="L1810" t="s">
        <v>33</v>
      </c>
      <c r="O1810" t="s">
        <v>76</v>
      </c>
      <c r="R1810" t="s">
        <v>10529</v>
      </c>
      <c r="S1810">
        <v>8</v>
      </c>
      <c r="T1810" t="s">
        <v>40</v>
      </c>
      <c r="U1810">
        <f>+IF(Tabla1[[#This Row],[MONEDA]]="PEN",Tabla1[[#This Row],[MONTO]],Tabla1[[#This Row],[MONTO]]*3.56)</f>
        <v>8</v>
      </c>
      <c r="V1810" t="s">
        <v>190</v>
      </c>
      <c r="W1810">
        <v>21787</v>
      </c>
      <c r="X1810" t="s">
        <v>81</v>
      </c>
      <c r="Y1810" t="s">
        <v>42</v>
      </c>
      <c r="Z1810" t="s">
        <v>82</v>
      </c>
      <c r="AA1810" t="s">
        <v>10530</v>
      </c>
      <c r="AC1810" t="s">
        <v>10531</v>
      </c>
      <c r="AD1810" t="s">
        <v>10532</v>
      </c>
    </row>
    <row r="1811" spans="1:33" hidden="1" x14ac:dyDescent="0.25">
      <c r="A1811">
        <v>24334</v>
      </c>
      <c r="B1811" t="s">
        <v>32</v>
      </c>
      <c r="C1811">
        <v>1</v>
      </c>
      <c r="D1811" t="s">
        <v>10533</v>
      </c>
      <c r="E1811" t="s">
        <v>70</v>
      </c>
      <c r="F1811" t="s">
        <v>33</v>
      </c>
      <c r="G1811" t="s">
        <v>71</v>
      </c>
      <c r="H1811" t="s">
        <v>72</v>
      </c>
      <c r="I1811" t="s">
        <v>10534</v>
      </c>
      <c r="J1811" t="s">
        <v>10535</v>
      </c>
      <c r="K1811" t="s">
        <v>36</v>
      </c>
      <c r="L1811" t="s">
        <v>33</v>
      </c>
      <c r="O1811" t="s">
        <v>76</v>
      </c>
      <c r="R1811" t="s">
        <v>10536</v>
      </c>
      <c r="S1811">
        <v>30</v>
      </c>
      <c r="T1811" t="s">
        <v>40</v>
      </c>
      <c r="U1811">
        <f>+IF(Tabla1[[#This Row],[MONEDA]]="PEN",Tabla1[[#This Row],[MONTO]],Tabla1[[#This Row],[MONTO]]*3.56)</f>
        <v>30</v>
      </c>
      <c r="V1811" t="s">
        <v>190</v>
      </c>
      <c r="W1811">
        <v>21787</v>
      </c>
      <c r="X1811" t="s">
        <v>81</v>
      </c>
      <c r="Y1811" t="s">
        <v>42</v>
      </c>
      <c r="Z1811" t="s">
        <v>82</v>
      </c>
      <c r="AA1811" t="s">
        <v>10537</v>
      </c>
      <c r="AC1811" t="s">
        <v>10538</v>
      </c>
      <c r="AD1811" t="s">
        <v>10539</v>
      </c>
    </row>
    <row r="1812" spans="1:33" hidden="1" x14ac:dyDescent="0.25">
      <c r="A1812">
        <v>24333</v>
      </c>
      <c r="B1812" t="s">
        <v>32</v>
      </c>
      <c r="C1812">
        <v>1</v>
      </c>
      <c r="D1812" t="s">
        <v>10540</v>
      </c>
      <c r="E1812" t="s">
        <v>70</v>
      </c>
      <c r="F1812" t="s">
        <v>33</v>
      </c>
      <c r="G1812" t="s">
        <v>71</v>
      </c>
      <c r="H1812" t="s">
        <v>72</v>
      </c>
      <c r="I1812" t="s">
        <v>10541</v>
      </c>
      <c r="J1812" t="s">
        <v>10542</v>
      </c>
      <c r="K1812" t="s">
        <v>36</v>
      </c>
      <c r="L1812" t="s">
        <v>33</v>
      </c>
      <c r="O1812" t="s">
        <v>76</v>
      </c>
      <c r="R1812" t="s">
        <v>10543</v>
      </c>
      <c r="S1812">
        <v>24</v>
      </c>
      <c r="T1812" t="s">
        <v>40</v>
      </c>
      <c r="U1812">
        <f>+IF(Tabla1[[#This Row],[MONEDA]]="PEN",Tabla1[[#This Row],[MONTO]],Tabla1[[#This Row],[MONTO]]*3.56)</f>
        <v>24</v>
      </c>
      <c r="V1812" t="s">
        <v>190</v>
      </c>
      <c r="W1812">
        <v>21787</v>
      </c>
      <c r="X1812" t="s">
        <v>81</v>
      </c>
      <c r="Y1812" t="s">
        <v>42</v>
      </c>
      <c r="Z1812" t="s">
        <v>82</v>
      </c>
      <c r="AA1812" t="s">
        <v>10544</v>
      </c>
      <c r="AC1812" t="s">
        <v>10545</v>
      </c>
      <c r="AD1812" t="s">
        <v>10546</v>
      </c>
    </row>
    <row r="1813" spans="1:33" x14ac:dyDescent="0.25">
      <c r="A1813">
        <v>24253</v>
      </c>
      <c r="B1813" t="s">
        <v>32</v>
      </c>
      <c r="C1813">
        <v>1</v>
      </c>
      <c r="D1813" t="s">
        <v>10560</v>
      </c>
      <c r="E1813" t="s">
        <v>70</v>
      </c>
      <c r="F1813" t="s">
        <v>3256</v>
      </c>
      <c r="G1813" t="s">
        <v>3257</v>
      </c>
      <c r="H1813" t="s">
        <v>8233</v>
      </c>
      <c r="I1813" t="s">
        <v>10561</v>
      </c>
      <c r="J1813" t="s">
        <v>10562</v>
      </c>
      <c r="K1813" t="s">
        <v>36</v>
      </c>
      <c r="L1813" t="s">
        <v>33</v>
      </c>
      <c r="M1813">
        <v>20533151435</v>
      </c>
      <c r="P1813" t="s">
        <v>38</v>
      </c>
      <c r="Q1813" t="s">
        <v>163</v>
      </c>
      <c r="R1813" t="s">
        <v>10563</v>
      </c>
      <c r="S1813">
        <v>194.7</v>
      </c>
      <c r="T1813" t="s">
        <v>40</v>
      </c>
      <c r="U1813">
        <f>+IF(Tabla1[[#This Row],[MONEDA]]="PEN",Tabla1[[#This Row],[MONTO]],Tabla1[[#This Row],[MONTO]]*3.56)</f>
        <v>194.7</v>
      </c>
      <c r="X1813" t="s">
        <v>41</v>
      </c>
      <c r="Y1813" t="s">
        <v>42</v>
      </c>
      <c r="Z1813" t="s">
        <v>82</v>
      </c>
      <c r="AA1813" t="s">
        <v>10564</v>
      </c>
      <c r="AB1813" t="s">
        <v>10565</v>
      </c>
      <c r="AC1813" t="s">
        <v>10566</v>
      </c>
      <c r="AD1813" t="s">
        <v>10567</v>
      </c>
      <c r="AE1813">
        <v>194.7</v>
      </c>
      <c r="AF1813" t="s">
        <v>87</v>
      </c>
      <c r="AG1813" t="s">
        <v>169</v>
      </c>
    </row>
    <row r="1814" spans="1:33" x14ac:dyDescent="0.25">
      <c r="A1814">
        <v>24173</v>
      </c>
      <c r="B1814" t="s">
        <v>32</v>
      </c>
      <c r="C1814">
        <v>1</v>
      </c>
      <c r="D1814" t="s">
        <v>10600</v>
      </c>
      <c r="E1814" t="s">
        <v>70</v>
      </c>
      <c r="F1814" t="s">
        <v>3256</v>
      </c>
      <c r="G1814" t="s">
        <v>3257</v>
      </c>
      <c r="H1814" t="s">
        <v>8233</v>
      </c>
      <c r="I1814" t="s">
        <v>10601</v>
      </c>
      <c r="J1814" t="s">
        <v>10602</v>
      </c>
      <c r="K1814" t="s">
        <v>36</v>
      </c>
      <c r="L1814" t="s">
        <v>33</v>
      </c>
      <c r="M1814">
        <v>20533151435</v>
      </c>
      <c r="P1814" t="s">
        <v>38</v>
      </c>
      <c r="Q1814" t="s">
        <v>163</v>
      </c>
      <c r="R1814" t="s">
        <v>10603</v>
      </c>
      <c r="S1814">
        <v>636.02</v>
      </c>
      <c r="T1814" t="s">
        <v>40</v>
      </c>
      <c r="U1814">
        <f>+IF(Tabla1[[#This Row],[MONEDA]]="PEN",Tabla1[[#This Row],[MONTO]],Tabla1[[#This Row],[MONTO]]*3.56)</f>
        <v>636.02</v>
      </c>
      <c r="X1814" t="s">
        <v>41</v>
      </c>
      <c r="Y1814" t="s">
        <v>42</v>
      </c>
      <c r="Z1814" t="s">
        <v>82</v>
      </c>
      <c r="AA1814" t="s">
        <v>10604</v>
      </c>
      <c r="AB1814" t="s">
        <v>10605</v>
      </c>
      <c r="AC1814" t="s">
        <v>10606</v>
      </c>
      <c r="AD1814" t="s">
        <v>10607</v>
      </c>
      <c r="AE1814">
        <v>636.02</v>
      </c>
      <c r="AF1814" t="s">
        <v>87</v>
      </c>
      <c r="AG1814" t="s">
        <v>169</v>
      </c>
    </row>
    <row r="1815" spans="1:33" hidden="1" x14ac:dyDescent="0.25">
      <c r="A1815">
        <v>24200</v>
      </c>
      <c r="B1815" t="s">
        <v>32</v>
      </c>
      <c r="C1815">
        <v>1</v>
      </c>
      <c r="D1815" t="s">
        <v>10608</v>
      </c>
      <c r="E1815" t="s">
        <v>70</v>
      </c>
      <c r="F1815" t="s">
        <v>33</v>
      </c>
      <c r="G1815" t="s">
        <v>71</v>
      </c>
      <c r="H1815" t="s">
        <v>72</v>
      </c>
      <c r="I1815" t="s">
        <v>10609</v>
      </c>
      <c r="J1815" t="s">
        <v>10610</v>
      </c>
      <c r="K1815" t="s">
        <v>36</v>
      </c>
      <c r="L1815" t="s">
        <v>33</v>
      </c>
      <c r="R1815" t="s">
        <v>10611</v>
      </c>
      <c r="S1815">
        <v>100</v>
      </c>
      <c r="T1815" t="s">
        <v>40</v>
      </c>
      <c r="U1815">
        <f>+IF(Tabla1[[#This Row],[MONEDA]]="PEN",Tabla1[[#This Row],[MONTO]],Tabla1[[#This Row],[MONTO]]*3.56)</f>
        <v>100</v>
      </c>
      <c r="V1815" t="s">
        <v>190</v>
      </c>
      <c r="W1815">
        <v>21787</v>
      </c>
      <c r="X1815" t="s">
        <v>81</v>
      </c>
      <c r="Y1815" t="s">
        <v>42</v>
      </c>
      <c r="Z1815" t="s">
        <v>82</v>
      </c>
      <c r="AA1815" t="s">
        <v>10612</v>
      </c>
      <c r="AC1815" t="s">
        <v>10613</v>
      </c>
      <c r="AD1815" t="s">
        <v>10614</v>
      </c>
    </row>
    <row r="1816" spans="1:33" hidden="1" x14ac:dyDescent="0.25">
      <c r="A1816">
        <v>24199</v>
      </c>
      <c r="B1816" t="s">
        <v>32</v>
      </c>
      <c r="C1816">
        <v>1</v>
      </c>
      <c r="D1816" t="s">
        <v>10615</v>
      </c>
      <c r="E1816" t="s">
        <v>70</v>
      </c>
      <c r="F1816" t="s">
        <v>33</v>
      </c>
      <c r="G1816" t="s">
        <v>71</v>
      </c>
      <c r="H1816" t="s">
        <v>72</v>
      </c>
      <c r="I1816" t="s">
        <v>10616</v>
      </c>
      <c r="J1816" t="s">
        <v>10617</v>
      </c>
      <c r="K1816" t="s">
        <v>36</v>
      </c>
      <c r="L1816" t="s">
        <v>33</v>
      </c>
      <c r="O1816" t="s">
        <v>76</v>
      </c>
      <c r="R1816" t="s">
        <v>10618</v>
      </c>
      <c r="S1816">
        <v>100</v>
      </c>
      <c r="T1816" t="s">
        <v>40</v>
      </c>
      <c r="U1816">
        <f>+IF(Tabla1[[#This Row],[MONEDA]]="PEN",Tabla1[[#This Row],[MONTO]],Tabla1[[#This Row],[MONTO]]*3.56)</f>
        <v>100</v>
      </c>
      <c r="V1816" t="s">
        <v>190</v>
      </c>
      <c r="W1816">
        <v>21787</v>
      </c>
      <c r="X1816" t="s">
        <v>81</v>
      </c>
      <c r="Y1816" t="s">
        <v>42</v>
      </c>
      <c r="Z1816" t="s">
        <v>82</v>
      </c>
      <c r="AA1816" t="s">
        <v>10619</v>
      </c>
      <c r="AC1816" t="s">
        <v>10620</v>
      </c>
      <c r="AD1816" t="s">
        <v>10621</v>
      </c>
    </row>
    <row r="1817" spans="1:33" hidden="1" x14ac:dyDescent="0.25">
      <c r="A1817">
        <v>24155</v>
      </c>
      <c r="B1817" t="s">
        <v>32</v>
      </c>
      <c r="C1817">
        <v>1</v>
      </c>
      <c r="D1817" t="s">
        <v>10674</v>
      </c>
      <c r="E1817" t="s">
        <v>70</v>
      </c>
      <c r="F1817" t="s">
        <v>33</v>
      </c>
      <c r="G1817" t="s">
        <v>71</v>
      </c>
      <c r="H1817" t="s">
        <v>72</v>
      </c>
      <c r="I1817" t="s">
        <v>10675</v>
      </c>
      <c r="J1817" t="s">
        <v>10676</v>
      </c>
      <c r="K1817" t="s">
        <v>36</v>
      </c>
      <c r="L1817" t="s">
        <v>33</v>
      </c>
      <c r="O1817" t="s">
        <v>76</v>
      </c>
      <c r="R1817" t="s">
        <v>10677</v>
      </c>
      <c r="S1817">
        <v>100</v>
      </c>
      <c r="T1817" t="s">
        <v>40</v>
      </c>
      <c r="U1817">
        <f>+IF(Tabla1[[#This Row],[MONEDA]]="PEN",Tabla1[[#This Row],[MONTO]],Tabla1[[#This Row],[MONTO]]*3.56)</f>
        <v>100</v>
      </c>
      <c r="V1817" t="s">
        <v>190</v>
      </c>
      <c r="W1817">
        <v>21787</v>
      </c>
      <c r="X1817" t="s">
        <v>81</v>
      </c>
      <c r="Y1817" t="s">
        <v>42</v>
      </c>
      <c r="Z1817" t="s">
        <v>82</v>
      </c>
      <c r="AA1817" t="s">
        <v>10678</v>
      </c>
      <c r="AC1817" t="s">
        <v>10679</v>
      </c>
      <c r="AD1817" t="s">
        <v>10680</v>
      </c>
    </row>
    <row r="1818" spans="1:33" hidden="1" x14ac:dyDescent="0.25">
      <c r="A1818">
        <v>24153</v>
      </c>
      <c r="B1818" t="s">
        <v>32</v>
      </c>
      <c r="C1818">
        <v>1</v>
      </c>
      <c r="D1818" t="s">
        <v>10688</v>
      </c>
      <c r="E1818" t="s">
        <v>70</v>
      </c>
      <c r="F1818" t="s">
        <v>33</v>
      </c>
      <c r="G1818" t="s">
        <v>71</v>
      </c>
      <c r="H1818" t="s">
        <v>72</v>
      </c>
      <c r="I1818" t="s">
        <v>10689</v>
      </c>
      <c r="J1818" t="s">
        <v>10690</v>
      </c>
      <c r="K1818" t="s">
        <v>36</v>
      </c>
      <c r="L1818" t="s">
        <v>33</v>
      </c>
      <c r="O1818" t="s">
        <v>76</v>
      </c>
      <c r="R1818" t="s">
        <v>10691</v>
      </c>
      <c r="S1818">
        <v>100</v>
      </c>
      <c r="T1818" t="s">
        <v>40</v>
      </c>
      <c r="U1818">
        <f>+IF(Tabla1[[#This Row],[MONEDA]]="PEN",Tabla1[[#This Row],[MONTO]],Tabla1[[#This Row],[MONTO]]*3.56)</f>
        <v>100</v>
      </c>
      <c r="V1818" t="s">
        <v>190</v>
      </c>
      <c r="W1818">
        <v>21787</v>
      </c>
      <c r="X1818" t="s">
        <v>81</v>
      </c>
      <c r="Y1818" t="s">
        <v>42</v>
      </c>
      <c r="Z1818" t="s">
        <v>82</v>
      </c>
      <c r="AA1818" t="s">
        <v>10685</v>
      </c>
      <c r="AC1818" t="s">
        <v>10692</v>
      </c>
      <c r="AD1818" t="s">
        <v>10693</v>
      </c>
    </row>
    <row r="1819" spans="1:33" hidden="1" x14ac:dyDescent="0.25">
      <c r="A1819">
        <v>24151</v>
      </c>
      <c r="B1819" t="s">
        <v>32</v>
      </c>
      <c r="C1819">
        <v>1</v>
      </c>
      <c r="D1819" t="s">
        <v>10701</v>
      </c>
      <c r="E1819" t="s">
        <v>70</v>
      </c>
      <c r="F1819" t="s">
        <v>33</v>
      </c>
      <c r="G1819" t="s">
        <v>71</v>
      </c>
      <c r="H1819" t="s">
        <v>72</v>
      </c>
      <c r="I1819" t="s">
        <v>10702</v>
      </c>
      <c r="J1819" t="s">
        <v>10703</v>
      </c>
      <c r="K1819" t="s">
        <v>36</v>
      </c>
      <c r="L1819" t="s">
        <v>33</v>
      </c>
      <c r="R1819" t="s">
        <v>10704</v>
      </c>
      <c r="S1819">
        <v>50</v>
      </c>
      <c r="T1819" t="s">
        <v>40</v>
      </c>
      <c r="U1819">
        <f>+IF(Tabla1[[#This Row],[MONEDA]]="PEN",Tabla1[[#This Row],[MONTO]],Tabla1[[#This Row],[MONTO]]*3.56)</f>
        <v>50</v>
      </c>
      <c r="V1819" t="s">
        <v>190</v>
      </c>
      <c r="W1819">
        <v>21787</v>
      </c>
      <c r="X1819" t="s">
        <v>81</v>
      </c>
      <c r="Y1819" t="s">
        <v>42</v>
      </c>
      <c r="Z1819" t="s">
        <v>82</v>
      </c>
      <c r="AA1819" t="s">
        <v>10705</v>
      </c>
      <c r="AC1819" t="s">
        <v>10706</v>
      </c>
      <c r="AD1819" t="s">
        <v>10707</v>
      </c>
    </row>
    <row r="1820" spans="1:33" x14ac:dyDescent="0.25">
      <c r="A1820">
        <v>24113</v>
      </c>
      <c r="B1820" t="s">
        <v>32</v>
      </c>
      <c r="C1820">
        <v>1</v>
      </c>
      <c r="D1820" t="s">
        <v>10774</v>
      </c>
      <c r="E1820" t="s">
        <v>70</v>
      </c>
      <c r="F1820" t="s">
        <v>3256</v>
      </c>
      <c r="G1820" t="s">
        <v>3257</v>
      </c>
      <c r="H1820" t="s">
        <v>8233</v>
      </c>
      <c r="I1820" t="s">
        <v>10767</v>
      </c>
      <c r="J1820" t="s">
        <v>10775</v>
      </c>
      <c r="K1820" t="s">
        <v>36</v>
      </c>
      <c r="L1820" t="s">
        <v>33</v>
      </c>
      <c r="M1820">
        <v>20533151435</v>
      </c>
      <c r="P1820" t="s">
        <v>38</v>
      </c>
      <c r="Q1820" t="s">
        <v>163</v>
      </c>
      <c r="R1820" t="s">
        <v>10776</v>
      </c>
      <c r="S1820">
        <v>194.7</v>
      </c>
      <c r="T1820" t="s">
        <v>40</v>
      </c>
      <c r="U1820">
        <f>+IF(Tabla1[[#This Row],[MONEDA]]="PEN",Tabla1[[#This Row],[MONTO]],Tabla1[[#This Row],[MONTO]]*3.56)</f>
        <v>194.7</v>
      </c>
      <c r="X1820" t="s">
        <v>41</v>
      </c>
      <c r="Y1820" t="s">
        <v>42</v>
      </c>
      <c r="Z1820" t="s">
        <v>82</v>
      </c>
      <c r="AA1820" t="s">
        <v>10777</v>
      </c>
      <c r="AB1820" t="s">
        <v>10778</v>
      </c>
      <c r="AC1820" t="s">
        <v>10779</v>
      </c>
      <c r="AD1820" t="s">
        <v>10780</v>
      </c>
      <c r="AE1820">
        <v>194.7</v>
      </c>
      <c r="AF1820" t="s">
        <v>87</v>
      </c>
      <c r="AG1820" t="s">
        <v>169</v>
      </c>
    </row>
    <row r="1821" spans="1:33" hidden="1" x14ac:dyDescent="0.25">
      <c r="A1821">
        <v>24100</v>
      </c>
      <c r="B1821" t="s">
        <v>32</v>
      </c>
      <c r="C1821">
        <v>1</v>
      </c>
      <c r="D1821" t="s">
        <v>10781</v>
      </c>
      <c r="E1821" t="s">
        <v>70</v>
      </c>
      <c r="F1821" t="s">
        <v>33</v>
      </c>
      <c r="G1821" t="s">
        <v>71</v>
      </c>
      <c r="H1821" t="s">
        <v>72</v>
      </c>
      <c r="I1821" t="s">
        <v>10782</v>
      </c>
      <c r="J1821" t="s">
        <v>10783</v>
      </c>
      <c r="K1821" t="s">
        <v>36</v>
      </c>
      <c r="L1821" t="s">
        <v>33</v>
      </c>
      <c r="O1821" t="s">
        <v>76</v>
      </c>
      <c r="R1821" t="s">
        <v>10784</v>
      </c>
      <c r="S1821">
        <v>40</v>
      </c>
      <c r="T1821" t="s">
        <v>40</v>
      </c>
      <c r="U1821">
        <f>+IF(Tabla1[[#This Row],[MONEDA]]="PEN",Tabla1[[#This Row],[MONTO]],Tabla1[[#This Row],[MONTO]]*3.56)</f>
        <v>40</v>
      </c>
      <c r="V1821" t="s">
        <v>190</v>
      </c>
      <c r="W1821">
        <v>21787</v>
      </c>
      <c r="X1821" t="s">
        <v>828</v>
      </c>
      <c r="Y1821" t="s">
        <v>42</v>
      </c>
      <c r="Z1821" t="s">
        <v>82</v>
      </c>
      <c r="AA1821" t="s">
        <v>10705</v>
      </c>
      <c r="AC1821" t="s">
        <v>10785</v>
      </c>
      <c r="AD1821" t="s">
        <v>10786</v>
      </c>
    </row>
    <row r="1822" spans="1:33" hidden="1" x14ac:dyDescent="0.25">
      <c r="A1822">
        <v>24099</v>
      </c>
      <c r="B1822" t="s">
        <v>32</v>
      </c>
      <c r="C1822">
        <v>1</v>
      </c>
      <c r="D1822" t="s">
        <v>10787</v>
      </c>
      <c r="E1822" t="s">
        <v>70</v>
      </c>
      <c r="F1822" t="s">
        <v>33</v>
      </c>
      <c r="G1822" t="s">
        <v>71</v>
      </c>
      <c r="H1822" t="s">
        <v>72</v>
      </c>
      <c r="I1822" t="s">
        <v>10788</v>
      </c>
      <c r="J1822" t="s">
        <v>10789</v>
      </c>
      <c r="K1822" t="s">
        <v>36</v>
      </c>
      <c r="L1822" t="s">
        <v>33</v>
      </c>
      <c r="O1822" t="s">
        <v>76</v>
      </c>
      <c r="R1822" t="s">
        <v>10790</v>
      </c>
      <c r="S1822">
        <v>60</v>
      </c>
      <c r="T1822" t="s">
        <v>40</v>
      </c>
      <c r="U1822">
        <f>+IF(Tabla1[[#This Row],[MONEDA]]="PEN",Tabla1[[#This Row],[MONTO]],Tabla1[[#This Row],[MONTO]]*3.56)</f>
        <v>60</v>
      </c>
      <c r="V1822" t="s">
        <v>190</v>
      </c>
      <c r="W1822">
        <v>21787</v>
      </c>
      <c r="X1822" t="s">
        <v>81</v>
      </c>
      <c r="Y1822" t="s">
        <v>42</v>
      </c>
      <c r="Z1822" t="s">
        <v>82</v>
      </c>
      <c r="AA1822" t="s">
        <v>10791</v>
      </c>
      <c r="AC1822" t="s">
        <v>10792</v>
      </c>
      <c r="AD1822" t="s">
        <v>10793</v>
      </c>
    </row>
    <row r="1823" spans="1:33" hidden="1" x14ac:dyDescent="0.25">
      <c r="A1823">
        <v>24098</v>
      </c>
      <c r="B1823" t="s">
        <v>32</v>
      </c>
      <c r="C1823">
        <v>1</v>
      </c>
      <c r="D1823" t="s">
        <v>10794</v>
      </c>
      <c r="E1823" t="s">
        <v>70</v>
      </c>
      <c r="F1823" t="s">
        <v>33</v>
      </c>
      <c r="G1823" t="s">
        <v>71</v>
      </c>
      <c r="H1823" t="s">
        <v>72</v>
      </c>
      <c r="I1823" t="s">
        <v>10795</v>
      </c>
      <c r="J1823" t="s">
        <v>10796</v>
      </c>
      <c r="K1823" t="s">
        <v>36</v>
      </c>
      <c r="L1823" t="s">
        <v>33</v>
      </c>
      <c r="O1823" t="s">
        <v>76</v>
      </c>
      <c r="R1823" t="s">
        <v>10797</v>
      </c>
      <c r="S1823">
        <v>210</v>
      </c>
      <c r="T1823" t="s">
        <v>40</v>
      </c>
      <c r="U1823">
        <f>+IF(Tabla1[[#This Row],[MONEDA]]="PEN",Tabla1[[#This Row],[MONTO]],Tabla1[[#This Row],[MONTO]]*3.56)</f>
        <v>210</v>
      </c>
      <c r="V1823" t="s">
        <v>190</v>
      </c>
      <c r="W1823">
        <v>21787</v>
      </c>
      <c r="X1823" t="s">
        <v>81</v>
      </c>
      <c r="Y1823" t="s">
        <v>42</v>
      </c>
      <c r="Z1823" t="s">
        <v>82</v>
      </c>
      <c r="AA1823" t="s">
        <v>10798</v>
      </c>
      <c r="AC1823" t="s">
        <v>10799</v>
      </c>
      <c r="AD1823" t="s">
        <v>10800</v>
      </c>
    </row>
    <row r="1824" spans="1:33" hidden="1" x14ac:dyDescent="0.25">
      <c r="A1824">
        <v>24097</v>
      </c>
      <c r="B1824" t="s">
        <v>32</v>
      </c>
      <c r="C1824">
        <v>1</v>
      </c>
      <c r="D1824" t="s">
        <v>10801</v>
      </c>
      <c r="E1824" t="s">
        <v>70</v>
      </c>
      <c r="F1824" t="s">
        <v>33</v>
      </c>
      <c r="G1824" t="s">
        <v>71</v>
      </c>
      <c r="H1824" t="s">
        <v>72</v>
      </c>
      <c r="I1824" t="s">
        <v>10802</v>
      </c>
      <c r="J1824" t="s">
        <v>10803</v>
      </c>
      <c r="K1824" t="s">
        <v>36</v>
      </c>
      <c r="L1824" t="s">
        <v>33</v>
      </c>
      <c r="O1824" t="s">
        <v>76</v>
      </c>
      <c r="R1824" t="s">
        <v>10804</v>
      </c>
      <c r="S1824">
        <v>90</v>
      </c>
      <c r="T1824" t="s">
        <v>40</v>
      </c>
      <c r="U1824">
        <f>+IF(Tabla1[[#This Row],[MONEDA]]="PEN",Tabla1[[#This Row],[MONTO]],Tabla1[[#This Row],[MONTO]]*3.56)</f>
        <v>90</v>
      </c>
      <c r="V1824" t="s">
        <v>190</v>
      </c>
      <c r="W1824">
        <v>21787</v>
      </c>
      <c r="X1824" t="s">
        <v>81</v>
      </c>
      <c r="Y1824" t="s">
        <v>42</v>
      </c>
      <c r="Z1824" t="s">
        <v>82</v>
      </c>
      <c r="AA1824" t="s">
        <v>10805</v>
      </c>
      <c r="AC1824" t="s">
        <v>10806</v>
      </c>
      <c r="AD1824" t="s">
        <v>10807</v>
      </c>
    </row>
    <row r="1825" spans="1:33" hidden="1" x14ac:dyDescent="0.25">
      <c r="A1825">
        <v>24094</v>
      </c>
      <c r="B1825" t="s">
        <v>32</v>
      </c>
      <c r="C1825">
        <v>1</v>
      </c>
      <c r="D1825" t="s">
        <v>10808</v>
      </c>
      <c r="E1825" t="s">
        <v>70</v>
      </c>
      <c r="F1825" t="s">
        <v>33</v>
      </c>
      <c r="G1825" t="s">
        <v>71</v>
      </c>
      <c r="H1825" t="s">
        <v>72</v>
      </c>
      <c r="I1825" t="s">
        <v>10809</v>
      </c>
      <c r="J1825" t="s">
        <v>10810</v>
      </c>
      <c r="K1825" t="s">
        <v>36</v>
      </c>
      <c r="L1825" t="s">
        <v>33</v>
      </c>
      <c r="O1825" t="s">
        <v>76</v>
      </c>
      <c r="R1825" t="s">
        <v>10811</v>
      </c>
      <c r="S1825">
        <v>125</v>
      </c>
      <c r="T1825" t="s">
        <v>40</v>
      </c>
      <c r="U1825">
        <f>+IF(Tabla1[[#This Row],[MONEDA]]="PEN",Tabla1[[#This Row],[MONTO]],Tabla1[[#This Row],[MONTO]]*3.56)</f>
        <v>125</v>
      </c>
      <c r="V1825" t="s">
        <v>190</v>
      </c>
      <c r="W1825">
        <v>21787</v>
      </c>
      <c r="X1825" t="s">
        <v>81</v>
      </c>
      <c r="Y1825" t="s">
        <v>42</v>
      </c>
      <c r="Z1825" t="s">
        <v>82</v>
      </c>
      <c r="AA1825" t="s">
        <v>10812</v>
      </c>
      <c r="AC1825" t="s">
        <v>10813</v>
      </c>
      <c r="AD1825" t="s">
        <v>10814</v>
      </c>
    </row>
    <row r="1826" spans="1:33" hidden="1" x14ac:dyDescent="0.25">
      <c r="A1826">
        <v>24092</v>
      </c>
      <c r="B1826" t="s">
        <v>32</v>
      </c>
      <c r="C1826">
        <v>1</v>
      </c>
      <c r="D1826" t="s">
        <v>10822</v>
      </c>
      <c r="E1826" t="s">
        <v>70</v>
      </c>
      <c r="F1826" t="s">
        <v>33</v>
      </c>
      <c r="G1826" t="s">
        <v>71</v>
      </c>
      <c r="H1826" t="s">
        <v>72</v>
      </c>
      <c r="I1826" t="s">
        <v>10823</v>
      </c>
      <c r="J1826" t="s">
        <v>10824</v>
      </c>
      <c r="K1826" t="s">
        <v>36</v>
      </c>
      <c r="L1826" t="s">
        <v>33</v>
      </c>
      <c r="O1826" t="s">
        <v>76</v>
      </c>
      <c r="R1826" t="s">
        <v>10825</v>
      </c>
      <c r="S1826">
        <v>22</v>
      </c>
      <c r="T1826" t="s">
        <v>40</v>
      </c>
      <c r="U1826">
        <f>+IF(Tabla1[[#This Row],[MONEDA]]="PEN",Tabla1[[#This Row],[MONTO]],Tabla1[[#This Row],[MONTO]]*3.56)</f>
        <v>22</v>
      </c>
      <c r="V1826" t="s">
        <v>190</v>
      </c>
      <c r="W1826">
        <v>21787</v>
      </c>
      <c r="X1826" t="s">
        <v>81</v>
      </c>
      <c r="Y1826" t="s">
        <v>42</v>
      </c>
      <c r="Z1826" t="s">
        <v>82</v>
      </c>
      <c r="AA1826" t="s">
        <v>10819</v>
      </c>
      <c r="AC1826" t="s">
        <v>10826</v>
      </c>
      <c r="AD1826" t="s">
        <v>10827</v>
      </c>
    </row>
    <row r="1827" spans="1:33" hidden="1" x14ac:dyDescent="0.25">
      <c r="A1827">
        <v>24083</v>
      </c>
      <c r="B1827" t="s">
        <v>32</v>
      </c>
      <c r="C1827">
        <v>1</v>
      </c>
      <c r="D1827" t="s">
        <v>10842</v>
      </c>
      <c r="E1827" t="s">
        <v>70</v>
      </c>
      <c r="F1827" t="s">
        <v>33</v>
      </c>
      <c r="G1827" t="s">
        <v>71</v>
      </c>
      <c r="H1827" t="s">
        <v>72</v>
      </c>
      <c r="I1827" t="s">
        <v>10843</v>
      </c>
      <c r="J1827" t="s">
        <v>10844</v>
      </c>
      <c r="K1827" t="s">
        <v>36</v>
      </c>
      <c r="L1827" t="s">
        <v>33</v>
      </c>
      <c r="O1827" t="s">
        <v>76</v>
      </c>
      <c r="R1827" t="s">
        <v>10845</v>
      </c>
      <c r="S1827">
        <v>70</v>
      </c>
      <c r="T1827" t="s">
        <v>40</v>
      </c>
      <c r="U1827">
        <f>+IF(Tabla1[[#This Row],[MONEDA]]="PEN",Tabla1[[#This Row],[MONTO]],Tabla1[[#This Row],[MONTO]]*3.56)</f>
        <v>70</v>
      </c>
      <c r="V1827" t="s">
        <v>190</v>
      </c>
      <c r="W1827">
        <v>21787</v>
      </c>
      <c r="X1827" t="s">
        <v>81</v>
      </c>
      <c r="Y1827" t="s">
        <v>42</v>
      </c>
      <c r="Z1827" t="s">
        <v>82</v>
      </c>
      <c r="AA1827" t="s">
        <v>10846</v>
      </c>
      <c r="AC1827" t="s">
        <v>10847</v>
      </c>
      <c r="AD1827" t="s">
        <v>10848</v>
      </c>
    </row>
    <row r="1828" spans="1:33" hidden="1" x14ac:dyDescent="0.25">
      <c r="A1828">
        <v>24084</v>
      </c>
      <c r="B1828" t="s">
        <v>32</v>
      </c>
      <c r="C1828">
        <v>1</v>
      </c>
      <c r="D1828" t="s">
        <v>10842</v>
      </c>
      <c r="E1828" t="s">
        <v>70</v>
      </c>
      <c r="F1828" t="s">
        <v>33</v>
      </c>
      <c r="G1828" t="s">
        <v>71</v>
      </c>
      <c r="H1828" t="s">
        <v>72</v>
      </c>
      <c r="I1828" t="s">
        <v>10843</v>
      </c>
      <c r="J1828" t="s">
        <v>10849</v>
      </c>
      <c r="K1828" t="s">
        <v>36</v>
      </c>
      <c r="L1828" t="s">
        <v>33</v>
      </c>
      <c r="O1828" t="s">
        <v>76</v>
      </c>
      <c r="R1828" t="s">
        <v>10850</v>
      </c>
      <c r="S1828">
        <v>20</v>
      </c>
      <c r="T1828" t="s">
        <v>40</v>
      </c>
      <c r="U1828">
        <f>+IF(Tabla1[[#This Row],[MONEDA]]="PEN",Tabla1[[#This Row],[MONTO]],Tabla1[[#This Row],[MONTO]]*3.56)</f>
        <v>20</v>
      </c>
      <c r="V1828" t="s">
        <v>190</v>
      </c>
      <c r="W1828">
        <v>21787</v>
      </c>
      <c r="X1828" t="s">
        <v>139</v>
      </c>
      <c r="Y1828" t="s">
        <v>42</v>
      </c>
      <c r="Z1828" t="s">
        <v>82</v>
      </c>
      <c r="AA1828" t="s">
        <v>10851</v>
      </c>
      <c r="AC1828" t="s">
        <v>10852</v>
      </c>
      <c r="AD1828" t="s">
        <v>10853</v>
      </c>
    </row>
    <row r="1829" spans="1:33" x14ac:dyDescent="0.25">
      <c r="A1829">
        <v>24024</v>
      </c>
      <c r="B1829" t="s">
        <v>32</v>
      </c>
      <c r="C1829">
        <v>1</v>
      </c>
      <c r="D1829" t="s">
        <v>10872</v>
      </c>
      <c r="E1829" t="s">
        <v>70</v>
      </c>
      <c r="F1829" t="s">
        <v>3256</v>
      </c>
      <c r="G1829" t="s">
        <v>3257</v>
      </c>
      <c r="H1829" t="s">
        <v>8233</v>
      </c>
      <c r="I1829" t="s">
        <v>10873</v>
      </c>
      <c r="J1829" t="s">
        <v>10874</v>
      </c>
      <c r="K1829" t="s">
        <v>36</v>
      </c>
      <c r="L1829" t="s">
        <v>33</v>
      </c>
      <c r="M1829">
        <v>20533151435</v>
      </c>
      <c r="P1829" t="s">
        <v>38</v>
      </c>
      <c r="Q1829" t="s">
        <v>163</v>
      </c>
      <c r="R1829" t="s">
        <v>10875</v>
      </c>
      <c r="S1829">
        <v>595.9</v>
      </c>
      <c r="T1829" t="s">
        <v>40</v>
      </c>
      <c r="U1829">
        <f>+IF(Tabla1[[#This Row],[MONEDA]]="PEN",Tabla1[[#This Row],[MONTO]],Tabla1[[#This Row],[MONTO]]*3.56)</f>
        <v>595.9</v>
      </c>
      <c r="X1829" t="s">
        <v>41</v>
      </c>
      <c r="Y1829" t="s">
        <v>42</v>
      </c>
      <c r="Z1829" t="s">
        <v>82</v>
      </c>
      <c r="AA1829" t="s">
        <v>10876</v>
      </c>
      <c r="AB1829" t="s">
        <v>10877</v>
      </c>
      <c r="AC1829" t="s">
        <v>10878</v>
      </c>
      <c r="AD1829" t="s">
        <v>10879</v>
      </c>
      <c r="AE1829">
        <v>595.9</v>
      </c>
      <c r="AF1829" t="s">
        <v>87</v>
      </c>
      <c r="AG1829" t="s">
        <v>169</v>
      </c>
    </row>
    <row r="1830" spans="1:33" x14ac:dyDescent="0.25">
      <c r="A1830">
        <v>23878</v>
      </c>
      <c r="B1830" t="s">
        <v>32</v>
      </c>
      <c r="C1830">
        <v>1</v>
      </c>
      <c r="D1830" t="s">
        <v>10941</v>
      </c>
      <c r="E1830" t="s">
        <v>70</v>
      </c>
      <c r="F1830" t="s">
        <v>3256</v>
      </c>
      <c r="G1830" t="s">
        <v>3257</v>
      </c>
      <c r="H1830" t="s">
        <v>8233</v>
      </c>
      <c r="I1830" t="s">
        <v>10942</v>
      </c>
      <c r="J1830" t="s">
        <v>10943</v>
      </c>
      <c r="K1830" t="s">
        <v>36</v>
      </c>
      <c r="L1830" t="s">
        <v>33</v>
      </c>
      <c r="M1830">
        <v>20533151435</v>
      </c>
      <c r="P1830" t="s">
        <v>38</v>
      </c>
      <c r="Q1830" t="s">
        <v>163</v>
      </c>
      <c r="R1830" t="s">
        <v>10944</v>
      </c>
      <c r="S1830">
        <v>194.7</v>
      </c>
      <c r="T1830" t="s">
        <v>40</v>
      </c>
      <c r="U1830">
        <f>+IF(Tabla1[[#This Row],[MONEDA]]="PEN",Tabla1[[#This Row],[MONTO]],Tabla1[[#This Row],[MONTO]]*3.56)</f>
        <v>194.7</v>
      </c>
      <c r="X1830" t="s">
        <v>41</v>
      </c>
      <c r="Y1830" t="s">
        <v>42</v>
      </c>
      <c r="Z1830" t="s">
        <v>43</v>
      </c>
      <c r="AA1830" t="s">
        <v>10945</v>
      </c>
      <c r="AB1830" t="s">
        <v>10946</v>
      </c>
      <c r="AC1830" t="s">
        <v>10947</v>
      </c>
      <c r="AD1830" t="s">
        <v>10948</v>
      </c>
      <c r="AE1830">
        <v>194.7</v>
      </c>
      <c r="AF1830" t="s">
        <v>87</v>
      </c>
      <c r="AG1830" t="s">
        <v>169</v>
      </c>
    </row>
    <row r="1831" spans="1:33" hidden="1" x14ac:dyDescent="0.25">
      <c r="A1831">
        <v>23669</v>
      </c>
      <c r="B1831" t="s">
        <v>32</v>
      </c>
      <c r="C1831">
        <v>1</v>
      </c>
      <c r="D1831" t="s">
        <v>11008</v>
      </c>
      <c r="E1831" t="s">
        <v>70</v>
      </c>
      <c r="F1831" t="s">
        <v>33</v>
      </c>
      <c r="G1831" t="s">
        <v>71</v>
      </c>
      <c r="H1831" t="s">
        <v>72</v>
      </c>
      <c r="I1831" t="s">
        <v>11009</v>
      </c>
      <c r="J1831" t="s">
        <v>11009</v>
      </c>
      <c r="K1831" t="s">
        <v>36</v>
      </c>
      <c r="L1831" t="s">
        <v>33</v>
      </c>
      <c r="O1831" t="s">
        <v>76</v>
      </c>
      <c r="R1831" t="s">
        <v>11010</v>
      </c>
      <c r="S1831">
        <v>200</v>
      </c>
      <c r="T1831" t="s">
        <v>40</v>
      </c>
      <c r="U1831">
        <f>+IF(Tabla1[[#This Row],[MONEDA]]="PEN",Tabla1[[#This Row],[MONTO]],Tabla1[[#This Row],[MONTO]]*3.56)</f>
        <v>200</v>
      </c>
      <c r="V1831" t="s">
        <v>190</v>
      </c>
      <c r="W1831">
        <v>21455</v>
      </c>
      <c r="X1831" t="s">
        <v>81</v>
      </c>
      <c r="Y1831" t="s">
        <v>42</v>
      </c>
      <c r="Z1831" t="s">
        <v>82</v>
      </c>
      <c r="AA1831" t="s">
        <v>11011</v>
      </c>
      <c r="AC1831" t="s">
        <v>11012</v>
      </c>
      <c r="AD1831" t="s">
        <v>11013</v>
      </c>
    </row>
    <row r="1832" spans="1:33" hidden="1" x14ac:dyDescent="0.25">
      <c r="A1832">
        <v>23668</v>
      </c>
      <c r="B1832" t="s">
        <v>32</v>
      </c>
      <c r="C1832">
        <v>1</v>
      </c>
      <c r="D1832" t="s">
        <v>11014</v>
      </c>
      <c r="E1832" t="s">
        <v>70</v>
      </c>
      <c r="F1832" t="s">
        <v>33</v>
      </c>
      <c r="G1832" t="s">
        <v>71</v>
      </c>
      <c r="H1832" t="s">
        <v>72</v>
      </c>
      <c r="I1832" t="s">
        <v>11015</v>
      </c>
      <c r="J1832" t="s">
        <v>11016</v>
      </c>
      <c r="K1832" t="s">
        <v>36</v>
      </c>
      <c r="L1832" t="s">
        <v>33</v>
      </c>
      <c r="O1832" t="s">
        <v>76</v>
      </c>
      <c r="R1832" t="s">
        <v>11017</v>
      </c>
      <c r="S1832">
        <v>300</v>
      </c>
      <c r="T1832" t="s">
        <v>40</v>
      </c>
      <c r="U1832">
        <f>+IF(Tabla1[[#This Row],[MONEDA]]="PEN",Tabla1[[#This Row],[MONTO]],Tabla1[[#This Row],[MONTO]]*3.56)</f>
        <v>300</v>
      </c>
      <c r="V1832" t="s">
        <v>190</v>
      </c>
      <c r="W1832">
        <v>21455</v>
      </c>
      <c r="X1832" t="s">
        <v>81</v>
      </c>
      <c r="Y1832" t="s">
        <v>42</v>
      </c>
      <c r="Z1832" t="s">
        <v>82</v>
      </c>
      <c r="AA1832" t="s">
        <v>11018</v>
      </c>
      <c r="AC1832" t="s">
        <v>11019</v>
      </c>
      <c r="AD1832" t="s">
        <v>11020</v>
      </c>
    </row>
    <row r="1833" spans="1:33" hidden="1" x14ac:dyDescent="0.25">
      <c r="A1833">
        <v>23667</v>
      </c>
      <c r="B1833" t="s">
        <v>32</v>
      </c>
      <c r="C1833">
        <v>1</v>
      </c>
      <c r="D1833" t="s">
        <v>11021</v>
      </c>
      <c r="E1833" t="s">
        <v>70</v>
      </c>
      <c r="F1833" t="s">
        <v>33</v>
      </c>
      <c r="G1833" t="s">
        <v>71</v>
      </c>
      <c r="H1833" t="s">
        <v>72</v>
      </c>
      <c r="I1833" t="s">
        <v>11022</v>
      </c>
      <c r="J1833" t="s">
        <v>11023</v>
      </c>
      <c r="K1833" t="s">
        <v>36</v>
      </c>
      <c r="L1833" t="s">
        <v>33</v>
      </c>
      <c r="O1833" t="s">
        <v>76</v>
      </c>
      <c r="R1833" t="s">
        <v>11024</v>
      </c>
      <c r="S1833">
        <v>300</v>
      </c>
      <c r="T1833" t="s">
        <v>40</v>
      </c>
      <c r="U1833">
        <f>+IF(Tabla1[[#This Row],[MONEDA]]="PEN",Tabla1[[#This Row],[MONTO]],Tabla1[[#This Row],[MONTO]]*3.56)</f>
        <v>300</v>
      </c>
      <c r="V1833" t="s">
        <v>190</v>
      </c>
      <c r="W1833">
        <v>21455</v>
      </c>
      <c r="X1833" t="s">
        <v>81</v>
      </c>
      <c r="Y1833" t="s">
        <v>42</v>
      </c>
      <c r="Z1833" t="s">
        <v>82</v>
      </c>
      <c r="AA1833" t="s">
        <v>11025</v>
      </c>
      <c r="AC1833" t="s">
        <v>11026</v>
      </c>
      <c r="AD1833" t="s">
        <v>11027</v>
      </c>
    </row>
    <row r="1834" spans="1:33" hidden="1" x14ac:dyDescent="0.25">
      <c r="A1834">
        <v>23665</v>
      </c>
      <c r="B1834" t="s">
        <v>32</v>
      </c>
      <c r="C1834">
        <v>1</v>
      </c>
      <c r="D1834" t="s">
        <v>11028</v>
      </c>
      <c r="E1834" t="s">
        <v>70</v>
      </c>
      <c r="F1834" t="s">
        <v>33</v>
      </c>
      <c r="G1834" t="s">
        <v>71</v>
      </c>
      <c r="H1834" t="s">
        <v>72</v>
      </c>
      <c r="I1834" t="s">
        <v>11029</v>
      </c>
      <c r="J1834" t="s">
        <v>11030</v>
      </c>
      <c r="K1834" t="s">
        <v>36</v>
      </c>
      <c r="L1834" t="s">
        <v>33</v>
      </c>
      <c r="O1834" t="s">
        <v>76</v>
      </c>
      <c r="R1834" t="s">
        <v>11031</v>
      </c>
      <c r="S1834">
        <v>200</v>
      </c>
      <c r="T1834" t="s">
        <v>40</v>
      </c>
      <c r="U1834">
        <f>+IF(Tabla1[[#This Row],[MONEDA]]="PEN",Tabla1[[#This Row],[MONTO]],Tabla1[[#This Row],[MONTO]]*3.56)</f>
        <v>200</v>
      </c>
      <c r="V1834" t="s">
        <v>190</v>
      </c>
      <c r="W1834">
        <v>21455</v>
      </c>
      <c r="X1834" t="s">
        <v>81</v>
      </c>
      <c r="Y1834" t="s">
        <v>42</v>
      </c>
      <c r="Z1834" t="s">
        <v>82</v>
      </c>
      <c r="AA1834" t="s">
        <v>11032</v>
      </c>
      <c r="AC1834" t="s">
        <v>11033</v>
      </c>
      <c r="AD1834" t="s">
        <v>11034</v>
      </c>
    </row>
    <row r="1835" spans="1:33" hidden="1" x14ac:dyDescent="0.25">
      <c r="A1835">
        <v>23666</v>
      </c>
      <c r="B1835" t="s">
        <v>32</v>
      </c>
      <c r="C1835">
        <v>1</v>
      </c>
      <c r="D1835" t="s">
        <v>11028</v>
      </c>
      <c r="E1835" t="s">
        <v>70</v>
      </c>
      <c r="F1835" t="s">
        <v>33</v>
      </c>
      <c r="G1835" t="s">
        <v>71</v>
      </c>
      <c r="H1835" t="s">
        <v>72</v>
      </c>
      <c r="I1835" t="s">
        <v>11029</v>
      </c>
      <c r="J1835" t="s">
        <v>11035</v>
      </c>
      <c r="K1835" t="s">
        <v>36</v>
      </c>
      <c r="L1835" t="s">
        <v>33</v>
      </c>
      <c r="O1835" t="s">
        <v>76</v>
      </c>
      <c r="R1835" t="s">
        <v>11036</v>
      </c>
      <c r="S1835">
        <v>300</v>
      </c>
      <c r="T1835" t="s">
        <v>40</v>
      </c>
      <c r="U1835">
        <f>+IF(Tabla1[[#This Row],[MONEDA]]="PEN",Tabla1[[#This Row],[MONTO]],Tabla1[[#This Row],[MONTO]]*3.56)</f>
        <v>300</v>
      </c>
      <c r="V1835" t="s">
        <v>190</v>
      </c>
      <c r="W1835">
        <v>21455</v>
      </c>
      <c r="X1835" t="s">
        <v>81</v>
      </c>
      <c r="Y1835" t="s">
        <v>42</v>
      </c>
      <c r="Z1835" t="s">
        <v>82</v>
      </c>
      <c r="AA1835" t="s">
        <v>11037</v>
      </c>
      <c r="AC1835" t="s">
        <v>11038</v>
      </c>
      <c r="AD1835" t="s">
        <v>11039</v>
      </c>
    </row>
    <row r="1836" spans="1:33" hidden="1" x14ac:dyDescent="0.25">
      <c r="A1836">
        <v>23628</v>
      </c>
      <c r="B1836" t="s">
        <v>32</v>
      </c>
      <c r="C1836">
        <v>2</v>
      </c>
      <c r="D1836" t="s">
        <v>11076</v>
      </c>
      <c r="E1836" t="s">
        <v>70</v>
      </c>
      <c r="F1836" t="s">
        <v>33</v>
      </c>
      <c r="G1836" t="s">
        <v>71</v>
      </c>
      <c r="H1836" t="s">
        <v>72</v>
      </c>
      <c r="I1836" t="s">
        <v>11077</v>
      </c>
      <c r="J1836" t="s">
        <v>11078</v>
      </c>
      <c r="K1836" t="s">
        <v>36</v>
      </c>
      <c r="L1836" t="s">
        <v>33</v>
      </c>
      <c r="O1836" t="s">
        <v>76</v>
      </c>
      <c r="R1836" t="s">
        <v>11079</v>
      </c>
      <c r="S1836">
        <v>100</v>
      </c>
      <c r="T1836" t="s">
        <v>40</v>
      </c>
      <c r="U1836">
        <f>+IF(Tabla1[[#This Row],[MONEDA]]="PEN",Tabla1[[#This Row],[MONTO]],Tabla1[[#This Row],[MONTO]]*3.56)</f>
        <v>100</v>
      </c>
      <c r="V1836" t="s">
        <v>190</v>
      </c>
      <c r="W1836">
        <v>21454</v>
      </c>
      <c r="X1836" t="s">
        <v>828</v>
      </c>
      <c r="Y1836" t="s">
        <v>42</v>
      </c>
      <c r="Z1836" t="s">
        <v>82</v>
      </c>
      <c r="AA1836" t="s">
        <v>11080</v>
      </c>
      <c r="AC1836" t="s">
        <v>11081</v>
      </c>
      <c r="AD1836" t="s">
        <v>11082</v>
      </c>
    </row>
    <row r="1837" spans="1:33" hidden="1" x14ac:dyDescent="0.25">
      <c r="A1837">
        <v>23629</v>
      </c>
      <c r="B1837" t="s">
        <v>32</v>
      </c>
      <c r="C1837">
        <v>2</v>
      </c>
      <c r="D1837" t="s">
        <v>11076</v>
      </c>
      <c r="E1837" t="s">
        <v>70</v>
      </c>
      <c r="F1837" t="s">
        <v>33</v>
      </c>
      <c r="G1837" t="s">
        <v>71</v>
      </c>
      <c r="H1837" t="s">
        <v>72</v>
      </c>
      <c r="I1837" t="s">
        <v>11077</v>
      </c>
      <c r="J1837" t="s">
        <v>11083</v>
      </c>
      <c r="K1837" t="s">
        <v>36</v>
      </c>
      <c r="L1837" t="s">
        <v>33</v>
      </c>
      <c r="O1837" t="s">
        <v>76</v>
      </c>
      <c r="R1837" t="s">
        <v>11084</v>
      </c>
      <c r="S1837">
        <v>40</v>
      </c>
      <c r="T1837" t="s">
        <v>40</v>
      </c>
      <c r="U1837">
        <f>+IF(Tabla1[[#This Row],[MONEDA]]="PEN",Tabla1[[#This Row],[MONTO]],Tabla1[[#This Row],[MONTO]]*3.56)</f>
        <v>40</v>
      </c>
      <c r="V1837" t="s">
        <v>190</v>
      </c>
      <c r="W1837">
        <v>21454</v>
      </c>
      <c r="X1837" t="s">
        <v>81</v>
      </c>
      <c r="Y1837" t="s">
        <v>42</v>
      </c>
      <c r="Z1837" t="s">
        <v>82</v>
      </c>
      <c r="AA1837" t="s">
        <v>11085</v>
      </c>
      <c r="AC1837" t="s">
        <v>11086</v>
      </c>
      <c r="AD1837" t="s">
        <v>11087</v>
      </c>
    </row>
    <row r="1838" spans="1:33" hidden="1" x14ac:dyDescent="0.25">
      <c r="A1838">
        <v>23630</v>
      </c>
      <c r="B1838" t="s">
        <v>32</v>
      </c>
      <c r="C1838">
        <v>2</v>
      </c>
      <c r="D1838" t="s">
        <v>11076</v>
      </c>
      <c r="E1838" t="s">
        <v>70</v>
      </c>
      <c r="F1838" t="s">
        <v>33</v>
      </c>
      <c r="G1838" t="s">
        <v>71</v>
      </c>
      <c r="H1838" t="s">
        <v>72</v>
      </c>
      <c r="I1838" t="s">
        <v>11077</v>
      </c>
      <c r="J1838" t="s">
        <v>11088</v>
      </c>
      <c r="K1838" t="s">
        <v>36</v>
      </c>
      <c r="L1838" t="s">
        <v>33</v>
      </c>
      <c r="O1838" t="s">
        <v>76</v>
      </c>
      <c r="R1838" t="s">
        <v>11089</v>
      </c>
      <c r="S1838">
        <v>140</v>
      </c>
      <c r="T1838" t="s">
        <v>40</v>
      </c>
      <c r="U1838">
        <f>+IF(Tabla1[[#This Row],[MONEDA]]="PEN",Tabla1[[#This Row],[MONTO]],Tabla1[[#This Row],[MONTO]]*3.56)</f>
        <v>140</v>
      </c>
      <c r="V1838" t="s">
        <v>190</v>
      </c>
      <c r="W1838">
        <v>21454</v>
      </c>
      <c r="X1838" t="s">
        <v>81</v>
      </c>
      <c r="Y1838" t="s">
        <v>42</v>
      </c>
      <c r="Z1838" t="s">
        <v>82</v>
      </c>
      <c r="AA1838" t="s">
        <v>11090</v>
      </c>
      <c r="AC1838" t="s">
        <v>11091</v>
      </c>
      <c r="AD1838" t="s">
        <v>11092</v>
      </c>
    </row>
    <row r="1839" spans="1:33" hidden="1" x14ac:dyDescent="0.25">
      <c r="A1839">
        <v>23631</v>
      </c>
      <c r="B1839" t="s">
        <v>32</v>
      </c>
      <c r="C1839">
        <v>2</v>
      </c>
      <c r="D1839" t="s">
        <v>11076</v>
      </c>
      <c r="E1839" t="s">
        <v>70</v>
      </c>
      <c r="F1839" t="s">
        <v>33</v>
      </c>
      <c r="G1839" t="s">
        <v>71</v>
      </c>
      <c r="H1839" t="s">
        <v>72</v>
      </c>
      <c r="I1839" t="s">
        <v>11077</v>
      </c>
      <c r="J1839" t="s">
        <v>11093</v>
      </c>
      <c r="K1839" t="s">
        <v>36</v>
      </c>
      <c r="L1839" t="s">
        <v>33</v>
      </c>
      <c r="O1839" t="s">
        <v>76</v>
      </c>
      <c r="R1839" t="s">
        <v>11089</v>
      </c>
      <c r="S1839">
        <v>100</v>
      </c>
      <c r="T1839" t="s">
        <v>40</v>
      </c>
      <c r="U1839">
        <f>+IF(Tabla1[[#This Row],[MONEDA]]="PEN",Tabla1[[#This Row],[MONTO]],Tabla1[[#This Row],[MONTO]]*3.56)</f>
        <v>100</v>
      </c>
      <c r="V1839" t="s">
        <v>190</v>
      </c>
      <c r="W1839">
        <v>21454</v>
      </c>
      <c r="X1839" t="s">
        <v>81</v>
      </c>
      <c r="Y1839" t="s">
        <v>42</v>
      </c>
      <c r="Z1839" t="s">
        <v>82</v>
      </c>
      <c r="AA1839" t="s">
        <v>11094</v>
      </c>
      <c r="AC1839" t="s">
        <v>11095</v>
      </c>
      <c r="AD1839" t="s">
        <v>11096</v>
      </c>
    </row>
    <row r="1840" spans="1:33" hidden="1" x14ac:dyDescent="0.25">
      <c r="A1840">
        <v>23632</v>
      </c>
      <c r="B1840" t="s">
        <v>32</v>
      </c>
      <c r="C1840">
        <v>2</v>
      </c>
      <c r="D1840" t="s">
        <v>11076</v>
      </c>
      <c r="E1840" t="s">
        <v>70</v>
      </c>
      <c r="F1840" t="s">
        <v>33</v>
      </c>
      <c r="G1840" t="s">
        <v>71</v>
      </c>
      <c r="H1840" t="s">
        <v>72</v>
      </c>
      <c r="I1840" t="s">
        <v>11077</v>
      </c>
      <c r="J1840" t="s">
        <v>11097</v>
      </c>
      <c r="K1840" t="s">
        <v>36</v>
      </c>
      <c r="L1840" t="s">
        <v>33</v>
      </c>
      <c r="O1840" t="s">
        <v>76</v>
      </c>
      <c r="R1840" t="s">
        <v>11098</v>
      </c>
      <c r="S1840">
        <v>26</v>
      </c>
      <c r="T1840" t="s">
        <v>40</v>
      </c>
      <c r="U1840">
        <f>+IF(Tabla1[[#This Row],[MONEDA]]="PEN",Tabla1[[#This Row],[MONTO]],Tabla1[[#This Row],[MONTO]]*3.56)</f>
        <v>26</v>
      </c>
      <c r="V1840" t="s">
        <v>190</v>
      </c>
      <c r="W1840">
        <v>21454</v>
      </c>
      <c r="X1840" t="s">
        <v>81</v>
      </c>
      <c r="Y1840" t="s">
        <v>42</v>
      </c>
      <c r="Z1840" t="s">
        <v>82</v>
      </c>
      <c r="AA1840" t="s">
        <v>11099</v>
      </c>
      <c r="AC1840" t="s">
        <v>11100</v>
      </c>
      <c r="AD1840" t="s">
        <v>11101</v>
      </c>
    </row>
    <row r="1841" spans="1:33" hidden="1" x14ac:dyDescent="0.25">
      <c r="A1841">
        <v>23625</v>
      </c>
      <c r="B1841" t="s">
        <v>32</v>
      </c>
      <c r="C1841">
        <v>2</v>
      </c>
      <c r="D1841" t="s">
        <v>11111</v>
      </c>
      <c r="E1841" t="s">
        <v>70</v>
      </c>
      <c r="F1841" t="s">
        <v>33</v>
      </c>
      <c r="G1841" t="s">
        <v>71</v>
      </c>
      <c r="H1841" t="s">
        <v>72</v>
      </c>
      <c r="I1841" t="s">
        <v>11112</v>
      </c>
      <c r="J1841" t="s">
        <v>11118</v>
      </c>
      <c r="K1841" t="s">
        <v>36</v>
      </c>
      <c r="L1841" t="s">
        <v>33</v>
      </c>
      <c r="O1841" t="s">
        <v>76</v>
      </c>
      <c r="R1841" t="s">
        <v>11114</v>
      </c>
      <c r="S1841">
        <v>35</v>
      </c>
      <c r="T1841" t="s">
        <v>40</v>
      </c>
      <c r="U1841">
        <f>+IF(Tabla1[[#This Row],[MONEDA]]="PEN",Tabla1[[#This Row],[MONTO]],Tabla1[[#This Row],[MONTO]]*3.56)</f>
        <v>35</v>
      </c>
      <c r="V1841" t="s">
        <v>190</v>
      </c>
      <c r="W1841">
        <v>21454</v>
      </c>
      <c r="X1841" t="s">
        <v>81</v>
      </c>
      <c r="Y1841" t="s">
        <v>42</v>
      </c>
      <c r="Z1841" t="s">
        <v>82</v>
      </c>
      <c r="AA1841" t="s">
        <v>11119</v>
      </c>
      <c r="AC1841" t="s">
        <v>11120</v>
      </c>
      <c r="AD1841" t="s">
        <v>11121</v>
      </c>
    </row>
    <row r="1842" spans="1:33" hidden="1" x14ac:dyDescent="0.25">
      <c r="A1842">
        <v>23627</v>
      </c>
      <c r="B1842" t="s">
        <v>32</v>
      </c>
      <c r="C1842">
        <v>2</v>
      </c>
      <c r="D1842" t="s">
        <v>11111</v>
      </c>
      <c r="E1842" t="s">
        <v>70</v>
      </c>
      <c r="F1842" t="s">
        <v>33</v>
      </c>
      <c r="G1842" t="s">
        <v>71</v>
      </c>
      <c r="H1842" t="s">
        <v>72</v>
      </c>
      <c r="I1842" t="s">
        <v>11112</v>
      </c>
      <c r="J1842" t="s">
        <v>11128</v>
      </c>
      <c r="K1842" t="s">
        <v>36</v>
      </c>
      <c r="L1842" t="s">
        <v>33</v>
      </c>
      <c r="O1842" t="s">
        <v>76</v>
      </c>
      <c r="R1842" t="s">
        <v>11114</v>
      </c>
      <c r="S1842">
        <v>35</v>
      </c>
      <c r="T1842" t="s">
        <v>40</v>
      </c>
      <c r="U1842">
        <f>+IF(Tabla1[[#This Row],[MONEDA]]="PEN",Tabla1[[#This Row],[MONTO]],Tabla1[[#This Row],[MONTO]]*3.56)</f>
        <v>35</v>
      </c>
      <c r="V1842" t="s">
        <v>190</v>
      </c>
      <c r="W1842">
        <v>21454</v>
      </c>
      <c r="X1842" t="s">
        <v>81</v>
      </c>
      <c r="Y1842" t="s">
        <v>42</v>
      </c>
      <c r="Z1842" t="s">
        <v>82</v>
      </c>
      <c r="AA1842" t="s">
        <v>11129</v>
      </c>
      <c r="AC1842" t="s">
        <v>11130</v>
      </c>
      <c r="AD1842" t="s">
        <v>11131</v>
      </c>
    </row>
    <row r="1843" spans="1:33" hidden="1" x14ac:dyDescent="0.25">
      <c r="A1843">
        <v>23619</v>
      </c>
      <c r="B1843" t="s">
        <v>32</v>
      </c>
      <c r="C1843">
        <v>2</v>
      </c>
      <c r="D1843" t="s">
        <v>11132</v>
      </c>
      <c r="E1843" t="s">
        <v>70</v>
      </c>
      <c r="F1843" t="s">
        <v>33</v>
      </c>
      <c r="G1843" t="s">
        <v>71</v>
      </c>
      <c r="H1843" t="s">
        <v>72</v>
      </c>
      <c r="I1843" t="s">
        <v>11133</v>
      </c>
      <c r="J1843" t="s">
        <v>11139</v>
      </c>
      <c r="K1843" t="s">
        <v>36</v>
      </c>
      <c r="L1843" t="s">
        <v>33</v>
      </c>
      <c r="O1843" t="s">
        <v>76</v>
      </c>
      <c r="R1843" t="s">
        <v>11114</v>
      </c>
      <c r="S1843">
        <v>33</v>
      </c>
      <c r="T1843" t="s">
        <v>40</v>
      </c>
      <c r="U1843">
        <f>+IF(Tabla1[[#This Row],[MONEDA]]="PEN",Tabla1[[#This Row],[MONTO]],Tabla1[[#This Row],[MONTO]]*3.56)</f>
        <v>33</v>
      </c>
      <c r="V1843" t="s">
        <v>190</v>
      </c>
      <c r="W1843">
        <v>21454</v>
      </c>
      <c r="X1843" t="s">
        <v>81</v>
      </c>
      <c r="Y1843" t="s">
        <v>42</v>
      </c>
      <c r="Z1843" t="s">
        <v>82</v>
      </c>
      <c r="AA1843" t="s">
        <v>11143</v>
      </c>
      <c r="AC1843" t="s">
        <v>11144</v>
      </c>
      <c r="AD1843" t="s">
        <v>11145</v>
      </c>
    </row>
    <row r="1844" spans="1:33" hidden="1" x14ac:dyDescent="0.25">
      <c r="A1844">
        <v>23620</v>
      </c>
      <c r="B1844" t="s">
        <v>32</v>
      </c>
      <c r="C1844">
        <v>2</v>
      </c>
      <c r="D1844" t="s">
        <v>11132</v>
      </c>
      <c r="E1844" t="s">
        <v>70</v>
      </c>
      <c r="F1844" t="s">
        <v>33</v>
      </c>
      <c r="G1844" t="s">
        <v>71</v>
      </c>
      <c r="H1844" t="s">
        <v>72</v>
      </c>
      <c r="I1844" t="s">
        <v>11133</v>
      </c>
      <c r="J1844" t="s">
        <v>11146</v>
      </c>
      <c r="K1844" t="s">
        <v>36</v>
      </c>
      <c r="L1844" t="s">
        <v>33</v>
      </c>
      <c r="O1844" t="s">
        <v>76</v>
      </c>
      <c r="R1844" t="s">
        <v>11114</v>
      </c>
      <c r="S1844">
        <v>18</v>
      </c>
      <c r="T1844" t="s">
        <v>40</v>
      </c>
      <c r="U1844">
        <f>+IF(Tabla1[[#This Row],[MONEDA]]="PEN",Tabla1[[#This Row],[MONTO]],Tabla1[[#This Row],[MONTO]]*3.56)</f>
        <v>18</v>
      </c>
      <c r="V1844" t="s">
        <v>190</v>
      </c>
      <c r="W1844">
        <v>21454</v>
      </c>
      <c r="X1844" t="s">
        <v>81</v>
      </c>
      <c r="Y1844" t="s">
        <v>42</v>
      </c>
      <c r="Z1844" t="s">
        <v>82</v>
      </c>
      <c r="AA1844" t="s">
        <v>11147</v>
      </c>
      <c r="AC1844" t="s">
        <v>11148</v>
      </c>
      <c r="AD1844" t="s">
        <v>11149</v>
      </c>
    </row>
    <row r="1845" spans="1:33" hidden="1" x14ac:dyDescent="0.25">
      <c r="A1845">
        <v>23623</v>
      </c>
      <c r="B1845" t="s">
        <v>32</v>
      </c>
      <c r="C1845">
        <v>2</v>
      </c>
      <c r="D1845" t="s">
        <v>11132</v>
      </c>
      <c r="E1845" t="s">
        <v>70</v>
      </c>
      <c r="F1845" t="s">
        <v>33</v>
      </c>
      <c r="G1845" t="s">
        <v>71</v>
      </c>
      <c r="H1845" t="s">
        <v>72</v>
      </c>
      <c r="I1845" t="s">
        <v>11133</v>
      </c>
      <c r="J1845" t="s">
        <v>11158</v>
      </c>
      <c r="K1845" t="s">
        <v>36</v>
      </c>
      <c r="L1845" t="s">
        <v>33</v>
      </c>
      <c r="O1845" t="s">
        <v>76</v>
      </c>
      <c r="R1845" t="s">
        <v>11159</v>
      </c>
      <c r="S1845">
        <v>217.5</v>
      </c>
      <c r="T1845" t="s">
        <v>40</v>
      </c>
      <c r="U1845">
        <f>+IF(Tabla1[[#This Row],[MONEDA]]="PEN",Tabla1[[#This Row],[MONTO]],Tabla1[[#This Row],[MONTO]]*3.56)</f>
        <v>217.5</v>
      </c>
      <c r="V1845" t="s">
        <v>190</v>
      </c>
      <c r="W1845">
        <v>21454</v>
      </c>
      <c r="X1845" t="s">
        <v>81</v>
      </c>
      <c r="Y1845" t="s">
        <v>42</v>
      </c>
      <c r="Z1845" t="s">
        <v>82</v>
      </c>
      <c r="AA1845" t="s">
        <v>11160</v>
      </c>
      <c r="AC1845" t="s">
        <v>11161</v>
      </c>
      <c r="AD1845" t="s">
        <v>11162</v>
      </c>
    </row>
    <row r="1846" spans="1:33" hidden="1" x14ac:dyDescent="0.25">
      <c r="A1846">
        <v>23616</v>
      </c>
      <c r="B1846" t="s">
        <v>32</v>
      </c>
      <c r="C1846">
        <v>2</v>
      </c>
      <c r="D1846" t="s">
        <v>11163</v>
      </c>
      <c r="E1846" t="s">
        <v>70</v>
      </c>
      <c r="F1846" t="s">
        <v>33</v>
      </c>
      <c r="G1846" t="s">
        <v>71</v>
      </c>
      <c r="H1846" t="s">
        <v>72</v>
      </c>
      <c r="I1846" t="s">
        <v>11164</v>
      </c>
      <c r="J1846" t="s">
        <v>11165</v>
      </c>
      <c r="K1846" t="s">
        <v>36</v>
      </c>
      <c r="L1846" t="s">
        <v>33</v>
      </c>
      <c r="O1846" t="s">
        <v>76</v>
      </c>
      <c r="R1846" t="s">
        <v>11114</v>
      </c>
      <c r="S1846">
        <v>13</v>
      </c>
      <c r="T1846" t="s">
        <v>40</v>
      </c>
      <c r="U1846">
        <f>+IF(Tabla1[[#This Row],[MONEDA]]="PEN",Tabla1[[#This Row],[MONTO]],Tabla1[[#This Row],[MONTO]]*3.56)</f>
        <v>13</v>
      </c>
      <c r="V1846" t="s">
        <v>190</v>
      </c>
      <c r="W1846">
        <v>21454</v>
      </c>
      <c r="X1846" t="s">
        <v>81</v>
      </c>
      <c r="Y1846" t="s">
        <v>42</v>
      </c>
      <c r="Z1846" t="s">
        <v>82</v>
      </c>
      <c r="AA1846" t="s">
        <v>11166</v>
      </c>
      <c r="AC1846" t="s">
        <v>11167</v>
      </c>
      <c r="AD1846" t="s">
        <v>11168</v>
      </c>
    </row>
    <row r="1847" spans="1:33" hidden="1" x14ac:dyDescent="0.25">
      <c r="A1847">
        <v>23615</v>
      </c>
      <c r="B1847" t="s">
        <v>32</v>
      </c>
      <c r="C1847">
        <v>2</v>
      </c>
      <c r="D1847" t="s">
        <v>11169</v>
      </c>
      <c r="E1847" t="s">
        <v>70</v>
      </c>
      <c r="F1847" t="s">
        <v>33</v>
      </c>
      <c r="G1847" t="s">
        <v>71</v>
      </c>
      <c r="H1847" t="s">
        <v>72</v>
      </c>
      <c r="I1847" t="s">
        <v>11170</v>
      </c>
      <c r="J1847" t="s">
        <v>11171</v>
      </c>
      <c r="K1847" t="s">
        <v>36</v>
      </c>
      <c r="L1847" t="s">
        <v>33</v>
      </c>
      <c r="R1847" t="s">
        <v>11172</v>
      </c>
      <c r="S1847">
        <v>45</v>
      </c>
      <c r="T1847" t="s">
        <v>40</v>
      </c>
      <c r="U1847">
        <f>+IF(Tabla1[[#This Row],[MONEDA]]="PEN",Tabla1[[#This Row],[MONTO]],Tabla1[[#This Row],[MONTO]]*3.56)</f>
        <v>45</v>
      </c>
      <c r="V1847" t="s">
        <v>190</v>
      </c>
      <c r="W1847">
        <v>21454</v>
      </c>
      <c r="X1847" t="s">
        <v>81</v>
      </c>
      <c r="Y1847" t="s">
        <v>42</v>
      </c>
      <c r="Z1847" t="s">
        <v>82</v>
      </c>
      <c r="AA1847" t="s">
        <v>11173</v>
      </c>
      <c r="AC1847" t="s">
        <v>11174</v>
      </c>
      <c r="AD1847" t="s">
        <v>11175</v>
      </c>
    </row>
    <row r="1848" spans="1:33" x14ac:dyDescent="0.25">
      <c r="A1848">
        <v>23521</v>
      </c>
      <c r="B1848" t="s">
        <v>32</v>
      </c>
      <c r="C1848">
        <v>1</v>
      </c>
      <c r="D1848" t="s">
        <v>11192</v>
      </c>
      <c r="E1848" t="s">
        <v>70</v>
      </c>
      <c r="F1848" t="s">
        <v>3256</v>
      </c>
      <c r="G1848" t="s">
        <v>3257</v>
      </c>
      <c r="H1848" t="s">
        <v>8233</v>
      </c>
      <c r="I1848" t="s">
        <v>11185</v>
      </c>
      <c r="J1848" t="s">
        <v>11193</v>
      </c>
      <c r="K1848" t="s">
        <v>36</v>
      </c>
      <c r="L1848" t="s">
        <v>33</v>
      </c>
      <c r="M1848">
        <v>20533151435</v>
      </c>
      <c r="P1848" t="s">
        <v>38</v>
      </c>
      <c r="Q1848" t="s">
        <v>163</v>
      </c>
      <c r="R1848" t="s">
        <v>11194</v>
      </c>
      <c r="S1848">
        <v>389.4</v>
      </c>
      <c r="T1848" t="s">
        <v>40</v>
      </c>
      <c r="U1848">
        <f>+IF(Tabla1[[#This Row],[MONEDA]]="PEN",Tabla1[[#This Row],[MONTO]],Tabla1[[#This Row],[MONTO]]*3.56)</f>
        <v>389.4</v>
      </c>
      <c r="X1848" t="s">
        <v>41</v>
      </c>
      <c r="Y1848" t="s">
        <v>42</v>
      </c>
      <c r="Z1848" t="s">
        <v>82</v>
      </c>
      <c r="AA1848" t="s">
        <v>11195</v>
      </c>
      <c r="AB1848" t="s">
        <v>11196</v>
      </c>
      <c r="AC1848" t="s">
        <v>11197</v>
      </c>
      <c r="AD1848" t="s">
        <v>11198</v>
      </c>
      <c r="AE1848">
        <v>389.4</v>
      </c>
      <c r="AF1848" t="s">
        <v>87</v>
      </c>
      <c r="AG1848" t="s">
        <v>169</v>
      </c>
    </row>
    <row r="1849" spans="1:33" x14ac:dyDescent="0.25">
      <c r="A1849">
        <v>23325</v>
      </c>
      <c r="B1849" t="s">
        <v>32</v>
      </c>
      <c r="C1849">
        <v>6</v>
      </c>
      <c r="D1849" t="s">
        <v>11361</v>
      </c>
      <c r="E1849" t="s">
        <v>70</v>
      </c>
      <c r="F1849" t="s">
        <v>11362</v>
      </c>
      <c r="G1849" t="s">
        <v>11363</v>
      </c>
      <c r="H1849" t="s">
        <v>72</v>
      </c>
      <c r="I1849" t="s">
        <v>11333</v>
      </c>
      <c r="J1849" t="s">
        <v>11364</v>
      </c>
      <c r="K1849" t="s">
        <v>36</v>
      </c>
      <c r="L1849" t="s">
        <v>33</v>
      </c>
      <c r="O1849" t="s">
        <v>11363</v>
      </c>
      <c r="P1849" t="s">
        <v>38</v>
      </c>
      <c r="Q1849" t="s">
        <v>11365</v>
      </c>
      <c r="R1849" t="s">
        <v>11366</v>
      </c>
      <c r="S1849">
        <v>25</v>
      </c>
      <c r="T1849" t="s">
        <v>40</v>
      </c>
      <c r="U1849">
        <f>+IF(Tabla1[[#This Row],[MONEDA]]="PEN",Tabla1[[#This Row],[MONTO]],Tabla1[[#This Row],[MONTO]]*3.56)</f>
        <v>25</v>
      </c>
      <c r="X1849" t="s">
        <v>41</v>
      </c>
      <c r="Y1849" t="s">
        <v>42</v>
      </c>
      <c r="Z1849" t="s">
        <v>43</v>
      </c>
      <c r="AA1849" t="s">
        <v>11367</v>
      </c>
      <c r="AB1849" t="s">
        <v>11368</v>
      </c>
      <c r="AC1849" t="s">
        <v>11369</v>
      </c>
      <c r="AD1849" t="s">
        <v>11370</v>
      </c>
      <c r="AE1849">
        <v>25</v>
      </c>
      <c r="AF1849" t="s">
        <v>87</v>
      </c>
      <c r="AG1849" t="s">
        <v>169</v>
      </c>
    </row>
    <row r="1850" spans="1:33" hidden="1" x14ac:dyDescent="0.25">
      <c r="A1850">
        <v>23247</v>
      </c>
      <c r="B1850" t="s">
        <v>32</v>
      </c>
      <c r="C1850">
        <v>1</v>
      </c>
      <c r="D1850" t="s">
        <v>11378</v>
      </c>
      <c r="E1850" t="s">
        <v>70</v>
      </c>
      <c r="F1850" t="s">
        <v>33</v>
      </c>
      <c r="G1850" t="s">
        <v>71</v>
      </c>
      <c r="H1850" t="s">
        <v>72</v>
      </c>
      <c r="I1850" t="s">
        <v>11379</v>
      </c>
      <c r="J1850" t="s">
        <v>11380</v>
      </c>
      <c r="K1850" t="s">
        <v>36</v>
      </c>
      <c r="L1850" t="s">
        <v>33</v>
      </c>
      <c r="O1850" t="s">
        <v>76</v>
      </c>
      <c r="R1850" t="s">
        <v>11381</v>
      </c>
      <c r="S1850">
        <v>12</v>
      </c>
      <c r="T1850" t="s">
        <v>40</v>
      </c>
      <c r="U1850">
        <f>+IF(Tabla1[[#This Row],[MONEDA]]="PEN",Tabla1[[#This Row],[MONTO]],Tabla1[[#This Row],[MONTO]]*3.56)</f>
        <v>12</v>
      </c>
      <c r="V1850" t="s">
        <v>190</v>
      </c>
      <c r="W1850">
        <v>20973</v>
      </c>
      <c r="X1850" t="s">
        <v>81</v>
      </c>
      <c r="Y1850" t="s">
        <v>42</v>
      </c>
      <c r="Z1850" t="s">
        <v>82</v>
      </c>
      <c r="AA1850" t="s">
        <v>11382</v>
      </c>
      <c r="AC1850" t="s">
        <v>11383</v>
      </c>
      <c r="AD1850" t="s">
        <v>11384</v>
      </c>
    </row>
    <row r="1851" spans="1:33" hidden="1" x14ac:dyDescent="0.25">
      <c r="A1851">
        <v>23246</v>
      </c>
      <c r="B1851" t="s">
        <v>32</v>
      </c>
      <c r="C1851">
        <v>1</v>
      </c>
      <c r="D1851" t="s">
        <v>11385</v>
      </c>
      <c r="E1851" t="s">
        <v>70</v>
      </c>
      <c r="F1851" t="s">
        <v>33</v>
      </c>
      <c r="G1851" t="s">
        <v>71</v>
      </c>
      <c r="H1851" t="s">
        <v>72</v>
      </c>
      <c r="I1851" t="s">
        <v>11386</v>
      </c>
      <c r="J1851" t="s">
        <v>11387</v>
      </c>
      <c r="K1851" t="s">
        <v>36</v>
      </c>
      <c r="L1851" t="s">
        <v>33</v>
      </c>
      <c r="O1851" t="s">
        <v>76</v>
      </c>
      <c r="R1851" t="s">
        <v>11388</v>
      </c>
      <c r="S1851">
        <v>18</v>
      </c>
      <c r="T1851" t="s">
        <v>40</v>
      </c>
      <c r="U1851">
        <f>+IF(Tabla1[[#This Row],[MONEDA]]="PEN",Tabla1[[#This Row],[MONTO]],Tabla1[[#This Row],[MONTO]]*3.56)</f>
        <v>18</v>
      </c>
      <c r="V1851" t="s">
        <v>190</v>
      </c>
      <c r="W1851">
        <v>20973</v>
      </c>
      <c r="X1851" t="s">
        <v>81</v>
      </c>
      <c r="Y1851" t="s">
        <v>42</v>
      </c>
      <c r="Z1851" t="s">
        <v>82</v>
      </c>
      <c r="AA1851" t="s">
        <v>11389</v>
      </c>
      <c r="AC1851" t="s">
        <v>11390</v>
      </c>
      <c r="AD1851" t="s">
        <v>11391</v>
      </c>
    </row>
    <row r="1852" spans="1:33" hidden="1" x14ac:dyDescent="0.25">
      <c r="A1852">
        <v>23243</v>
      </c>
      <c r="B1852" t="s">
        <v>32</v>
      </c>
      <c r="C1852">
        <v>1</v>
      </c>
      <c r="D1852" t="s">
        <v>11421</v>
      </c>
      <c r="E1852" t="s">
        <v>70</v>
      </c>
      <c r="F1852" t="s">
        <v>33</v>
      </c>
      <c r="G1852" t="s">
        <v>71</v>
      </c>
      <c r="H1852" t="s">
        <v>72</v>
      </c>
      <c r="I1852" t="s">
        <v>11422</v>
      </c>
      <c r="J1852" t="s">
        <v>11423</v>
      </c>
      <c r="K1852" t="s">
        <v>36</v>
      </c>
      <c r="L1852" t="s">
        <v>33</v>
      </c>
      <c r="O1852" t="s">
        <v>76</v>
      </c>
      <c r="R1852" t="s">
        <v>11381</v>
      </c>
      <c r="S1852">
        <v>23</v>
      </c>
      <c r="T1852" t="s">
        <v>40</v>
      </c>
      <c r="U1852">
        <f>+IF(Tabla1[[#This Row],[MONEDA]]="PEN",Tabla1[[#This Row],[MONTO]],Tabla1[[#This Row],[MONTO]]*3.56)</f>
        <v>23</v>
      </c>
      <c r="V1852" t="s">
        <v>190</v>
      </c>
      <c r="W1852">
        <v>20973</v>
      </c>
      <c r="X1852" t="s">
        <v>81</v>
      </c>
      <c r="Y1852" t="s">
        <v>42</v>
      </c>
      <c r="Z1852" t="s">
        <v>82</v>
      </c>
      <c r="AA1852" t="s">
        <v>11424</v>
      </c>
      <c r="AC1852" t="s">
        <v>11425</v>
      </c>
      <c r="AD1852" t="s">
        <v>11426</v>
      </c>
    </row>
    <row r="1853" spans="1:33" hidden="1" x14ac:dyDescent="0.25">
      <c r="A1853">
        <v>23240</v>
      </c>
      <c r="B1853" t="s">
        <v>32</v>
      </c>
      <c r="C1853">
        <v>1</v>
      </c>
      <c r="D1853" t="s">
        <v>11434</v>
      </c>
      <c r="E1853" t="s">
        <v>70</v>
      </c>
      <c r="F1853" t="s">
        <v>33</v>
      </c>
      <c r="G1853" t="s">
        <v>71</v>
      </c>
      <c r="H1853" t="s">
        <v>72</v>
      </c>
      <c r="I1853" t="s">
        <v>11435</v>
      </c>
      <c r="J1853" t="s">
        <v>11436</v>
      </c>
      <c r="K1853" t="s">
        <v>36</v>
      </c>
      <c r="L1853" t="s">
        <v>33</v>
      </c>
      <c r="O1853" t="s">
        <v>76</v>
      </c>
      <c r="R1853" t="s">
        <v>11437</v>
      </c>
      <c r="S1853">
        <v>106</v>
      </c>
      <c r="T1853" t="s">
        <v>40</v>
      </c>
      <c r="U1853">
        <f>+IF(Tabla1[[#This Row],[MONEDA]]="PEN",Tabla1[[#This Row],[MONTO]],Tabla1[[#This Row],[MONTO]]*3.56)</f>
        <v>106</v>
      </c>
      <c r="V1853" t="s">
        <v>190</v>
      </c>
      <c r="W1853">
        <v>20973</v>
      </c>
      <c r="X1853" t="s">
        <v>81</v>
      </c>
      <c r="Y1853" t="s">
        <v>42</v>
      </c>
      <c r="Z1853" t="s">
        <v>82</v>
      </c>
      <c r="AA1853" t="s">
        <v>11438</v>
      </c>
      <c r="AC1853" t="s">
        <v>11439</v>
      </c>
      <c r="AD1853" t="s">
        <v>11440</v>
      </c>
    </row>
    <row r="1854" spans="1:33" hidden="1" x14ac:dyDescent="0.25">
      <c r="A1854">
        <v>23232</v>
      </c>
      <c r="B1854" t="s">
        <v>32</v>
      </c>
      <c r="C1854">
        <v>1</v>
      </c>
      <c r="D1854" t="s">
        <v>11462</v>
      </c>
      <c r="E1854" t="s">
        <v>70</v>
      </c>
      <c r="F1854" t="s">
        <v>33</v>
      </c>
      <c r="G1854" t="s">
        <v>71</v>
      </c>
      <c r="H1854" t="s">
        <v>72</v>
      </c>
      <c r="I1854" t="s">
        <v>11463</v>
      </c>
      <c r="J1854" t="s">
        <v>11464</v>
      </c>
      <c r="K1854" t="s">
        <v>36</v>
      </c>
      <c r="L1854" t="s">
        <v>33</v>
      </c>
      <c r="O1854" t="s">
        <v>76</v>
      </c>
      <c r="R1854" t="s">
        <v>11465</v>
      </c>
      <c r="S1854">
        <v>41</v>
      </c>
      <c r="T1854" t="s">
        <v>40</v>
      </c>
      <c r="U1854">
        <f>+IF(Tabla1[[#This Row],[MONEDA]]="PEN",Tabla1[[#This Row],[MONTO]],Tabla1[[#This Row],[MONTO]]*3.56)</f>
        <v>41</v>
      </c>
      <c r="V1854" t="s">
        <v>190</v>
      </c>
      <c r="W1854">
        <v>20973</v>
      </c>
      <c r="X1854" t="s">
        <v>81</v>
      </c>
      <c r="Y1854" t="s">
        <v>42</v>
      </c>
      <c r="Z1854" t="s">
        <v>82</v>
      </c>
      <c r="AA1854" t="s">
        <v>11466</v>
      </c>
      <c r="AC1854" t="s">
        <v>11467</v>
      </c>
      <c r="AD1854" t="s">
        <v>11468</v>
      </c>
    </row>
    <row r="1855" spans="1:33" hidden="1" x14ac:dyDescent="0.25">
      <c r="A1855">
        <v>23224</v>
      </c>
      <c r="B1855" t="s">
        <v>32</v>
      </c>
      <c r="C1855">
        <v>1</v>
      </c>
      <c r="D1855" t="s">
        <v>11482</v>
      </c>
      <c r="E1855" t="s">
        <v>70</v>
      </c>
      <c r="F1855" t="s">
        <v>33</v>
      </c>
      <c r="G1855" t="s">
        <v>71</v>
      </c>
      <c r="H1855" t="s">
        <v>72</v>
      </c>
      <c r="I1855" t="s">
        <v>11483</v>
      </c>
      <c r="J1855" t="s">
        <v>11484</v>
      </c>
      <c r="K1855" t="s">
        <v>36</v>
      </c>
      <c r="L1855" t="s">
        <v>33</v>
      </c>
      <c r="O1855" t="s">
        <v>76</v>
      </c>
      <c r="R1855" t="s">
        <v>11485</v>
      </c>
      <c r="S1855">
        <v>70</v>
      </c>
      <c r="T1855" t="s">
        <v>40</v>
      </c>
      <c r="U1855">
        <f>+IF(Tabla1[[#This Row],[MONEDA]]="PEN",Tabla1[[#This Row],[MONTO]],Tabla1[[#This Row],[MONTO]]*3.56)</f>
        <v>70</v>
      </c>
      <c r="V1855" t="s">
        <v>190</v>
      </c>
      <c r="W1855">
        <v>20973</v>
      </c>
      <c r="X1855" t="s">
        <v>81</v>
      </c>
      <c r="Y1855" t="s">
        <v>42</v>
      </c>
      <c r="Z1855" t="s">
        <v>82</v>
      </c>
      <c r="AA1855" t="s">
        <v>11486</v>
      </c>
      <c r="AC1855" t="s">
        <v>11487</v>
      </c>
      <c r="AD1855" t="s">
        <v>11488</v>
      </c>
    </row>
    <row r="1856" spans="1:33" x14ac:dyDescent="0.25">
      <c r="A1856">
        <v>23164</v>
      </c>
      <c r="B1856" t="s">
        <v>32</v>
      </c>
      <c r="C1856">
        <v>1</v>
      </c>
      <c r="D1856" t="s">
        <v>11536</v>
      </c>
      <c r="E1856" t="s">
        <v>70</v>
      </c>
      <c r="F1856" t="s">
        <v>3256</v>
      </c>
      <c r="G1856" t="s">
        <v>3257</v>
      </c>
      <c r="H1856" t="s">
        <v>8233</v>
      </c>
      <c r="I1856" t="s">
        <v>11537</v>
      </c>
      <c r="J1856" t="s">
        <v>11538</v>
      </c>
      <c r="K1856" t="s">
        <v>36</v>
      </c>
      <c r="L1856" t="s">
        <v>33</v>
      </c>
      <c r="M1856">
        <v>20533151435</v>
      </c>
      <c r="P1856" t="s">
        <v>38</v>
      </c>
      <c r="Q1856" t="s">
        <v>163</v>
      </c>
      <c r="R1856" t="s">
        <v>11539</v>
      </c>
      <c r="S1856">
        <v>212.4</v>
      </c>
      <c r="T1856" t="s">
        <v>40</v>
      </c>
      <c r="U1856">
        <f>+IF(Tabla1[[#This Row],[MONEDA]]="PEN",Tabla1[[#This Row],[MONTO]],Tabla1[[#This Row],[MONTO]]*3.56)</f>
        <v>212.4</v>
      </c>
      <c r="X1856" t="s">
        <v>41</v>
      </c>
      <c r="Y1856" t="s">
        <v>42</v>
      </c>
      <c r="Z1856" t="s">
        <v>82</v>
      </c>
      <c r="AA1856" t="s">
        <v>11540</v>
      </c>
      <c r="AB1856" t="s">
        <v>11541</v>
      </c>
      <c r="AC1856" t="s">
        <v>11542</v>
      </c>
      <c r="AD1856" t="s">
        <v>11543</v>
      </c>
      <c r="AE1856">
        <v>212.4</v>
      </c>
      <c r="AF1856" t="s">
        <v>87</v>
      </c>
      <c r="AG1856" t="s">
        <v>169</v>
      </c>
    </row>
    <row r="1857" spans="1:33" x14ac:dyDescent="0.25">
      <c r="A1857">
        <v>23101</v>
      </c>
      <c r="B1857" t="s">
        <v>32</v>
      </c>
      <c r="C1857">
        <v>1</v>
      </c>
      <c r="D1857" t="s">
        <v>11565</v>
      </c>
      <c r="E1857" t="s">
        <v>70</v>
      </c>
      <c r="F1857" t="s">
        <v>3256</v>
      </c>
      <c r="G1857" t="s">
        <v>3257</v>
      </c>
      <c r="H1857" t="s">
        <v>8233</v>
      </c>
      <c r="I1857" t="s">
        <v>11566</v>
      </c>
      <c r="J1857" t="s">
        <v>11567</v>
      </c>
      <c r="K1857" t="s">
        <v>36</v>
      </c>
      <c r="L1857" t="s">
        <v>33</v>
      </c>
      <c r="M1857">
        <v>20533151435</v>
      </c>
      <c r="P1857" t="s">
        <v>38</v>
      </c>
      <c r="Q1857" t="s">
        <v>163</v>
      </c>
      <c r="R1857" t="s">
        <v>11568</v>
      </c>
      <c r="S1857">
        <v>212.4</v>
      </c>
      <c r="T1857" t="s">
        <v>40</v>
      </c>
      <c r="U1857">
        <f>+IF(Tabla1[[#This Row],[MONEDA]]="PEN",Tabla1[[#This Row],[MONTO]],Tabla1[[#This Row],[MONTO]]*3.56)</f>
        <v>212.4</v>
      </c>
      <c r="X1857" t="s">
        <v>41</v>
      </c>
      <c r="Y1857" t="s">
        <v>42</v>
      </c>
      <c r="Z1857" t="s">
        <v>82</v>
      </c>
      <c r="AA1857" t="s">
        <v>11569</v>
      </c>
      <c r="AB1857" t="s">
        <v>11570</v>
      </c>
      <c r="AC1857" t="s">
        <v>11571</v>
      </c>
      <c r="AE1857">
        <v>212.4</v>
      </c>
      <c r="AF1857" t="s">
        <v>87</v>
      </c>
      <c r="AG1857" t="s">
        <v>169</v>
      </c>
    </row>
    <row r="1858" spans="1:33" x14ac:dyDescent="0.25">
      <c r="A1858">
        <v>22340</v>
      </c>
      <c r="B1858" t="s">
        <v>32</v>
      </c>
      <c r="C1858">
        <v>1</v>
      </c>
      <c r="D1858" t="s">
        <v>11942</v>
      </c>
      <c r="E1858" t="s">
        <v>70</v>
      </c>
      <c r="F1858" t="s">
        <v>3256</v>
      </c>
      <c r="G1858" t="s">
        <v>3257</v>
      </c>
      <c r="H1858" t="s">
        <v>8233</v>
      </c>
      <c r="I1858" t="s">
        <v>11943</v>
      </c>
      <c r="J1858" t="s">
        <v>11944</v>
      </c>
      <c r="K1858" t="s">
        <v>36</v>
      </c>
      <c r="L1858" t="s">
        <v>33</v>
      </c>
      <c r="M1858">
        <v>20533151435</v>
      </c>
      <c r="P1858" t="s">
        <v>38</v>
      </c>
      <c r="Q1858" t="s">
        <v>163</v>
      </c>
      <c r="R1858" t="s">
        <v>11945</v>
      </c>
      <c r="S1858">
        <v>194.7</v>
      </c>
      <c r="T1858" t="s">
        <v>40</v>
      </c>
      <c r="U1858">
        <f>+IF(Tabla1[[#This Row],[MONEDA]]="PEN",Tabla1[[#This Row],[MONTO]],Tabla1[[#This Row],[MONTO]]*3.56)</f>
        <v>194.7</v>
      </c>
      <c r="X1858" t="s">
        <v>41</v>
      </c>
      <c r="Y1858" t="s">
        <v>42</v>
      </c>
      <c r="Z1858" t="s">
        <v>82</v>
      </c>
      <c r="AA1858" t="s">
        <v>11946</v>
      </c>
      <c r="AB1858" t="s">
        <v>11947</v>
      </c>
      <c r="AC1858" t="s">
        <v>11948</v>
      </c>
      <c r="AD1858" t="s">
        <v>11949</v>
      </c>
      <c r="AE1858">
        <v>194.7</v>
      </c>
      <c r="AF1858" t="s">
        <v>87</v>
      </c>
      <c r="AG1858" t="s">
        <v>169</v>
      </c>
    </row>
    <row r="1859" spans="1:33" x14ac:dyDescent="0.25">
      <c r="A1859">
        <v>21507</v>
      </c>
      <c r="B1859" t="s">
        <v>32</v>
      </c>
      <c r="C1859">
        <v>1</v>
      </c>
      <c r="D1859" t="s">
        <v>12384</v>
      </c>
      <c r="E1859" t="s">
        <v>70</v>
      </c>
      <c r="F1859" t="s">
        <v>3256</v>
      </c>
      <c r="G1859" t="s">
        <v>3257</v>
      </c>
      <c r="H1859" t="s">
        <v>8233</v>
      </c>
      <c r="I1859" t="s">
        <v>12375</v>
      </c>
      <c r="J1859" t="s">
        <v>12385</v>
      </c>
      <c r="K1859" t="s">
        <v>36</v>
      </c>
      <c r="L1859" t="s">
        <v>33</v>
      </c>
      <c r="M1859">
        <v>20533151435</v>
      </c>
      <c r="P1859" t="s">
        <v>38</v>
      </c>
      <c r="Q1859" t="s">
        <v>163</v>
      </c>
      <c r="R1859" t="s">
        <v>12386</v>
      </c>
      <c r="S1859">
        <v>407.1</v>
      </c>
      <c r="T1859" t="s">
        <v>40</v>
      </c>
      <c r="U1859">
        <f>+IF(Tabla1[[#This Row],[MONEDA]]="PEN",Tabla1[[#This Row],[MONTO]],Tabla1[[#This Row],[MONTO]]*3.56)</f>
        <v>407.1</v>
      </c>
      <c r="X1859" t="s">
        <v>41</v>
      </c>
      <c r="Y1859" t="s">
        <v>42</v>
      </c>
      <c r="Z1859" t="s">
        <v>82</v>
      </c>
      <c r="AA1859" t="s">
        <v>12387</v>
      </c>
      <c r="AB1859" t="s">
        <v>12388</v>
      </c>
      <c r="AC1859" t="s">
        <v>12389</v>
      </c>
      <c r="AD1859" t="s">
        <v>12390</v>
      </c>
      <c r="AE1859">
        <v>407.1</v>
      </c>
      <c r="AF1859" t="s">
        <v>87</v>
      </c>
      <c r="AG1859" t="s">
        <v>169</v>
      </c>
    </row>
    <row r="1860" spans="1:33" x14ac:dyDescent="0.25">
      <c r="A1860">
        <v>21335</v>
      </c>
      <c r="B1860" t="s">
        <v>32</v>
      </c>
      <c r="C1860">
        <v>1</v>
      </c>
      <c r="D1860" t="s">
        <v>12511</v>
      </c>
      <c r="E1860" t="s">
        <v>70</v>
      </c>
      <c r="F1860" t="s">
        <v>3256</v>
      </c>
      <c r="G1860" t="s">
        <v>3257</v>
      </c>
      <c r="H1860" t="s">
        <v>8233</v>
      </c>
      <c r="I1860" t="s">
        <v>12497</v>
      </c>
      <c r="J1860" t="s">
        <v>12512</v>
      </c>
      <c r="K1860" t="s">
        <v>36</v>
      </c>
      <c r="L1860" t="s">
        <v>33</v>
      </c>
      <c r="M1860">
        <v>20533151435</v>
      </c>
      <c r="P1860" t="s">
        <v>38</v>
      </c>
      <c r="Q1860" t="s">
        <v>163</v>
      </c>
      <c r="R1860" t="s">
        <v>12513</v>
      </c>
      <c r="S1860">
        <v>670.24</v>
      </c>
      <c r="T1860" t="s">
        <v>40</v>
      </c>
      <c r="U1860">
        <f>+IF(Tabla1[[#This Row],[MONEDA]]="PEN",Tabla1[[#This Row],[MONTO]],Tabla1[[#This Row],[MONTO]]*3.56)</f>
        <v>670.24</v>
      </c>
      <c r="X1860" t="s">
        <v>41</v>
      </c>
      <c r="Y1860" t="s">
        <v>42</v>
      </c>
      <c r="Z1860" t="s">
        <v>82</v>
      </c>
      <c r="AA1860" t="s">
        <v>12514</v>
      </c>
      <c r="AB1860" t="s">
        <v>12515</v>
      </c>
      <c r="AC1860" t="s">
        <v>12516</v>
      </c>
      <c r="AD1860" t="s">
        <v>12517</v>
      </c>
      <c r="AE1860">
        <v>670.24</v>
      </c>
      <c r="AF1860" t="s">
        <v>87</v>
      </c>
      <c r="AG1860" t="s">
        <v>169</v>
      </c>
    </row>
    <row r="1861" spans="1:33" x14ac:dyDescent="0.25">
      <c r="A1861">
        <v>21183</v>
      </c>
      <c r="B1861" t="s">
        <v>32</v>
      </c>
      <c r="C1861">
        <v>1</v>
      </c>
      <c r="D1861" t="s">
        <v>12631</v>
      </c>
      <c r="E1861" t="s">
        <v>70</v>
      </c>
      <c r="F1861" t="s">
        <v>157</v>
      </c>
      <c r="G1861" t="s">
        <v>12377</v>
      </c>
      <c r="H1861" t="s">
        <v>8233</v>
      </c>
      <c r="I1861" t="s">
        <v>12624</v>
      </c>
      <c r="J1861" t="s">
        <v>12632</v>
      </c>
      <c r="K1861" t="s">
        <v>36</v>
      </c>
      <c r="L1861" t="s">
        <v>33</v>
      </c>
      <c r="M1861">
        <v>20533151435</v>
      </c>
      <c r="P1861" t="s">
        <v>38</v>
      </c>
      <c r="Q1861" t="s">
        <v>163</v>
      </c>
      <c r="R1861" t="s">
        <v>12633</v>
      </c>
      <c r="S1861">
        <v>423.62</v>
      </c>
      <c r="T1861" t="s">
        <v>40</v>
      </c>
      <c r="U1861">
        <f>+IF(Tabla1[[#This Row],[MONEDA]]="PEN",Tabla1[[#This Row],[MONTO]],Tabla1[[#This Row],[MONTO]]*3.56)</f>
        <v>423.62</v>
      </c>
      <c r="X1861" t="s">
        <v>41</v>
      </c>
      <c r="Y1861" t="s">
        <v>42</v>
      </c>
      <c r="Z1861" t="s">
        <v>82</v>
      </c>
      <c r="AA1861" t="s">
        <v>12634</v>
      </c>
      <c r="AB1861" t="s">
        <v>12635</v>
      </c>
      <c r="AC1861" t="s">
        <v>12636</v>
      </c>
      <c r="AD1861" t="s">
        <v>12637</v>
      </c>
      <c r="AE1861">
        <v>423.62</v>
      </c>
      <c r="AF1861" t="s">
        <v>87</v>
      </c>
      <c r="AG1861" t="s">
        <v>169</v>
      </c>
    </row>
    <row r="1862" spans="1:33" x14ac:dyDescent="0.25">
      <c r="A1862">
        <v>21197</v>
      </c>
      <c r="B1862" t="s">
        <v>32</v>
      </c>
      <c r="C1862">
        <v>1</v>
      </c>
      <c r="D1862" t="s">
        <v>12638</v>
      </c>
      <c r="E1862" t="s">
        <v>70</v>
      </c>
      <c r="F1862" t="s">
        <v>157</v>
      </c>
      <c r="G1862" t="s">
        <v>12377</v>
      </c>
      <c r="H1862" t="s">
        <v>8233</v>
      </c>
      <c r="I1862" t="s">
        <v>12624</v>
      </c>
      <c r="J1862" t="s">
        <v>12639</v>
      </c>
      <c r="K1862" t="s">
        <v>36</v>
      </c>
      <c r="L1862" t="s">
        <v>33</v>
      </c>
      <c r="M1862">
        <v>20533151435</v>
      </c>
      <c r="P1862" t="s">
        <v>38</v>
      </c>
      <c r="Q1862" t="s">
        <v>163</v>
      </c>
      <c r="R1862" t="s">
        <v>12640</v>
      </c>
      <c r="S1862">
        <v>194.7</v>
      </c>
      <c r="T1862" t="s">
        <v>40</v>
      </c>
      <c r="U1862">
        <f>+IF(Tabla1[[#This Row],[MONEDA]]="PEN",Tabla1[[#This Row],[MONTO]],Tabla1[[#This Row],[MONTO]]*3.56)</f>
        <v>194.7</v>
      </c>
      <c r="X1862" t="s">
        <v>41</v>
      </c>
      <c r="Y1862" t="s">
        <v>42</v>
      </c>
      <c r="Z1862" t="s">
        <v>82</v>
      </c>
      <c r="AA1862" t="s">
        <v>12641</v>
      </c>
      <c r="AB1862" t="s">
        <v>12642</v>
      </c>
      <c r="AC1862" t="s">
        <v>12643</v>
      </c>
      <c r="AD1862" t="s">
        <v>12644</v>
      </c>
      <c r="AE1862">
        <v>194.7</v>
      </c>
      <c r="AF1862" t="s">
        <v>87</v>
      </c>
      <c r="AG1862" t="s">
        <v>169</v>
      </c>
    </row>
    <row r="1863" spans="1:33" x14ac:dyDescent="0.25">
      <c r="A1863">
        <v>21034</v>
      </c>
      <c r="B1863" t="s">
        <v>32</v>
      </c>
      <c r="C1863">
        <v>1</v>
      </c>
      <c r="D1863" t="s">
        <v>12727</v>
      </c>
      <c r="E1863" t="s">
        <v>70</v>
      </c>
      <c r="F1863" t="s">
        <v>157</v>
      </c>
      <c r="G1863" t="s">
        <v>12377</v>
      </c>
      <c r="H1863" t="s">
        <v>8233</v>
      </c>
      <c r="I1863" t="s">
        <v>12728</v>
      </c>
      <c r="J1863" t="s">
        <v>12729</v>
      </c>
      <c r="K1863" t="s">
        <v>36</v>
      </c>
      <c r="L1863" t="s">
        <v>33</v>
      </c>
      <c r="M1863">
        <v>20533151435</v>
      </c>
      <c r="P1863" t="s">
        <v>38</v>
      </c>
      <c r="Q1863" t="s">
        <v>163</v>
      </c>
      <c r="R1863" t="s">
        <v>12730</v>
      </c>
      <c r="S1863">
        <v>194.7</v>
      </c>
      <c r="T1863" t="s">
        <v>40</v>
      </c>
      <c r="U1863">
        <f>+IF(Tabla1[[#This Row],[MONEDA]]="PEN",Tabla1[[#This Row],[MONTO]],Tabla1[[#This Row],[MONTO]]*3.56)</f>
        <v>194.7</v>
      </c>
      <c r="X1863" t="s">
        <v>41</v>
      </c>
      <c r="Y1863" t="s">
        <v>42</v>
      </c>
      <c r="Z1863" t="s">
        <v>82</v>
      </c>
      <c r="AA1863" t="s">
        <v>12731</v>
      </c>
      <c r="AB1863" t="s">
        <v>12732</v>
      </c>
      <c r="AC1863" t="s">
        <v>12733</v>
      </c>
      <c r="AD1863" t="s">
        <v>12734</v>
      </c>
      <c r="AE1863">
        <v>194.7</v>
      </c>
      <c r="AF1863" t="s">
        <v>87</v>
      </c>
      <c r="AG1863" t="s">
        <v>169</v>
      </c>
    </row>
    <row r="1864" spans="1:33" x14ac:dyDescent="0.25">
      <c r="A1864">
        <v>20852</v>
      </c>
      <c r="B1864" t="s">
        <v>32</v>
      </c>
      <c r="C1864">
        <v>1</v>
      </c>
      <c r="D1864" t="s">
        <v>12798</v>
      </c>
      <c r="E1864" t="s">
        <v>70</v>
      </c>
      <c r="F1864" t="s">
        <v>157</v>
      </c>
      <c r="G1864" t="s">
        <v>12377</v>
      </c>
      <c r="H1864" t="s">
        <v>8233</v>
      </c>
      <c r="I1864" t="s">
        <v>12799</v>
      </c>
      <c r="J1864" t="s">
        <v>12800</v>
      </c>
      <c r="K1864" t="s">
        <v>36</v>
      </c>
      <c r="L1864" t="s">
        <v>33</v>
      </c>
      <c r="M1864">
        <v>20533151435</v>
      </c>
      <c r="P1864" t="s">
        <v>38</v>
      </c>
      <c r="Q1864" t="s">
        <v>163</v>
      </c>
      <c r="R1864" t="s">
        <v>12801</v>
      </c>
      <c r="S1864">
        <v>194.7</v>
      </c>
      <c r="T1864" t="s">
        <v>40</v>
      </c>
      <c r="U1864">
        <f>+IF(Tabla1[[#This Row],[MONEDA]]="PEN",Tabla1[[#This Row],[MONTO]],Tabla1[[#This Row],[MONTO]]*3.56)</f>
        <v>194.7</v>
      </c>
      <c r="X1864" t="s">
        <v>41</v>
      </c>
      <c r="Y1864" t="s">
        <v>42</v>
      </c>
      <c r="Z1864" t="s">
        <v>82</v>
      </c>
      <c r="AA1864" t="s">
        <v>12802</v>
      </c>
      <c r="AB1864" t="s">
        <v>12803</v>
      </c>
      <c r="AC1864" t="s">
        <v>12804</v>
      </c>
      <c r="AD1864" t="s">
        <v>12805</v>
      </c>
      <c r="AE1864">
        <v>194.7</v>
      </c>
      <c r="AF1864" t="s">
        <v>87</v>
      </c>
      <c r="AG1864" t="s">
        <v>169</v>
      </c>
    </row>
    <row r="1865" spans="1:33" hidden="1" x14ac:dyDescent="0.25">
      <c r="A1865">
        <v>43294</v>
      </c>
      <c r="B1865" t="s">
        <v>32</v>
      </c>
      <c r="C1865">
        <v>1</v>
      </c>
      <c r="D1865" t="s">
        <v>868</v>
      </c>
      <c r="E1865" t="s">
        <v>45</v>
      </c>
      <c r="F1865" t="s">
        <v>33</v>
      </c>
      <c r="G1865" t="s">
        <v>71</v>
      </c>
      <c r="H1865" t="s">
        <v>35</v>
      </c>
      <c r="I1865" t="s">
        <v>868</v>
      </c>
      <c r="J1865" t="s">
        <v>868</v>
      </c>
      <c r="K1865" t="s">
        <v>36</v>
      </c>
      <c r="L1865" t="s">
        <v>33</v>
      </c>
      <c r="S1865">
        <v>1</v>
      </c>
      <c r="T1865" t="s">
        <v>40</v>
      </c>
      <c r="U1865">
        <f>+IF(Tabla1[[#This Row],[MONEDA]]="PEN",Tabla1[[#This Row],[MONTO]],Tabla1[[#This Row],[MONTO]]*3.56)</f>
        <v>1</v>
      </c>
      <c r="V1865" t="s">
        <v>190</v>
      </c>
      <c r="W1865">
        <v>42254</v>
      </c>
      <c r="X1865" t="s">
        <v>41</v>
      </c>
      <c r="Y1865" t="s">
        <v>51</v>
      </c>
      <c r="Z1865" t="s">
        <v>43</v>
      </c>
    </row>
    <row r="1866" spans="1:33" hidden="1" x14ac:dyDescent="0.25">
      <c r="A1866">
        <v>43295</v>
      </c>
      <c r="B1866" t="s">
        <v>32</v>
      </c>
      <c r="C1866">
        <v>1</v>
      </c>
      <c r="D1866" t="s">
        <v>868</v>
      </c>
      <c r="E1866" t="s">
        <v>45</v>
      </c>
      <c r="F1866" t="s">
        <v>33</v>
      </c>
      <c r="G1866" t="s">
        <v>71</v>
      </c>
      <c r="H1866" t="s">
        <v>35</v>
      </c>
      <c r="I1866" t="s">
        <v>868</v>
      </c>
      <c r="J1866" t="s">
        <v>868</v>
      </c>
      <c r="K1866" t="s">
        <v>36</v>
      </c>
      <c r="L1866" t="s">
        <v>33</v>
      </c>
      <c r="S1866">
        <v>1</v>
      </c>
      <c r="T1866" t="s">
        <v>40</v>
      </c>
      <c r="U1866">
        <f>+IF(Tabla1[[#This Row],[MONEDA]]="PEN",Tabla1[[#This Row],[MONTO]],Tabla1[[#This Row],[MONTO]]*3.56)</f>
        <v>1</v>
      </c>
      <c r="V1866" t="s">
        <v>190</v>
      </c>
      <c r="W1866">
        <v>42254</v>
      </c>
      <c r="X1866" t="s">
        <v>41</v>
      </c>
      <c r="Y1866" t="s">
        <v>51</v>
      </c>
      <c r="Z1866" t="s">
        <v>43</v>
      </c>
    </row>
    <row r="1867" spans="1:33" hidden="1" x14ac:dyDescent="0.25">
      <c r="A1867">
        <v>43293</v>
      </c>
      <c r="B1867" t="s">
        <v>32</v>
      </c>
      <c r="C1867">
        <v>1</v>
      </c>
      <c r="D1867" t="s">
        <v>869</v>
      </c>
      <c r="E1867" t="s">
        <v>45</v>
      </c>
      <c r="F1867" t="s">
        <v>33</v>
      </c>
      <c r="G1867" t="s">
        <v>71</v>
      </c>
      <c r="H1867" t="s">
        <v>35</v>
      </c>
      <c r="I1867" t="s">
        <v>869</v>
      </c>
      <c r="J1867" t="s">
        <v>869</v>
      </c>
      <c r="K1867" t="s">
        <v>36</v>
      </c>
      <c r="L1867" t="s">
        <v>33</v>
      </c>
      <c r="S1867">
        <v>1</v>
      </c>
      <c r="T1867" t="s">
        <v>40</v>
      </c>
      <c r="U1867">
        <f>+IF(Tabla1[[#This Row],[MONEDA]]="PEN",Tabla1[[#This Row],[MONTO]],Tabla1[[#This Row],[MONTO]]*3.56)</f>
        <v>1</v>
      </c>
      <c r="V1867" t="s">
        <v>190</v>
      </c>
      <c r="W1867">
        <v>42254</v>
      </c>
      <c r="X1867" t="s">
        <v>41</v>
      </c>
      <c r="Y1867" t="s">
        <v>51</v>
      </c>
      <c r="Z1867" t="s">
        <v>43</v>
      </c>
    </row>
    <row r="1868" spans="1:33" hidden="1" x14ac:dyDescent="0.25">
      <c r="A1868">
        <v>43292</v>
      </c>
      <c r="B1868" t="s">
        <v>32</v>
      </c>
      <c r="C1868">
        <v>1</v>
      </c>
      <c r="D1868" t="s">
        <v>870</v>
      </c>
      <c r="E1868" t="s">
        <v>45</v>
      </c>
      <c r="F1868" t="s">
        <v>33</v>
      </c>
      <c r="G1868" t="s">
        <v>71</v>
      </c>
      <c r="H1868" t="s">
        <v>35</v>
      </c>
      <c r="I1868" t="s">
        <v>870</v>
      </c>
      <c r="J1868" t="s">
        <v>870</v>
      </c>
      <c r="K1868" t="s">
        <v>36</v>
      </c>
      <c r="L1868" t="s">
        <v>33</v>
      </c>
      <c r="S1868">
        <v>1</v>
      </c>
      <c r="T1868" t="s">
        <v>40</v>
      </c>
      <c r="U1868">
        <f>+IF(Tabla1[[#This Row],[MONEDA]]="PEN",Tabla1[[#This Row],[MONTO]],Tabla1[[#This Row],[MONTO]]*3.56)</f>
        <v>1</v>
      </c>
      <c r="V1868" t="s">
        <v>190</v>
      </c>
      <c r="W1868">
        <v>42254</v>
      </c>
      <c r="X1868" t="s">
        <v>41</v>
      </c>
      <c r="Y1868" t="s">
        <v>51</v>
      </c>
      <c r="Z1868" t="s">
        <v>43</v>
      </c>
    </row>
    <row r="1869" spans="1:33" hidden="1" x14ac:dyDescent="0.25">
      <c r="A1869">
        <v>43288</v>
      </c>
      <c r="B1869" t="s">
        <v>32</v>
      </c>
      <c r="C1869">
        <v>1</v>
      </c>
      <c r="D1869" t="s">
        <v>871</v>
      </c>
      <c r="E1869" t="s">
        <v>45</v>
      </c>
      <c r="F1869" t="s">
        <v>33</v>
      </c>
      <c r="G1869" t="s">
        <v>71</v>
      </c>
      <c r="H1869" t="s">
        <v>35</v>
      </c>
      <c r="I1869" t="s">
        <v>871</v>
      </c>
      <c r="J1869" t="s">
        <v>871</v>
      </c>
      <c r="K1869" t="s">
        <v>36</v>
      </c>
      <c r="L1869" t="s">
        <v>33</v>
      </c>
      <c r="S1869">
        <v>1</v>
      </c>
      <c r="T1869" t="s">
        <v>40</v>
      </c>
      <c r="U1869">
        <f>+IF(Tabla1[[#This Row],[MONEDA]]="PEN",Tabla1[[#This Row],[MONTO]],Tabla1[[#This Row],[MONTO]]*3.56)</f>
        <v>1</v>
      </c>
      <c r="V1869" t="s">
        <v>190</v>
      </c>
      <c r="W1869">
        <v>42254</v>
      </c>
      <c r="X1869" t="s">
        <v>41</v>
      </c>
      <c r="Y1869" t="s">
        <v>51</v>
      </c>
      <c r="Z1869" t="s">
        <v>43</v>
      </c>
    </row>
    <row r="1870" spans="1:33" hidden="1" x14ac:dyDescent="0.25">
      <c r="A1870">
        <v>43289</v>
      </c>
      <c r="B1870" t="s">
        <v>32</v>
      </c>
      <c r="C1870">
        <v>1</v>
      </c>
      <c r="D1870" t="s">
        <v>871</v>
      </c>
      <c r="E1870" t="s">
        <v>45</v>
      </c>
      <c r="F1870" t="s">
        <v>33</v>
      </c>
      <c r="G1870" t="s">
        <v>71</v>
      </c>
      <c r="H1870" t="s">
        <v>35</v>
      </c>
      <c r="I1870" t="s">
        <v>871</v>
      </c>
      <c r="J1870" t="s">
        <v>871</v>
      </c>
      <c r="K1870" t="s">
        <v>36</v>
      </c>
      <c r="L1870" t="s">
        <v>33</v>
      </c>
      <c r="S1870">
        <v>1</v>
      </c>
      <c r="T1870" t="s">
        <v>40</v>
      </c>
      <c r="U1870">
        <f>+IF(Tabla1[[#This Row],[MONEDA]]="PEN",Tabla1[[#This Row],[MONTO]],Tabla1[[#This Row],[MONTO]]*3.56)</f>
        <v>1</v>
      </c>
      <c r="V1870" t="s">
        <v>190</v>
      </c>
      <c r="W1870">
        <v>42254</v>
      </c>
      <c r="X1870" t="s">
        <v>41</v>
      </c>
      <c r="Y1870" t="s">
        <v>51</v>
      </c>
      <c r="Z1870" t="s">
        <v>43</v>
      </c>
    </row>
    <row r="1871" spans="1:33" hidden="1" x14ac:dyDescent="0.25">
      <c r="A1871">
        <v>43290</v>
      </c>
      <c r="B1871" t="s">
        <v>32</v>
      </c>
      <c r="C1871">
        <v>1</v>
      </c>
      <c r="D1871" t="s">
        <v>871</v>
      </c>
      <c r="E1871" t="s">
        <v>45</v>
      </c>
      <c r="F1871" t="s">
        <v>33</v>
      </c>
      <c r="G1871" t="s">
        <v>71</v>
      </c>
      <c r="H1871" t="s">
        <v>35</v>
      </c>
      <c r="I1871" t="s">
        <v>871</v>
      </c>
      <c r="J1871" t="s">
        <v>871</v>
      </c>
      <c r="K1871" t="s">
        <v>36</v>
      </c>
      <c r="L1871" t="s">
        <v>33</v>
      </c>
      <c r="S1871">
        <v>1</v>
      </c>
      <c r="T1871" t="s">
        <v>40</v>
      </c>
      <c r="U1871">
        <f>+IF(Tabla1[[#This Row],[MONEDA]]="PEN",Tabla1[[#This Row],[MONTO]],Tabla1[[#This Row],[MONTO]]*3.56)</f>
        <v>1</v>
      </c>
      <c r="V1871" t="s">
        <v>190</v>
      </c>
      <c r="W1871">
        <v>42254</v>
      </c>
      <c r="X1871" t="s">
        <v>41</v>
      </c>
      <c r="Y1871" t="s">
        <v>51</v>
      </c>
      <c r="Z1871" t="s">
        <v>43</v>
      </c>
    </row>
    <row r="1872" spans="1:33" hidden="1" x14ac:dyDescent="0.25">
      <c r="A1872">
        <v>43291</v>
      </c>
      <c r="B1872" t="s">
        <v>32</v>
      </c>
      <c r="C1872">
        <v>1</v>
      </c>
      <c r="D1872" t="s">
        <v>871</v>
      </c>
      <c r="E1872" t="s">
        <v>45</v>
      </c>
      <c r="F1872" t="s">
        <v>33</v>
      </c>
      <c r="G1872" t="s">
        <v>71</v>
      </c>
      <c r="H1872" t="s">
        <v>35</v>
      </c>
      <c r="I1872" t="s">
        <v>871</v>
      </c>
      <c r="J1872" t="s">
        <v>871</v>
      </c>
      <c r="K1872" t="s">
        <v>36</v>
      </c>
      <c r="L1872" t="s">
        <v>33</v>
      </c>
      <c r="S1872">
        <v>1</v>
      </c>
      <c r="T1872" t="s">
        <v>40</v>
      </c>
      <c r="U1872">
        <f>+IF(Tabla1[[#This Row],[MONEDA]]="PEN",Tabla1[[#This Row],[MONTO]],Tabla1[[#This Row],[MONTO]]*3.56)</f>
        <v>1</v>
      </c>
      <c r="V1872" t="s">
        <v>190</v>
      </c>
      <c r="W1872">
        <v>42254</v>
      </c>
      <c r="X1872" t="s">
        <v>41</v>
      </c>
      <c r="Y1872" t="s">
        <v>51</v>
      </c>
      <c r="Z1872" t="s">
        <v>43</v>
      </c>
    </row>
    <row r="1873" spans="1:30" hidden="1" x14ac:dyDescent="0.25">
      <c r="A1873">
        <v>43283</v>
      </c>
      <c r="B1873" t="s">
        <v>32</v>
      </c>
      <c r="C1873">
        <v>1</v>
      </c>
      <c r="D1873" t="s">
        <v>872</v>
      </c>
      <c r="E1873" t="s">
        <v>45</v>
      </c>
      <c r="F1873" t="s">
        <v>33</v>
      </c>
      <c r="G1873" t="s">
        <v>71</v>
      </c>
      <c r="H1873" t="s">
        <v>35</v>
      </c>
      <c r="I1873" t="s">
        <v>872</v>
      </c>
      <c r="J1873" t="s">
        <v>872</v>
      </c>
      <c r="K1873" t="s">
        <v>36</v>
      </c>
      <c r="L1873" t="s">
        <v>33</v>
      </c>
      <c r="S1873">
        <v>1</v>
      </c>
      <c r="T1873" t="s">
        <v>40</v>
      </c>
      <c r="U1873">
        <f>+IF(Tabla1[[#This Row],[MONEDA]]="PEN",Tabla1[[#This Row],[MONTO]],Tabla1[[#This Row],[MONTO]]*3.56)</f>
        <v>1</v>
      </c>
      <c r="V1873" t="s">
        <v>190</v>
      </c>
      <c r="W1873">
        <v>42254</v>
      </c>
      <c r="X1873" t="s">
        <v>41</v>
      </c>
      <c r="Y1873" t="s">
        <v>51</v>
      </c>
      <c r="Z1873" t="s">
        <v>43</v>
      </c>
    </row>
    <row r="1874" spans="1:30" hidden="1" x14ac:dyDescent="0.25">
      <c r="A1874">
        <v>43284</v>
      </c>
      <c r="B1874" t="s">
        <v>32</v>
      </c>
      <c r="C1874">
        <v>1</v>
      </c>
      <c r="D1874" t="s">
        <v>872</v>
      </c>
      <c r="E1874" t="s">
        <v>45</v>
      </c>
      <c r="F1874" t="s">
        <v>33</v>
      </c>
      <c r="G1874" t="s">
        <v>71</v>
      </c>
      <c r="H1874" t="s">
        <v>35</v>
      </c>
      <c r="I1874" t="s">
        <v>872</v>
      </c>
      <c r="J1874" t="s">
        <v>872</v>
      </c>
      <c r="K1874" t="s">
        <v>36</v>
      </c>
      <c r="L1874" t="s">
        <v>33</v>
      </c>
      <c r="S1874">
        <v>1</v>
      </c>
      <c r="T1874" t="s">
        <v>40</v>
      </c>
      <c r="U1874">
        <f>+IF(Tabla1[[#This Row],[MONEDA]]="PEN",Tabla1[[#This Row],[MONTO]],Tabla1[[#This Row],[MONTO]]*3.56)</f>
        <v>1</v>
      </c>
      <c r="V1874" t="s">
        <v>190</v>
      </c>
      <c r="W1874">
        <v>42254</v>
      </c>
      <c r="X1874" t="s">
        <v>41</v>
      </c>
      <c r="Y1874" t="s">
        <v>51</v>
      </c>
      <c r="Z1874" t="s">
        <v>43</v>
      </c>
    </row>
    <row r="1875" spans="1:30" hidden="1" x14ac:dyDescent="0.25">
      <c r="A1875">
        <v>43285</v>
      </c>
      <c r="B1875" t="s">
        <v>32</v>
      </c>
      <c r="C1875">
        <v>1</v>
      </c>
      <c r="D1875" t="s">
        <v>872</v>
      </c>
      <c r="E1875" t="s">
        <v>45</v>
      </c>
      <c r="F1875" t="s">
        <v>33</v>
      </c>
      <c r="G1875" t="s">
        <v>71</v>
      </c>
      <c r="H1875" t="s">
        <v>35</v>
      </c>
      <c r="I1875" t="s">
        <v>872</v>
      </c>
      <c r="J1875" t="s">
        <v>872</v>
      </c>
      <c r="K1875" t="s">
        <v>36</v>
      </c>
      <c r="L1875" t="s">
        <v>33</v>
      </c>
      <c r="S1875">
        <v>1</v>
      </c>
      <c r="T1875" t="s">
        <v>40</v>
      </c>
      <c r="U1875">
        <f>+IF(Tabla1[[#This Row],[MONEDA]]="PEN",Tabla1[[#This Row],[MONTO]],Tabla1[[#This Row],[MONTO]]*3.56)</f>
        <v>1</v>
      </c>
      <c r="V1875" t="s">
        <v>190</v>
      </c>
      <c r="W1875">
        <v>42254</v>
      </c>
      <c r="X1875" t="s">
        <v>41</v>
      </c>
      <c r="Y1875" t="s">
        <v>51</v>
      </c>
      <c r="Z1875" t="s">
        <v>43</v>
      </c>
    </row>
    <row r="1876" spans="1:30" hidden="1" x14ac:dyDescent="0.25">
      <c r="A1876">
        <v>43286</v>
      </c>
      <c r="B1876" t="s">
        <v>32</v>
      </c>
      <c r="C1876">
        <v>1</v>
      </c>
      <c r="D1876" t="s">
        <v>872</v>
      </c>
      <c r="E1876" t="s">
        <v>45</v>
      </c>
      <c r="F1876" t="s">
        <v>33</v>
      </c>
      <c r="G1876" t="s">
        <v>71</v>
      </c>
      <c r="H1876" t="s">
        <v>35</v>
      </c>
      <c r="I1876" t="s">
        <v>872</v>
      </c>
      <c r="J1876" t="s">
        <v>872</v>
      </c>
      <c r="K1876" t="s">
        <v>36</v>
      </c>
      <c r="L1876" t="s">
        <v>33</v>
      </c>
      <c r="S1876">
        <v>1</v>
      </c>
      <c r="T1876" t="s">
        <v>40</v>
      </c>
      <c r="U1876">
        <f>+IF(Tabla1[[#This Row],[MONEDA]]="PEN",Tabla1[[#This Row],[MONTO]],Tabla1[[#This Row],[MONTO]]*3.56)</f>
        <v>1</v>
      </c>
      <c r="V1876" t="s">
        <v>190</v>
      </c>
      <c r="W1876">
        <v>42254</v>
      </c>
      <c r="X1876" t="s">
        <v>41</v>
      </c>
      <c r="Y1876" t="s">
        <v>51</v>
      </c>
      <c r="Z1876" t="s">
        <v>43</v>
      </c>
    </row>
    <row r="1877" spans="1:30" hidden="1" x14ac:dyDescent="0.25">
      <c r="A1877">
        <v>43287</v>
      </c>
      <c r="B1877" t="s">
        <v>32</v>
      </c>
      <c r="C1877">
        <v>1</v>
      </c>
      <c r="D1877" t="s">
        <v>872</v>
      </c>
      <c r="E1877" t="s">
        <v>45</v>
      </c>
      <c r="F1877" t="s">
        <v>33</v>
      </c>
      <c r="G1877" t="s">
        <v>71</v>
      </c>
      <c r="H1877" t="s">
        <v>35</v>
      </c>
      <c r="I1877" t="s">
        <v>872</v>
      </c>
      <c r="J1877" t="s">
        <v>872</v>
      </c>
      <c r="K1877" t="s">
        <v>36</v>
      </c>
      <c r="L1877" t="s">
        <v>33</v>
      </c>
      <c r="S1877">
        <v>1</v>
      </c>
      <c r="T1877" t="s">
        <v>40</v>
      </c>
      <c r="U1877">
        <f>+IF(Tabla1[[#This Row],[MONEDA]]="PEN",Tabla1[[#This Row],[MONTO]],Tabla1[[#This Row],[MONTO]]*3.56)</f>
        <v>1</v>
      </c>
      <c r="V1877" t="s">
        <v>190</v>
      </c>
      <c r="W1877">
        <v>42254</v>
      </c>
      <c r="X1877" t="s">
        <v>41</v>
      </c>
      <c r="Y1877" t="s">
        <v>51</v>
      </c>
      <c r="Z1877" t="s">
        <v>43</v>
      </c>
    </row>
    <row r="1878" spans="1:30" hidden="1" x14ac:dyDescent="0.25">
      <c r="A1878">
        <v>42086</v>
      </c>
      <c r="B1878" t="s">
        <v>32</v>
      </c>
      <c r="C1878">
        <v>6</v>
      </c>
      <c r="D1878" t="s">
        <v>1263</v>
      </c>
      <c r="E1878" t="s">
        <v>45</v>
      </c>
      <c r="F1878" t="s">
        <v>130</v>
      </c>
      <c r="G1878" t="s">
        <v>131</v>
      </c>
      <c r="H1878" t="s">
        <v>132</v>
      </c>
      <c r="I1878" t="s">
        <v>1263</v>
      </c>
      <c r="J1878" t="s">
        <v>1264</v>
      </c>
      <c r="K1878" t="s">
        <v>36</v>
      </c>
      <c r="L1878" t="s">
        <v>33</v>
      </c>
      <c r="R1878" t="s">
        <v>1265</v>
      </c>
      <c r="S1878">
        <v>1635.48</v>
      </c>
      <c r="T1878" t="s">
        <v>40</v>
      </c>
      <c r="U1878">
        <f>+IF(Tabla1[[#This Row],[MONEDA]]="PEN",Tabla1[[#This Row],[MONTO]],Tabla1[[#This Row],[MONTO]]*3.56)</f>
        <v>1635.48</v>
      </c>
      <c r="V1878" t="s">
        <v>190</v>
      </c>
      <c r="W1878">
        <v>41984</v>
      </c>
      <c r="X1878" t="s">
        <v>139</v>
      </c>
      <c r="Y1878" t="s">
        <v>51</v>
      </c>
      <c r="Z1878" t="s">
        <v>43</v>
      </c>
    </row>
    <row r="1879" spans="1:30" hidden="1" x14ac:dyDescent="0.25">
      <c r="A1879">
        <v>41346</v>
      </c>
      <c r="B1879" t="s">
        <v>32</v>
      </c>
      <c r="C1879">
        <v>1</v>
      </c>
      <c r="D1879" t="s">
        <v>1528</v>
      </c>
      <c r="E1879" t="s">
        <v>45</v>
      </c>
      <c r="F1879" t="s">
        <v>90</v>
      </c>
      <c r="G1879" t="s">
        <v>91</v>
      </c>
      <c r="H1879" t="s">
        <v>72</v>
      </c>
      <c r="I1879" t="s">
        <v>1528</v>
      </c>
      <c r="J1879" t="s">
        <v>1528</v>
      </c>
      <c r="K1879" t="s">
        <v>36</v>
      </c>
      <c r="L1879" t="s">
        <v>33</v>
      </c>
      <c r="S1879">
        <v>30</v>
      </c>
      <c r="T1879" t="s">
        <v>40</v>
      </c>
      <c r="U1879">
        <f>+IF(Tabla1[[#This Row],[MONEDA]]="PEN",Tabla1[[#This Row],[MONTO]],Tabla1[[#This Row],[MONTO]]*3.56)</f>
        <v>30</v>
      </c>
      <c r="V1879" t="s">
        <v>190</v>
      </c>
      <c r="W1879">
        <v>32976</v>
      </c>
      <c r="X1879" t="s">
        <v>41</v>
      </c>
      <c r="Y1879" t="s">
        <v>51</v>
      </c>
      <c r="Z1879" t="s">
        <v>43</v>
      </c>
    </row>
    <row r="1880" spans="1:30" x14ac:dyDescent="0.25">
      <c r="A1880">
        <v>40993</v>
      </c>
      <c r="B1880" t="s">
        <v>32</v>
      </c>
      <c r="C1880">
        <v>1</v>
      </c>
      <c r="D1880" t="s">
        <v>1701</v>
      </c>
      <c r="E1880" t="s">
        <v>45</v>
      </c>
      <c r="F1880" t="s">
        <v>90</v>
      </c>
      <c r="G1880" t="s">
        <v>1702</v>
      </c>
      <c r="H1880" t="s">
        <v>35</v>
      </c>
      <c r="I1880" t="s">
        <v>1703</v>
      </c>
      <c r="J1880" t="s">
        <v>1704</v>
      </c>
      <c r="K1880" t="s">
        <v>36</v>
      </c>
      <c r="L1880" t="s">
        <v>33</v>
      </c>
      <c r="O1880" t="s">
        <v>1705</v>
      </c>
      <c r="P1880" t="s">
        <v>38</v>
      </c>
      <c r="Q1880" t="s">
        <v>1706</v>
      </c>
      <c r="R1880" t="s">
        <v>1707</v>
      </c>
      <c r="S1880">
        <v>99</v>
      </c>
      <c r="T1880" t="s">
        <v>40</v>
      </c>
      <c r="U1880">
        <f>+IF(Tabla1[[#This Row],[MONEDA]]="PEN",Tabla1[[#This Row],[MONTO]],Tabla1[[#This Row],[MONTO]]*3.56)</f>
        <v>99</v>
      </c>
      <c r="X1880" t="s">
        <v>139</v>
      </c>
      <c r="Y1880" t="s">
        <v>51</v>
      </c>
      <c r="Z1880" t="s">
        <v>43</v>
      </c>
      <c r="AD1880" t="s">
        <v>1708</v>
      </c>
    </row>
    <row r="1881" spans="1:30" x14ac:dyDescent="0.25">
      <c r="A1881">
        <v>39129</v>
      </c>
      <c r="B1881" t="s">
        <v>32</v>
      </c>
      <c r="C1881">
        <v>3</v>
      </c>
      <c r="D1881" t="s">
        <v>2608</v>
      </c>
      <c r="E1881" t="s">
        <v>45</v>
      </c>
      <c r="F1881" t="s">
        <v>130</v>
      </c>
      <c r="G1881" t="s">
        <v>132</v>
      </c>
      <c r="H1881" t="s">
        <v>132</v>
      </c>
      <c r="I1881" t="s">
        <v>2609</v>
      </c>
      <c r="J1881" t="s">
        <v>2609</v>
      </c>
      <c r="K1881" t="s">
        <v>36</v>
      </c>
      <c r="L1881" t="s">
        <v>33</v>
      </c>
      <c r="O1881" t="s">
        <v>2610</v>
      </c>
      <c r="P1881" t="s">
        <v>38</v>
      </c>
      <c r="Q1881" t="s">
        <v>2611</v>
      </c>
      <c r="R1881" t="s">
        <v>510</v>
      </c>
      <c r="S1881">
        <v>2643.58</v>
      </c>
      <c r="T1881" t="s">
        <v>40</v>
      </c>
      <c r="U1881">
        <f>+IF(Tabla1[[#This Row],[MONEDA]]="PEN",Tabla1[[#This Row],[MONTO]],Tabla1[[#This Row],[MONTO]]*3.56)</f>
        <v>2643.58</v>
      </c>
      <c r="X1881" t="s">
        <v>139</v>
      </c>
      <c r="Y1881" t="s">
        <v>51</v>
      </c>
      <c r="Z1881" t="s">
        <v>43</v>
      </c>
      <c r="AB1881" t="s">
        <v>2612</v>
      </c>
    </row>
    <row r="1882" spans="1:30" hidden="1" x14ac:dyDescent="0.25">
      <c r="A1882">
        <v>37552</v>
      </c>
      <c r="B1882" t="s">
        <v>32</v>
      </c>
      <c r="C1882">
        <v>5</v>
      </c>
      <c r="D1882" t="s">
        <v>3344</v>
      </c>
      <c r="E1882" t="s">
        <v>45</v>
      </c>
      <c r="F1882" t="s">
        <v>130</v>
      </c>
      <c r="G1882" t="s">
        <v>131</v>
      </c>
      <c r="H1882" t="s">
        <v>132</v>
      </c>
      <c r="I1882" t="s">
        <v>3344</v>
      </c>
      <c r="J1882" t="s">
        <v>3345</v>
      </c>
      <c r="K1882" t="s">
        <v>36</v>
      </c>
      <c r="L1882" t="s">
        <v>33</v>
      </c>
      <c r="R1882" t="s">
        <v>3346</v>
      </c>
      <c r="S1882">
        <v>571.89</v>
      </c>
      <c r="T1882" t="s">
        <v>40</v>
      </c>
      <c r="U1882">
        <f>+IF(Tabla1[[#This Row],[MONEDA]]="PEN",Tabla1[[#This Row],[MONTO]],Tabla1[[#This Row],[MONTO]]*3.56)</f>
        <v>571.89</v>
      </c>
      <c r="V1882" t="s">
        <v>190</v>
      </c>
      <c r="W1882">
        <v>37521</v>
      </c>
      <c r="X1882" t="s">
        <v>139</v>
      </c>
      <c r="Y1882" t="s">
        <v>51</v>
      </c>
      <c r="Z1882" t="s">
        <v>43</v>
      </c>
    </row>
    <row r="1883" spans="1:30" hidden="1" x14ac:dyDescent="0.25">
      <c r="A1883">
        <v>37387</v>
      </c>
      <c r="B1883" t="s">
        <v>32</v>
      </c>
      <c r="C1883">
        <v>6</v>
      </c>
      <c r="D1883" t="s">
        <v>3399</v>
      </c>
      <c r="E1883" t="s">
        <v>45</v>
      </c>
      <c r="F1883" t="s">
        <v>130</v>
      </c>
      <c r="G1883" t="s">
        <v>131</v>
      </c>
      <c r="H1883" t="s">
        <v>132</v>
      </c>
      <c r="I1883" t="s">
        <v>3399</v>
      </c>
      <c r="J1883" t="s">
        <v>3400</v>
      </c>
      <c r="K1883" t="s">
        <v>36</v>
      </c>
      <c r="L1883" t="s">
        <v>33</v>
      </c>
      <c r="R1883" t="s">
        <v>3401</v>
      </c>
      <c r="S1883">
        <v>105524.6</v>
      </c>
      <c r="T1883" t="s">
        <v>40</v>
      </c>
      <c r="U1883">
        <f>+IF(Tabla1[[#This Row],[MONEDA]]="PEN",Tabla1[[#This Row],[MONTO]],Tabla1[[#This Row],[MONTO]]*3.56)</f>
        <v>105524.6</v>
      </c>
      <c r="V1883" t="s">
        <v>190</v>
      </c>
      <c r="W1883">
        <v>37361</v>
      </c>
      <c r="X1883" t="s">
        <v>139</v>
      </c>
      <c r="Y1883" t="s">
        <v>51</v>
      </c>
      <c r="Z1883" t="s">
        <v>43</v>
      </c>
    </row>
    <row r="1884" spans="1:30" hidden="1" x14ac:dyDescent="0.25">
      <c r="A1884">
        <v>33302</v>
      </c>
      <c r="B1884" t="s">
        <v>32</v>
      </c>
      <c r="C1884">
        <v>1</v>
      </c>
      <c r="D1884" t="s">
        <v>5059</v>
      </c>
      <c r="E1884" t="s">
        <v>45</v>
      </c>
      <c r="F1884" t="s">
        <v>33</v>
      </c>
      <c r="G1884" t="s">
        <v>71</v>
      </c>
      <c r="H1884" t="s">
        <v>35</v>
      </c>
      <c r="I1884" t="s">
        <v>5059</v>
      </c>
      <c r="J1884" t="s">
        <v>5060</v>
      </c>
      <c r="K1884" t="s">
        <v>36</v>
      </c>
      <c r="L1884" t="s">
        <v>33</v>
      </c>
      <c r="O1884" t="s">
        <v>76</v>
      </c>
      <c r="R1884" t="s">
        <v>5061</v>
      </c>
      <c r="S1884">
        <v>88</v>
      </c>
      <c r="T1884" t="s">
        <v>40</v>
      </c>
      <c r="U1884">
        <f>+IF(Tabla1[[#This Row],[MONEDA]]="PEN",Tabla1[[#This Row],[MONTO]],Tabla1[[#This Row],[MONTO]]*3.56)</f>
        <v>88</v>
      </c>
      <c r="V1884" t="s">
        <v>190</v>
      </c>
      <c r="W1884">
        <v>32138</v>
      </c>
      <c r="X1884" t="s">
        <v>81</v>
      </c>
      <c r="Y1884" t="s">
        <v>42</v>
      </c>
      <c r="Z1884" t="s">
        <v>43</v>
      </c>
      <c r="AC1884" t="s">
        <v>5062</v>
      </c>
      <c r="AD1884" t="s">
        <v>5063</v>
      </c>
    </row>
    <row r="1885" spans="1:30" hidden="1" x14ac:dyDescent="0.25">
      <c r="A1885">
        <v>30546</v>
      </c>
      <c r="B1885" t="s">
        <v>32</v>
      </c>
      <c r="C1885">
        <v>1</v>
      </c>
      <c r="D1885" t="s">
        <v>6305</v>
      </c>
      <c r="E1885" t="s">
        <v>45</v>
      </c>
      <c r="F1885" t="s">
        <v>90</v>
      </c>
      <c r="G1885" t="s">
        <v>91</v>
      </c>
      <c r="H1885" t="s">
        <v>72</v>
      </c>
      <c r="I1885" t="s">
        <v>6306</v>
      </c>
      <c r="J1885" t="s">
        <v>6306</v>
      </c>
      <c r="K1885" t="s">
        <v>36</v>
      </c>
      <c r="L1885" t="s">
        <v>33</v>
      </c>
      <c r="R1885" t="s">
        <v>6307</v>
      </c>
      <c r="S1885">
        <v>102.1</v>
      </c>
      <c r="T1885" t="s">
        <v>40</v>
      </c>
      <c r="U1885">
        <f>+IF(Tabla1[[#This Row],[MONEDA]]="PEN",Tabla1[[#This Row],[MONTO]],Tabla1[[#This Row],[MONTO]]*3.56)</f>
        <v>102.1</v>
      </c>
      <c r="V1885" t="s">
        <v>190</v>
      </c>
      <c r="W1885">
        <v>26397</v>
      </c>
      <c r="X1885" t="s">
        <v>41</v>
      </c>
      <c r="Y1885" t="s">
        <v>42</v>
      </c>
      <c r="Z1885" t="s">
        <v>43</v>
      </c>
      <c r="AD1885" t="s">
        <v>6308</v>
      </c>
    </row>
    <row r="1886" spans="1:30" hidden="1" x14ac:dyDescent="0.25">
      <c r="A1886">
        <v>30543</v>
      </c>
      <c r="B1886" t="s">
        <v>32</v>
      </c>
      <c r="C1886">
        <v>1</v>
      </c>
      <c r="D1886" t="s">
        <v>6309</v>
      </c>
      <c r="E1886" t="s">
        <v>45</v>
      </c>
      <c r="F1886" t="s">
        <v>90</v>
      </c>
      <c r="G1886" t="s">
        <v>91</v>
      </c>
      <c r="H1886" t="s">
        <v>72</v>
      </c>
      <c r="I1886" t="s">
        <v>6310</v>
      </c>
      <c r="J1886" t="s">
        <v>6310</v>
      </c>
      <c r="K1886" t="s">
        <v>36</v>
      </c>
      <c r="L1886" t="s">
        <v>33</v>
      </c>
      <c r="R1886" t="s">
        <v>6311</v>
      </c>
      <c r="S1886">
        <v>15</v>
      </c>
      <c r="T1886" t="s">
        <v>40</v>
      </c>
      <c r="U1886">
        <f>+IF(Tabla1[[#This Row],[MONEDA]]="PEN",Tabla1[[#This Row],[MONTO]],Tabla1[[#This Row],[MONTO]]*3.56)</f>
        <v>15</v>
      </c>
      <c r="V1886" t="s">
        <v>190</v>
      </c>
      <c r="W1886">
        <v>26397</v>
      </c>
      <c r="X1886" t="s">
        <v>41</v>
      </c>
      <c r="Y1886" t="s">
        <v>42</v>
      </c>
      <c r="Z1886" t="s">
        <v>43</v>
      </c>
      <c r="AC1886" t="s">
        <v>6312</v>
      </c>
      <c r="AD1886" t="s">
        <v>6313</v>
      </c>
    </row>
    <row r="1887" spans="1:30" hidden="1" x14ac:dyDescent="0.25">
      <c r="A1887">
        <v>30542</v>
      </c>
      <c r="B1887" t="s">
        <v>32</v>
      </c>
      <c r="C1887">
        <v>1</v>
      </c>
      <c r="D1887" t="s">
        <v>6314</v>
      </c>
      <c r="E1887" t="s">
        <v>45</v>
      </c>
      <c r="F1887" t="s">
        <v>90</v>
      </c>
      <c r="G1887" t="s">
        <v>91</v>
      </c>
      <c r="H1887" t="s">
        <v>72</v>
      </c>
      <c r="I1887" t="s">
        <v>6315</v>
      </c>
      <c r="J1887" t="s">
        <v>6315</v>
      </c>
      <c r="K1887" t="s">
        <v>36</v>
      </c>
      <c r="L1887" t="s">
        <v>33</v>
      </c>
      <c r="R1887" t="s">
        <v>6316</v>
      </c>
      <c r="S1887">
        <v>100</v>
      </c>
      <c r="T1887" t="s">
        <v>40</v>
      </c>
      <c r="U1887">
        <f>+IF(Tabla1[[#This Row],[MONEDA]]="PEN",Tabla1[[#This Row],[MONTO]],Tabla1[[#This Row],[MONTO]]*3.56)</f>
        <v>100</v>
      </c>
      <c r="V1887" t="s">
        <v>190</v>
      </c>
      <c r="W1887">
        <v>26397</v>
      </c>
      <c r="X1887" t="s">
        <v>41</v>
      </c>
      <c r="Y1887" t="s">
        <v>42</v>
      </c>
      <c r="Z1887" t="s">
        <v>43</v>
      </c>
      <c r="AC1887" t="s">
        <v>6317</v>
      </c>
      <c r="AD1887" t="s">
        <v>6318</v>
      </c>
    </row>
    <row r="1888" spans="1:30" hidden="1" x14ac:dyDescent="0.25">
      <c r="A1888">
        <v>30533</v>
      </c>
      <c r="B1888" t="s">
        <v>32</v>
      </c>
      <c r="C1888">
        <v>1</v>
      </c>
      <c r="D1888" t="s">
        <v>6319</v>
      </c>
      <c r="E1888" t="s">
        <v>45</v>
      </c>
      <c r="F1888" t="s">
        <v>90</v>
      </c>
      <c r="G1888" t="s">
        <v>91</v>
      </c>
      <c r="H1888" t="s">
        <v>72</v>
      </c>
      <c r="I1888" t="s">
        <v>6320</v>
      </c>
      <c r="J1888" t="s">
        <v>6320</v>
      </c>
      <c r="K1888" t="s">
        <v>36</v>
      </c>
      <c r="L1888" t="s">
        <v>33</v>
      </c>
      <c r="R1888" t="s">
        <v>6321</v>
      </c>
      <c r="S1888">
        <v>130</v>
      </c>
      <c r="T1888" t="s">
        <v>40</v>
      </c>
      <c r="U1888">
        <f>+IF(Tabla1[[#This Row],[MONEDA]]="PEN",Tabla1[[#This Row],[MONTO]],Tabla1[[#This Row],[MONTO]]*3.56)</f>
        <v>130</v>
      </c>
      <c r="V1888" t="s">
        <v>190</v>
      </c>
      <c r="W1888">
        <v>26397</v>
      </c>
      <c r="X1888" t="s">
        <v>41</v>
      </c>
      <c r="Y1888" t="s">
        <v>42</v>
      </c>
      <c r="Z1888" t="s">
        <v>43</v>
      </c>
      <c r="AC1888" t="s">
        <v>6322</v>
      </c>
      <c r="AD1888" t="s">
        <v>6323</v>
      </c>
    </row>
    <row r="1889" spans="1:30" hidden="1" x14ac:dyDescent="0.25">
      <c r="A1889">
        <v>30524</v>
      </c>
      <c r="B1889" t="s">
        <v>32</v>
      </c>
      <c r="C1889">
        <v>1</v>
      </c>
      <c r="D1889" t="s">
        <v>6324</v>
      </c>
      <c r="E1889" t="s">
        <v>45</v>
      </c>
      <c r="F1889" t="s">
        <v>90</v>
      </c>
      <c r="G1889" t="s">
        <v>91</v>
      </c>
      <c r="H1889" t="s">
        <v>72</v>
      </c>
      <c r="I1889" t="s">
        <v>6325</v>
      </c>
      <c r="J1889" t="s">
        <v>6325</v>
      </c>
      <c r="K1889" t="s">
        <v>36</v>
      </c>
      <c r="L1889" t="s">
        <v>33</v>
      </c>
      <c r="R1889" t="s">
        <v>6307</v>
      </c>
      <c r="S1889">
        <v>501.69</v>
      </c>
      <c r="T1889" t="s">
        <v>40</v>
      </c>
      <c r="U1889">
        <f>+IF(Tabla1[[#This Row],[MONEDA]]="PEN",Tabla1[[#This Row],[MONTO]],Tabla1[[#This Row],[MONTO]]*3.56)</f>
        <v>501.69</v>
      </c>
      <c r="V1889" t="s">
        <v>190</v>
      </c>
      <c r="W1889">
        <v>26397</v>
      </c>
      <c r="X1889" t="s">
        <v>41</v>
      </c>
      <c r="Y1889" t="s">
        <v>42</v>
      </c>
      <c r="Z1889" t="s">
        <v>43</v>
      </c>
      <c r="AC1889" t="s">
        <v>6326</v>
      </c>
      <c r="AD1889" t="s">
        <v>6327</v>
      </c>
    </row>
    <row r="1890" spans="1:30" hidden="1" x14ac:dyDescent="0.25">
      <c r="A1890">
        <v>30522</v>
      </c>
      <c r="B1890" t="s">
        <v>32</v>
      </c>
      <c r="C1890">
        <v>1</v>
      </c>
      <c r="D1890" t="s">
        <v>6328</v>
      </c>
      <c r="E1890" t="s">
        <v>45</v>
      </c>
      <c r="F1890" t="s">
        <v>90</v>
      </c>
      <c r="G1890" t="s">
        <v>91</v>
      </c>
      <c r="H1890" t="s">
        <v>72</v>
      </c>
      <c r="I1890" t="s">
        <v>6329</v>
      </c>
      <c r="J1890" t="s">
        <v>6329</v>
      </c>
      <c r="K1890" t="s">
        <v>36</v>
      </c>
      <c r="L1890" t="s">
        <v>33</v>
      </c>
      <c r="R1890" t="s">
        <v>6330</v>
      </c>
      <c r="S1890">
        <v>1151.0999999999999</v>
      </c>
      <c r="T1890" t="s">
        <v>40</v>
      </c>
      <c r="U1890">
        <f>+IF(Tabla1[[#This Row],[MONEDA]]="PEN",Tabla1[[#This Row],[MONTO]],Tabla1[[#This Row],[MONTO]]*3.56)</f>
        <v>1151.0999999999999</v>
      </c>
      <c r="V1890" t="s">
        <v>190</v>
      </c>
      <c r="W1890">
        <v>26397</v>
      </c>
      <c r="X1890" t="s">
        <v>41</v>
      </c>
      <c r="Y1890" t="s">
        <v>51</v>
      </c>
      <c r="Z1890" t="s">
        <v>43</v>
      </c>
      <c r="AC1890" t="s">
        <v>6331</v>
      </c>
      <c r="AD1890" t="s">
        <v>6332</v>
      </c>
    </row>
    <row r="1891" spans="1:30" hidden="1" x14ac:dyDescent="0.25">
      <c r="A1891">
        <v>24528</v>
      </c>
      <c r="B1891" t="s">
        <v>32</v>
      </c>
      <c r="C1891">
        <v>1</v>
      </c>
      <c r="D1891" t="s">
        <v>10233</v>
      </c>
      <c r="E1891" t="s">
        <v>45</v>
      </c>
      <c r="F1891" t="s">
        <v>90</v>
      </c>
      <c r="G1891" t="s">
        <v>91</v>
      </c>
      <c r="H1891" t="s">
        <v>72</v>
      </c>
      <c r="I1891" t="s">
        <v>10234</v>
      </c>
      <c r="J1891" t="s">
        <v>10235</v>
      </c>
      <c r="K1891" t="s">
        <v>36</v>
      </c>
      <c r="L1891" t="s">
        <v>33</v>
      </c>
      <c r="O1891" t="s">
        <v>1747</v>
      </c>
      <c r="R1891" t="s">
        <v>10236</v>
      </c>
      <c r="S1891">
        <v>80</v>
      </c>
      <c r="T1891" t="s">
        <v>40</v>
      </c>
      <c r="U1891">
        <f>+IF(Tabla1[[#This Row],[MONEDA]]="PEN",Tabla1[[#This Row],[MONTO]],Tabla1[[#This Row],[MONTO]]*3.56)</f>
        <v>80</v>
      </c>
      <c r="V1891" t="s">
        <v>190</v>
      </c>
      <c r="W1891">
        <v>21301</v>
      </c>
      <c r="X1891" t="s">
        <v>41</v>
      </c>
      <c r="Y1891" t="s">
        <v>42</v>
      </c>
      <c r="Z1891" t="s">
        <v>82</v>
      </c>
      <c r="AC1891" t="s">
        <v>10237</v>
      </c>
      <c r="AD1891" t="s">
        <v>10238</v>
      </c>
    </row>
    <row r="1892" spans="1:30" hidden="1" x14ac:dyDescent="0.25">
      <c r="A1892">
        <v>24524</v>
      </c>
      <c r="B1892" t="s">
        <v>32</v>
      </c>
      <c r="C1892">
        <v>1</v>
      </c>
      <c r="D1892" t="s">
        <v>10253</v>
      </c>
      <c r="E1892" t="s">
        <v>45</v>
      </c>
      <c r="F1892" t="s">
        <v>90</v>
      </c>
      <c r="G1892" t="s">
        <v>91</v>
      </c>
      <c r="H1892" t="s">
        <v>72</v>
      </c>
      <c r="I1892" t="s">
        <v>10254</v>
      </c>
      <c r="J1892" t="s">
        <v>10255</v>
      </c>
      <c r="K1892" t="s">
        <v>36</v>
      </c>
      <c r="L1892" t="s">
        <v>33</v>
      </c>
      <c r="O1892" t="s">
        <v>1747</v>
      </c>
      <c r="R1892" t="s">
        <v>10256</v>
      </c>
      <c r="S1892">
        <v>160</v>
      </c>
      <c r="T1892" t="s">
        <v>40</v>
      </c>
      <c r="U1892">
        <f>+IF(Tabla1[[#This Row],[MONEDA]]="PEN",Tabla1[[#This Row],[MONTO]],Tabla1[[#This Row],[MONTO]]*3.56)</f>
        <v>160</v>
      </c>
      <c r="V1892" t="s">
        <v>190</v>
      </c>
      <c r="W1892">
        <v>21301</v>
      </c>
      <c r="X1892" t="s">
        <v>41</v>
      </c>
      <c r="Y1892" t="s">
        <v>42</v>
      </c>
      <c r="Z1892" t="s">
        <v>43</v>
      </c>
      <c r="AC1892" t="s">
        <v>10257</v>
      </c>
      <c r="AD1892" t="s">
        <v>10258</v>
      </c>
    </row>
    <row r="1893" spans="1:30" hidden="1" x14ac:dyDescent="0.25">
      <c r="A1893">
        <v>24521</v>
      </c>
      <c r="B1893" t="s">
        <v>32</v>
      </c>
      <c r="C1893">
        <v>1</v>
      </c>
      <c r="D1893" t="s">
        <v>10259</v>
      </c>
      <c r="E1893" t="s">
        <v>45</v>
      </c>
      <c r="F1893" t="s">
        <v>90</v>
      </c>
      <c r="G1893" t="s">
        <v>91</v>
      </c>
      <c r="H1893" t="s">
        <v>72</v>
      </c>
      <c r="I1893" t="s">
        <v>10260</v>
      </c>
      <c r="J1893" t="s">
        <v>10261</v>
      </c>
      <c r="K1893" t="s">
        <v>36</v>
      </c>
      <c r="L1893" t="s">
        <v>33</v>
      </c>
      <c r="O1893" t="s">
        <v>10262</v>
      </c>
      <c r="R1893" t="s">
        <v>10263</v>
      </c>
      <c r="S1893">
        <v>30</v>
      </c>
      <c r="T1893" t="s">
        <v>40</v>
      </c>
      <c r="U1893">
        <f>+IF(Tabla1[[#This Row],[MONEDA]]="PEN",Tabla1[[#This Row],[MONTO]],Tabla1[[#This Row],[MONTO]]*3.56)</f>
        <v>30</v>
      </c>
      <c r="V1893" t="s">
        <v>190</v>
      </c>
      <c r="W1893">
        <v>21301</v>
      </c>
      <c r="X1893" t="s">
        <v>41</v>
      </c>
      <c r="Y1893" t="s">
        <v>42</v>
      </c>
      <c r="Z1893" t="s">
        <v>43</v>
      </c>
      <c r="AC1893" t="s">
        <v>10264</v>
      </c>
      <c r="AD1893" t="s">
        <v>10265</v>
      </c>
    </row>
    <row r="1894" spans="1:30" hidden="1" x14ac:dyDescent="0.25">
      <c r="A1894">
        <v>24519</v>
      </c>
      <c r="B1894" t="s">
        <v>32</v>
      </c>
      <c r="C1894">
        <v>1</v>
      </c>
      <c r="D1894" t="s">
        <v>10272</v>
      </c>
      <c r="E1894" t="s">
        <v>45</v>
      </c>
      <c r="F1894" t="s">
        <v>90</v>
      </c>
      <c r="G1894" t="s">
        <v>91</v>
      </c>
      <c r="H1894" t="s">
        <v>72</v>
      </c>
      <c r="I1894" t="s">
        <v>10273</v>
      </c>
      <c r="J1894" t="s">
        <v>10274</v>
      </c>
      <c r="K1894" t="s">
        <v>36</v>
      </c>
      <c r="L1894" t="s">
        <v>33</v>
      </c>
      <c r="O1894" t="s">
        <v>7403</v>
      </c>
      <c r="R1894" t="s">
        <v>10275</v>
      </c>
      <c r="S1894">
        <v>200</v>
      </c>
      <c r="T1894" t="s">
        <v>40</v>
      </c>
      <c r="U1894">
        <f>+IF(Tabla1[[#This Row],[MONEDA]]="PEN",Tabla1[[#This Row],[MONTO]],Tabla1[[#This Row],[MONTO]]*3.56)</f>
        <v>200</v>
      </c>
      <c r="V1894" t="s">
        <v>190</v>
      </c>
      <c r="W1894">
        <v>21301</v>
      </c>
      <c r="X1894" t="s">
        <v>41</v>
      </c>
      <c r="Y1894" t="s">
        <v>42</v>
      </c>
      <c r="Z1894" t="s">
        <v>43</v>
      </c>
      <c r="AC1894" t="s">
        <v>10276</v>
      </c>
      <c r="AD1894" t="s">
        <v>10277</v>
      </c>
    </row>
    <row r="1895" spans="1:30" hidden="1" x14ac:dyDescent="0.25">
      <c r="A1895">
        <v>24515</v>
      </c>
      <c r="B1895" t="s">
        <v>32</v>
      </c>
      <c r="C1895">
        <v>1</v>
      </c>
      <c r="D1895" t="s">
        <v>10278</v>
      </c>
      <c r="E1895" t="s">
        <v>45</v>
      </c>
      <c r="F1895" t="s">
        <v>90</v>
      </c>
      <c r="G1895" t="s">
        <v>91</v>
      </c>
      <c r="H1895" t="s">
        <v>72</v>
      </c>
      <c r="I1895" t="s">
        <v>10279</v>
      </c>
      <c r="J1895" t="s">
        <v>10280</v>
      </c>
      <c r="K1895" t="s">
        <v>36</v>
      </c>
      <c r="L1895" t="s">
        <v>33</v>
      </c>
      <c r="O1895" t="s">
        <v>1747</v>
      </c>
      <c r="R1895" t="s">
        <v>10281</v>
      </c>
      <c r="S1895">
        <v>60</v>
      </c>
      <c r="T1895" t="s">
        <v>40</v>
      </c>
      <c r="U1895">
        <f>+IF(Tabla1[[#This Row],[MONEDA]]="PEN",Tabla1[[#This Row],[MONTO]],Tabla1[[#This Row],[MONTO]]*3.56)</f>
        <v>60</v>
      </c>
      <c r="V1895" t="s">
        <v>190</v>
      </c>
      <c r="W1895">
        <v>21301</v>
      </c>
      <c r="X1895" t="s">
        <v>41</v>
      </c>
      <c r="Y1895" t="s">
        <v>42</v>
      </c>
      <c r="Z1895" t="s">
        <v>43</v>
      </c>
      <c r="AC1895" t="s">
        <v>10282</v>
      </c>
      <c r="AD1895" t="s">
        <v>10283</v>
      </c>
    </row>
    <row r="1896" spans="1:30" hidden="1" x14ac:dyDescent="0.25">
      <c r="A1896">
        <v>24514</v>
      </c>
      <c r="B1896" t="s">
        <v>32</v>
      </c>
      <c r="C1896">
        <v>1</v>
      </c>
      <c r="D1896" t="s">
        <v>10284</v>
      </c>
      <c r="E1896" t="s">
        <v>45</v>
      </c>
      <c r="F1896" t="s">
        <v>90</v>
      </c>
      <c r="G1896" t="s">
        <v>91</v>
      </c>
      <c r="H1896" t="s">
        <v>72</v>
      </c>
      <c r="I1896" t="s">
        <v>10285</v>
      </c>
      <c r="J1896" t="s">
        <v>10286</v>
      </c>
      <c r="K1896" t="s">
        <v>36</v>
      </c>
      <c r="L1896" t="s">
        <v>33</v>
      </c>
      <c r="O1896" t="s">
        <v>1747</v>
      </c>
      <c r="R1896" t="s">
        <v>10287</v>
      </c>
      <c r="S1896">
        <v>12</v>
      </c>
      <c r="T1896" t="s">
        <v>40</v>
      </c>
      <c r="U1896">
        <f>+IF(Tabla1[[#This Row],[MONEDA]]="PEN",Tabla1[[#This Row],[MONTO]],Tabla1[[#This Row],[MONTO]]*3.56)</f>
        <v>12</v>
      </c>
      <c r="V1896" t="s">
        <v>190</v>
      </c>
      <c r="W1896">
        <v>21301</v>
      </c>
      <c r="X1896" t="s">
        <v>41</v>
      </c>
      <c r="Y1896" t="s">
        <v>42</v>
      </c>
      <c r="Z1896" t="s">
        <v>43</v>
      </c>
      <c r="AC1896" t="s">
        <v>10288</v>
      </c>
      <c r="AD1896" t="s">
        <v>10289</v>
      </c>
    </row>
    <row r="1897" spans="1:30" hidden="1" x14ac:dyDescent="0.25">
      <c r="A1897">
        <v>24510</v>
      </c>
      <c r="B1897" t="s">
        <v>32</v>
      </c>
      <c r="C1897">
        <v>1</v>
      </c>
      <c r="D1897" t="s">
        <v>10296</v>
      </c>
      <c r="E1897" t="s">
        <v>45</v>
      </c>
      <c r="F1897" t="s">
        <v>90</v>
      </c>
      <c r="G1897" t="s">
        <v>91</v>
      </c>
      <c r="H1897" t="s">
        <v>72</v>
      </c>
      <c r="I1897" t="s">
        <v>10297</v>
      </c>
      <c r="J1897" t="s">
        <v>10298</v>
      </c>
      <c r="K1897" t="s">
        <v>36</v>
      </c>
      <c r="L1897" t="s">
        <v>33</v>
      </c>
      <c r="O1897" t="s">
        <v>8530</v>
      </c>
      <c r="R1897" t="s">
        <v>10299</v>
      </c>
      <c r="S1897">
        <v>125</v>
      </c>
      <c r="T1897" t="s">
        <v>40</v>
      </c>
      <c r="U1897">
        <f>+IF(Tabla1[[#This Row],[MONEDA]]="PEN",Tabla1[[#This Row],[MONTO]],Tabla1[[#This Row],[MONTO]]*3.56)</f>
        <v>125</v>
      </c>
      <c r="V1897" t="s">
        <v>190</v>
      </c>
      <c r="W1897">
        <v>21301</v>
      </c>
      <c r="X1897" t="s">
        <v>41</v>
      </c>
      <c r="Y1897" t="s">
        <v>42</v>
      </c>
      <c r="Z1897" t="s">
        <v>43</v>
      </c>
      <c r="AC1897" t="s">
        <v>10300</v>
      </c>
      <c r="AD1897" t="s">
        <v>10301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ASUS</cp:lastModifiedBy>
  <dcterms:created xsi:type="dcterms:W3CDTF">2026-03-03T15:57:35Z</dcterms:created>
  <dcterms:modified xsi:type="dcterms:W3CDTF">2026-03-03T22:17:42Z</dcterms:modified>
  <cp:category/>
</cp:coreProperties>
</file>